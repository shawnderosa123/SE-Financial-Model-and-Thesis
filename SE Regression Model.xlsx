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13_ncr:1_{6178452B-95D4-4C6F-8E90-DC24CEAC9B6C}" xr6:coauthVersionLast="47" xr6:coauthVersionMax="47" xr10:uidLastSave="{00000000-0000-0000-0000-000000000000}"/>
  <bookViews>
    <workbookView xWindow="-120" yWindow="-120" windowWidth="29040" windowHeight="15720" xr2:uid="{1939DBA6-3EBB-447F-A5E9-F7AD174B3A0C}"/>
  </bookViews>
  <sheets>
    <sheet name="SPY" sheetId="1" r:id="rId1"/>
    <sheet name="Template" sheetId="3" r:id="rId2"/>
    <sheet name="Sheet4" sheetId="7" state="hidden" r:id="rId3"/>
    <sheet name="Sheet3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N16" i="3"/>
  <c r="K16" i="3"/>
  <c r="K22" i="1"/>
  <c r="K21" i="1"/>
  <c r="N16" i="1"/>
  <c r="N17" i="1"/>
  <c r="N15" i="1"/>
  <c r="N18" i="1"/>
  <c r="N19" i="1"/>
  <c r="K19" i="1"/>
  <c r="K18" i="1"/>
  <c r="K17" i="1"/>
  <c r="K16" i="1"/>
  <c r="K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  <c r="K22" i="3" l="1"/>
  <c r="N17" i="3"/>
  <c r="K15" i="3"/>
  <c r="N15" i="3"/>
  <c r="K17" i="3"/>
  <c r="N19" i="3" l="1"/>
  <c r="N18" i="3"/>
  <c r="K19" i="3"/>
  <c r="K18" i="3"/>
</calcChain>
</file>

<file path=xl/sharedStrings.xml><?xml version="1.0" encoding="utf-8"?>
<sst xmlns="http://schemas.openxmlformats.org/spreadsheetml/2006/main" count="107" uniqueCount="55">
  <si>
    <t>Date</t>
  </si>
  <si>
    <t>2025-02-29</t>
  </si>
  <si>
    <t>Adj Close</t>
  </si>
  <si>
    <t>Return</t>
  </si>
  <si>
    <t>Multiple R</t>
  </si>
  <si>
    <t>R Square</t>
  </si>
  <si>
    <t xml:space="preserve">Adjusted R Square </t>
  </si>
  <si>
    <t>Standard Deviation</t>
  </si>
  <si>
    <t>Observations</t>
  </si>
  <si>
    <t>Standard Error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</si>
  <si>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</si>
  <si>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</si>
  <si>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</si>
  <si>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</si>
  <si>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</si>
  <si>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</si>
  <si>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</si>
  <si>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</si>
  <si>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</si>
  <si>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</t>
  </si>
  <si>
    <t>Intercept</t>
  </si>
  <si>
    <t>X Variable</t>
  </si>
  <si>
    <t>t Stat</t>
  </si>
  <si>
    <t>P=value</t>
  </si>
  <si>
    <t>Lower 95%</t>
  </si>
  <si>
    <t>Upper 95%</t>
  </si>
  <si>
    <t>Average</t>
  </si>
  <si>
    <t>Variance</t>
  </si>
  <si>
    <t>Upper Level</t>
  </si>
  <si>
    <t>Lower Level</t>
  </si>
  <si>
    <t>Correlation</t>
  </si>
  <si>
    <t>Covariance</t>
  </si>
  <si>
    <t>S&amp;P500</t>
  </si>
  <si>
    <t>Notes:</t>
  </si>
  <si>
    <t>Correlation &lt; 1 means that risk is low to invest in the stock as it does not move the same way as the S&amp;P</t>
  </si>
  <si>
    <t>Also is good for diversification</t>
  </si>
  <si>
    <t>Low R-Square means less correlation to the S&amp;P500</t>
  </si>
  <si>
    <t>Standard Error shows how far prices have deviated from a linear regression line (lower is better)</t>
  </si>
  <si>
    <t>Multiple R is another way to calculate Correlation and if it is less than 1, it means no linear relationship between the two</t>
  </si>
  <si>
    <t>SUMMARY OUTPUT</t>
  </si>
  <si>
    <t>Regression Statistics</t>
  </si>
  <si>
    <t>Adjusted R Square</t>
  </si>
  <si>
    <t>Coefficients</t>
  </si>
  <si>
    <t>P-value</t>
  </si>
  <si>
    <t>RESIDUAL OUTPUT</t>
  </si>
  <si>
    <t>Observation</t>
  </si>
  <si>
    <t>Residuals</t>
  </si>
  <si>
    <t>Multiple R is another way to calculate Correlation and if it is less than 1, it means there is no linear relationship between the two</t>
  </si>
  <si>
    <t>Predicted -0.173093010875352</t>
  </si>
  <si>
    <t>Low R-Square means the US market explains only 15% of SE's returns (low correlation)</t>
  </si>
  <si>
    <t>Conclusion:</t>
  </si>
  <si>
    <t>instead of U.S. economy cycles</t>
  </si>
  <si>
    <t>A beta of 1.18 and weak correlation of 38% indicates SE's performance is driven by Southeast Asian digital economy growth</t>
  </si>
  <si>
    <t>$SPY Date</t>
  </si>
  <si>
    <t>$SE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</si>
</sst>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Variable 1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Sheet4!$A$1:$A$59</c:f>
              <c:numCache>
                <c:formatCode>General</c:formatCode>
                <c:ptCount val="59"/>
                <c:pt idx="0">
                  <c:v>-0.173093010875352</c:v>
                </c:pt>
                <c:pt idx="1">
                  <c:v>3.0728227639727299E-2</c:v>
                </c:pt>
                <c:pt idx="2">
                  <c:v>-0.146003481055027</c:v>
                </c:pt>
                <c:pt idx="3">
                  <c:v>-0.109879632940055</c:v>
                </c:pt>
                <c:pt idx="4">
                  <c:v>-8.4001964958244704E-2</c:v>
                </c:pt>
                <c:pt idx="5">
                  <c:v>-6.7633587786259497E-2</c:v>
                </c:pt>
                <c:pt idx="6">
                  <c:v>0.14617358842743799</c:v>
                </c:pt>
                <c:pt idx="7">
                  <c:v>3.7270087124879003E-2</c:v>
                </c:pt>
                <c:pt idx="8">
                  <c:v>7.3037719924690006E-2</c:v>
                </c:pt>
                <c:pt idx="9">
                  <c:v>4.6328374431084798E-2</c:v>
                </c:pt>
                <c:pt idx="10">
                  <c:v>5.4059859659172302E-2</c:v>
                </c:pt>
                <c:pt idx="11">
                  <c:v>3.5131930032612002E-2</c:v>
                </c:pt>
                <c:pt idx="12">
                  <c:v>0.28654524649566099</c:v>
                </c:pt>
                <c:pt idx="13">
                  <c:v>-1.1592836946277E-2</c:v>
                </c:pt>
                <c:pt idx="14">
                  <c:v>6.7189700261516702E-2</c:v>
                </c:pt>
                <c:pt idx="15">
                  <c:v>7.6206971205888804E-2</c:v>
                </c:pt>
                <c:pt idx="16">
                  <c:v>9.7540691457764006E-2</c:v>
                </c:pt>
                <c:pt idx="17">
                  <c:v>7.0456568739666894E-2</c:v>
                </c:pt>
                <c:pt idx="18">
                  <c:v>7.1107478545157296E-2</c:v>
                </c:pt>
                <c:pt idx="19">
                  <c:v>5.5955120828538603E-2</c:v>
                </c:pt>
                <c:pt idx="20">
                  <c:v>7.9838459148803997E-2</c:v>
                </c:pt>
                <c:pt idx="21">
                  <c:v>6.0451325975951098E-2</c:v>
                </c:pt>
                <c:pt idx="22">
                  <c:v>8.7408203474834398E-2</c:v>
                </c:pt>
                <c:pt idx="23">
                  <c:v>8.1138652207590894E-2</c:v>
                </c:pt>
                <c:pt idx="24">
                  <c:v>0.34304291287386202</c:v>
                </c:pt>
                <c:pt idx="25">
                  <c:v>-5.0617283950617202E-2</c:v>
                </c:pt>
                <c:pt idx="26">
                  <c:v>-0.106157581107923</c:v>
                </c:pt>
                <c:pt idx="27">
                  <c:v>-0.132324779777863</c:v>
                </c:pt>
                <c:pt idx="28">
                  <c:v>-0.15061808718282399</c:v>
                </c:pt>
                <c:pt idx="29">
                  <c:v>-0.12434126192849999</c:v>
                </c:pt>
                <c:pt idx="30">
                  <c:v>-8.1381656417637199E-2</c:v>
                </c:pt>
                <c:pt idx="31">
                  <c:v>0.118706088992974</c:v>
                </c:pt>
                <c:pt idx="32">
                  <c:v>7.5059008654602605E-2</c:v>
                </c:pt>
                <c:pt idx="33">
                  <c:v>4.6607378129117201E-2</c:v>
                </c:pt>
                <c:pt idx="34">
                  <c:v>4.9974061905585301E-2</c:v>
                </c:pt>
                <c:pt idx="35">
                  <c:v>9.1543978859947195E-2</c:v>
                </c:pt>
                <c:pt idx="36">
                  <c:v>9.7576134244872395E-2</c:v>
                </c:pt>
                <c:pt idx="37">
                  <c:v>-7.2266000384393597E-2</c:v>
                </c:pt>
                <c:pt idx="38">
                  <c:v>-0.12876758204956501</c:v>
                </c:pt>
                <c:pt idx="39">
                  <c:v>0.19727345629510801</c:v>
                </c:pt>
                <c:pt idx="40">
                  <c:v>0.200481347773767</c:v>
                </c:pt>
                <c:pt idx="41">
                  <c:v>-0.14804182899323401</c:v>
                </c:pt>
                <c:pt idx="42">
                  <c:v>-0.203104575163399</c:v>
                </c:pt>
                <c:pt idx="43">
                  <c:v>-0.17442331040064701</c:v>
                </c:pt>
                <c:pt idx="44">
                  <c:v>-0.132373595505618</c:v>
                </c:pt>
                <c:pt idx="45">
                  <c:v>-0.15556434077881001</c:v>
                </c:pt>
                <c:pt idx="46">
                  <c:v>-0.12715665976535501</c:v>
                </c:pt>
                <c:pt idx="47">
                  <c:v>-0.101952277657267</c:v>
                </c:pt>
                <c:pt idx="48">
                  <c:v>-0.42196945949576797</c:v>
                </c:pt>
                <c:pt idx="49">
                  <c:v>-1.78802914487509E-3</c:v>
                </c:pt>
                <c:pt idx="50">
                  <c:v>-0.25459816073570601</c:v>
                </c:pt>
                <c:pt idx="51">
                  <c:v>-0.182212049374642</c:v>
                </c:pt>
                <c:pt idx="52">
                  <c:v>0.20060849936205699</c:v>
                </c:pt>
                <c:pt idx="53">
                  <c:v>4.3812320721213098E-2</c:v>
                </c:pt>
                <c:pt idx="54">
                  <c:v>5.19056000574733E-2</c:v>
                </c:pt>
                <c:pt idx="55">
                  <c:v>0.102927776237075</c:v>
                </c:pt>
                <c:pt idx="56">
                  <c:v>0.10613962049169599</c:v>
                </c:pt>
                <c:pt idx="57">
                  <c:v>6.3674078217498695E-2</c:v>
                </c:pt>
                <c:pt idx="58">
                  <c:v>9.4205855350402906E-2</c:v>
                </c:pt>
              </c:numCache>
            </c:numRef>
          </c:xVal>
          <c:yVal>
            <c:numRef>
              <c:f>Sheet4!$B$1:$B$59</c:f>
              <c:numCache>
                <c:formatCode>General</c:formatCode>
                <c:ptCount val="59"/>
                <c:pt idx="0">
                  <c:v>2.6951350509224425E-2</c:v>
                </c:pt>
                <c:pt idx="1">
                  <c:v>2.5641850389978797E-3</c:v>
                </c:pt>
                <c:pt idx="2">
                  <c:v>-1.2370939719860592E-3</c:v>
                </c:pt>
                <c:pt idx="3">
                  <c:v>-1.411116921508266E-2</c:v>
                </c:pt>
                <c:pt idx="4">
                  <c:v>3.7751190540186261E-2</c:v>
                </c:pt>
                <c:pt idx="5">
                  <c:v>2.4580790362889127E-2</c:v>
                </c:pt>
                <c:pt idx="6">
                  <c:v>-1.6648840896134016E-2</c:v>
                </c:pt>
                <c:pt idx="7">
                  <c:v>1.9956726420619679E-2</c:v>
                </c:pt>
                <c:pt idx="8">
                  <c:v>5.3334290725190608E-3</c:v>
                </c:pt>
                <c:pt idx="9">
                  <c:v>2.0059881517416771E-2</c:v>
                </c:pt>
                <c:pt idx="10">
                  <c:v>7.1254752950835054E-3</c:v>
                </c:pt>
                <c:pt idx="11">
                  <c:v>4.0817311177622322E-4</c:v>
                </c:pt>
                <c:pt idx="12">
                  <c:v>-2.3645099189409415E-2</c:v>
                </c:pt>
                <c:pt idx="13">
                  <c:v>6.9054476395456286E-3</c:v>
                </c:pt>
                <c:pt idx="14">
                  <c:v>7.1986148020240746E-3</c:v>
                </c:pt>
                <c:pt idx="15">
                  <c:v>1.2929626991785782E-2</c:v>
                </c:pt>
                <c:pt idx="16">
                  <c:v>2.0839113386791897E-4</c:v>
                </c:pt>
                <c:pt idx="17">
                  <c:v>-1.5672547167116108E-3</c:v>
                </c:pt>
                <c:pt idx="18">
                  <c:v>6.0102469240521164E-3</c:v>
                </c:pt>
                <c:pt idx="19">
                  <c:v>7.1819381600269176E-3</c:v>
                </c:pt>
                <c:pt idx="20">
                  <c:v>-1.7266346252210393E-3</c:v>
                </c:pt>
                <c:pt idx="21">
                  <c:v>1.0883678050637023E-2</c:v>
                </c:pt>
                <c:pt idx="22">
                  <c:v>-2.0432214453051552E-3</c:v>
                </c:pt>
                <c:pt idx="23">
                  <c:v>6.6352125255778986E-3</c:v>
                </c:pt>
                <c:pt idx="24">
                  <c:v>-2.4688250222345078E-2</c:v>
                </c:pt>
                <c:pt idx="25">
                  <c:v>1.3196760070306346E-2</c:v>
                </c:pt>
                <c:pt idx="26">
                  <c:v>2.74770264262875E-2</c:v>
                </c:pt>
                <c:pt idx="27">
                  <c:v>4.6078762942165022E-2</c:v>
                </c:pt>
                <c:pt idx="28">
                  <c:v>3.2303261484371147E-2</c:v>
                </c:pt>
                <c:pt idx="29">
                  <c:v>-2.9372922175415914E-2</c:v>
                </c:pt>
                <c:pt idx="30">
                  <c:v>-0.16555292538644839</c:v>
                </c:pt>
                <c:pt idx="31">
                  <c:v>5.8301257905356389E-3</c:v>
                </c:pt>
                <c:pt idx="32">
                  <c:v>3.9273989227546768E-2</c:v>
                </c:pt>
                <c:pt idx="33">
                  <c:v>-8.5824538293463263E-3</c:v>
                </c:pt>
                <c:pt idx="34">
                  <c:v>-1.5308463408366963E-3</c:v>
                </c:pt>
                <c:pt idx="35">
                  <c:v>8.6163369422762523E-3</c:v>
                </c:pt>
                <c:pt idx="36">
                  <c:v>-4.6414988272404631E-2</c:v>
                </c:pt>
                <c:pt idx="37">
                  <c:v>6.3217093600997587E-2</c:v>
                </c:pt>
                <c:pt idx="38">
                  <c:v>-5.6501476250173634E-2</c:v>
                </c:pt>
                <c:pt idx="39">
                  <c:v>2.5647107404290777E-2</c:v>
                </c:pt>
                <c:pt idx="40">
                  <c:v>4.1566473850966852E-2</c:v>
                </c:pt>
                <c:pt idx="41">
                  <c:v>-8.8358641044040134E-2</c:v>
                </c:pt>
                <c:pt idx="42">
                  <c:v>-2.7916888414640156E-2</c:v>
                </c:pt>
                <c:pt idx="43">
                  <c:v>0.10503415093035005</c:v>
                </c:pt>
                <c:pt idx="44">
                  <c:v>-6.7901584759897465E-2</c:v>
                </c:pt>
                <c:pt idx="45">
                  <c:v>-6.9846891030536807E-3</c:v>
                </c:pt>
                <c:pt idx="46">
                  <c:v>-7.8546912790515455E-2</c:v>
                </c:pt>
                <c:pt idx="47">
                  <c:v>3.651998524548894E-2</c:v>
                </c:pt>
                <c:pt idx="48">
                  <c:v>1.190485750157818E-2</c:v>
                </c:pt>
                <c:pt idx="49">
                  <c:v>-6.289236242724984E-2</c:v>
                </c:pt>
                <c:pt idx="50">
                  <c:v>6.3463716117884789E-2</c:v>
                </c:pt>
                <c:pt idx="51">
                  <c:v>3.9592752995559078E-3</c:v>
                </c:pt>
                <c:pt idx="52">
                  <c:v>3.5170410860679201E-2</c:v>
                </c:pt>
                <c:pt idx="53">
                  <c:v>-6.7498097302605864E-2</c:v>
                </c:pt>
                <c:pt idx="54">
                  <c:v>1.5298898404369904E-2</c:v>
                </c:pt>
                <c:pt idx="55">
                  <c:v>-4.2319417983125163E-3</c:v>
                </c:pt>
                <c:pt idx="56">
                  <c:v>2.2411042886489145E-3</c:v>
                </c:pt>
                <c:pt idx="57">
                  <c:v>-1.2506512294949382E-2</c:v>
                </c:pt>
                <c:pt idx="58">
                  <c:v>3.0977111987555199E-2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0-4D33-8DB8-10B320D3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02640"/>
        <c:axId val="110504080"/>
      </c:scatterChart>
      <c:valAx>
        <c:axId val="1105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4080"/>
        <c:crosses val="autoZero"/>
        <c:crossBetween val="midCat"/>
      </c:valAx>
      <c:valAx>
        <c:axId val="11050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0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 Variable 1 Line Fit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 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Sheet4!$A$60:$A$118</c:f>
              <c:numCache>
                <c:formatCode>General</c:formatCode>
                <c:ptCount val="59"/>
                <c:pt idx="0">
                  <c:v>-0.173093010875352</c:v>
                </c:pt>
                <c:pt idx="1">
                  <c:v>3.0728227639727299E-2</c:v>
                </c:pt>
                <c:pt idx="2">
                  <c:v>-0.146003481055027</c:v>
                </c:pt>
                <c:pt idx="3">
                  <c:v>-0.109879632940055</c:v>
                </c:pt>
                <c:pt idx="4">
                  <c:v>-8.4001964958244704E-2</c:v>
                </c:pt>
                <c:pt idx="5">
                  <c:v>-6.7633587786259497E-2</c:v>
                </c:pt>
                <c:pt idx="6">
                  <c:v>0.14617358842743799</c:v>
                </c:pt>
                <c:pt idx="7">
                  <c:v>3.7270087124879003E-2</c:v>
                </c:pt>
                <c:pt idx="8">
                  <c:v>7.3037719924690006E-2</c:v>
                </c:pt>
                <c:pt idx="9">
                  <c:v>4.6328374431084798E-2</c:v>
                </c:pt>
                <c:pt idx="10">
                  <c:v>5.4059859659172302E-2</c:v>
                </c:pt>
                <c:pt idx="11">
                  <c:v>3.5131930032612002E-2</c:v>
                </c:pt>
                <c:pt idx="12">
                  <c:v>0.28654524649566099</c:v>
                </c:pt>
                <c:pt idx="13">
                  <c:v>-1.1592836946277E-2</c:v>
                </c:pt>
                <c:pt idx="14">
                  <c:v>6.7189700261516702E-2</c:v>
                </c:pt>
                <c:pt idx="15">
                  <c:v>7.6206971205888804E-2</c:v>
                </c:pt>
                <c:pt idx="16">
                  <c:v>9.7540691457764006E-2</c:v>
                </c:pt>
                <c:pt idx="17">
                  <c:v>7.0456568739666894E-2</c:v>
                </c:pt>
                <c:pt idx="18">
                  <c:v>7.1107478545157296E-2</c:v>
                </c:pt>
                <c:pt idx="19">
                  <c:v>5.5955120828538603E-2</c:v>
                </c:pt>
                <c:pt idx="20">
                  <c:v>7.9838459148803997E-2</c:v>
                </c:pt>
                <c:pt idx="21">
                  <c:v>6.0451325975951098E-2</c:v>
                </c:pt>
                <c:pt idx="22">
                  <c:v>8.7408203474834398E-2</c:v>
                </c:pt>
                <c:pt idx="23">
                  <c:v>8.1138652207590894E-2</c:v>
                </c:pt>
                <c:pt idx="24">
                  <c:v>0.34304291287386202</c:v>
                </c:pt>
                <c:pt idx="25">
                  <c:v>-5.0617283950617202E-2</c:v>
                </c:pt>
                <c:pt idx="26">
                  <c:v>-0.106157581107923</c:v>
                </c:pt>
                <c:pt idx="27">
                  <c:v>-0.132324779777863</c:v>
                </c:pt>
                <c:pt idx="28">
                  <c:v>-0.15061808718282399</c:v>
                </c:pt>
                <c:pt idx="29">
                  <c:v>-0.12434126192849999</c:v>
                </c:pt>
                <c:pt idx="30">
                  <c:v>-8.1381656417637199E-2</c:v>
                </c:pt>
                <c:pt idx="31">
                  <c:v>0.118706088992974</c:v>
                </c:pt>
                <c:pt idx="32">
                  <c:v>7.5059008654602605E-2</c:v>
                </c:pt>
                <c:pt idx="33">
                  <c:v>4.6607378129117201E-2</c:v>
                </c:pt>
                <c:pt idx="34">
                  <c:v>4.9974061905585301E-2</c:v>
                </c:pt>
                <c:pt idx="35">
                  <c:v>9.1543978859947195E-2</c:v>
                </c:pt>
                <c:pt idx="36">
                  <c:v>9.7576134244872395E-2</c:v>
                </c:pt>
                <c:pt idx="37">
                  <c:v>-7.2266000384393597E-2</c:v>
                </c:pt>
                <c:pt idx="38">
                  <c:v>-0.12876758204956501</c:v>
                </c:pt>
                <c:pt idx="39">
                  <c:v>0.19727345629510801</c:v>
                </c:pt>
                <c:pt idx="40">
                  <c:v>0.200481347773767</c:v>
                </c:pt>
                <c:pt idx="41">
                  <c:v>-0.14804182899323401</c:v>
                </c:pt>
                <c:pt idx="42">
                  <c:v>-0.203104575163399</c:v>
                </c:pt>
                <c:pt idx="43">
                  <c:v>-0.17442331040064701</c:v>
                </c:pt>
                <c:pt idx="44">
                  <c:v>-0.132373595505618</c:v>
                </c:pt>
                <c:pt idx="45">
                  <c:v>-0.15556434077881001</c:v>
                </c:pt>
                <c:pt idx="46">
                  <c:v>-0.12715665976535501</c:v>
                </c:pt>
                <c:pt idx="47">
                  <c:v>-0.101952277657267</c:v>
                </c:pt>
                <c:pt idx="48">
                  <c:v>-0.42196945949576797</c:v>
                </c:pt>
                <c:pt idx="49">
                  <c:v>-1.78802914487509E-3</c:v>
                </c:pt>
                <c:pt idx="50">
                  <c:v>-0.25459816073570601</c:v>
                </c:pt>
                <c:pt idx="51">
                  <c:v>-0.182212049374642</c:v>
                </c:pt>
                <c:pt idx="52">
                  <c:v>0.20060849936205699</c:v>
                </c:pt>
                <c:pt idx="53">
                  <c:v>4.3812320721213098E-2</c:v>
                </c:pt>
                <c:pt idx="54">
                  <c:v>5.19056000574733E-2</c:v>
                </c:pt>
                <c:pt idx="55">
                  <c:v>0.102927776237075</c:v>
                </c:pt>
                <c:pt idx="56">
                  <c:v>0.10613962049169599</c:v>
                </c:pt>
                <c:pt idx="57">
                  <c:v>6.3674078217498695E-2</c:v>
                </c:pt>
                <c:pt idx="58">
                  <c:v>9.4205855350402906E-2</c:v>
                </c:pt>
              </c:numCache>
            </c:numRef>
          </c:xVal>
          <c:yVal>
            <c:numRef>
              <c:f>Sheet4!$B$60:$B$118</c:f>
              <c:numCache>
                <c:formatCode>General</c:formatCode>
                <c:ptCount val="59"/>
                <c:pt idx="0">
                  <c:v>-1.0874846482696729E-2</c:v>
                </c:pt>
                <c:pt idx="1">
                  <c:v>1.4142115192783222E-2</c:v>
                </c:pt>
                <c:pt idx="2">
                  <c:v>-7.5498851869105505E-3</c:v>
                </c:pt>
                <c:pt idx="3">
                  <c:v>-3.1160541963474418E-3</c:v>
                </c:pt>
                <c:pt idx="4">
                  <c:v>6.0163517116443646E-5</c:v>
                </c:pt>
                <c:pt idx="5">
                  <c:v>2.069213542445672E-3</c:v>
                </c:pt>
                <c:pt idx="6">
                  <c:v>2.8311846411566116E-2</c:v>
                </c:pt>
                <c:pt idx="7">
                  <c:v>1.494506119202612E-2</c:v>
                </c:pt>
                <c:pt idx="8">
                  <c:v>1.933517041466884E-2</c:v>
                </c:pt>
                <c:pt idx="9">
                  <c:v>1.6056872836562229E-2</c:v>
                </c:pt>
                <c:pt idx="10">
                  <c:v>1.7005833165989796E-2</c:v>
                </c:pt>
                <c:pt idx="11">
                  <c:v>1.4682624389938677E-2</c:v>
                </c:pt>
                <c:pt idx="12">
                  <c:v>4.5541024370645715E-2</c:v>
                </c:pt>
                <c:pt idx="13">
                  <c:v>8.947639589911972E-3</c:v>
                </c:pt>
                <c:pt idx="14">
                  <c:v>1.8617386120662424E-2</c:v>
                </c:pt>
                <c:pt idx="15">
                  <c:v>1.9724163428445716E-2</c:v>
                </c:pt>
                <c:pt idx="16">
                  <c:v>2.2342658271401382E-2</c:v>
                </c:pt>
                <c:pt idx="17">
                  <c:v>1.9018360641826812E-2</c:v>
                </c:pt>
                <c:pt idx="18">
                  <c:v>1.9098253128874684E-2</c:v>
                </c:pt>
                <c:pt idx="19">
                  <c:v>1.7238456990594581E-2</c:v>
                </c:pt>
                <c:pt idx="20">
                  <c:v>2.016989124049684E-2</c:v>
                </c:pt>
                <c:pt idx="21">
                  <c:v>1.7790319949908276E-2</c:v>
                </c:pt>
                <c:pt idx="22">
                  <c:v>2.1098999536948854E-2</c:v>
                </c:pt>
                <c:pt idx="23">
                  <c:v>2.0329476572032303E-2</c:v>
                </c:pt>
                <c:pt idx="24">
                  <c:v>5.247553210317988E-2</c:v>
                </c:pt>
                <c:pt idx="25">
                  <c:v>4.1577899048304565E-3</c:v>
                </c:pt>
                <c:pt idx="26">
                  <c:v>-2.6592105979228002E-3</c:v>
                </c:pt>
                <c:pt idx="27">
                  <c:v>-5.870965226879821E-3</c:v>
                </c:pt>
                <c:pt idx="28">
                  <c:v>-8.1162806493637486E-3</c:v>
                </c:pt>
                <c:pt idx="29">
                  <c:v>-4.8910704841724842E-3</c:v>
                </c:pt>
                <c:pt idx="30">
                  <c:v>3.8177945280540825E-4</c:v>
                </c:pt>
                <c:pt idx="31">
                  <c:v>2.4940493231301659E-2</c:v>
                </c:pt>
                <c:pt idx="32">
                  <c:v>1.9583262826724131E-2</c:v>
                </c:pt>
                <c:pt idx="33">
                  <c:v>1.6091117672241986E-2</c:v>
                </c:pt>
                <c:pt idx="34">
                  <c:v>1.6504343495139396E-2</c:v>
                </c:pt>
                <c:pt idx="35">
                  <c:v>2.1606623448281848E-2</c:v>
                </c:pt>
                <c:pt idx="36">
                  <c:v>2.2347008509154928E-2</c:v>
                </c:pt>
                <c:pt idx="37">
                  <c:v>1.5006325188152165E-3</c:v>
                </c:pt>
                <c:pt idx="38">
                  <c:v>-5.4343557749440673E-3</c:v>
                </c:pt>
                <c:pt idx="39">
                  <c:v>3.4583829868152824E-2</c:v>
                </c:pt>
                <c:pt idx="40">
                  <c:v>3.4977565568933451E-2</c:v>
                </c:pt>
                <c:pt idx="41">
                  <c:v>-7.8000714414094684E-3</c:v>
                </c:pt>
                <c:pt idx="42">
                  <c:v>-1.4558457469879145E-2</c:v>
                </c:pt>
                <c:pt idx="43">
                  <c:v>-1.1038127073491255E-2</c:v>
                </c:pt>
                <c:pt idx="44">
                  <c:v>-5.8769568556193228E-3</c:v>
                </c:pt>
                <c:pt idx="45">
                  <c:v>-8.7233824290874184E-3</c:v>
                </c:pt>
                <c:pt idx="46">
                  <c:v>-5.2366316253909442E-3</c:v>
                </c:pt>
                <c:pt idx="47">
                  <c:v>-2.1430528313167389E-3</c:v>
                </c:pt>
                <c:pt idx="48">
                  <c:v>-4.1421872015592179E-2</c:v>
                </c:pt>
                <c:pt idx="49">
                  <c:v>1.0151078950746645E-2</c:v>
                </c:pt>
                <c:pt idx="50">
                  <c:v>-2.0878765727156988E-2</c:v>
                </c:pt>
                <c:pt idx="51">
                  <c:v>-1.1994114711640818E-2</c:v>
                </c:pt>
                <c:pt idx="52">
                  <c:v>3.4993172119234105E-2</c:v>
                </c:pt>
                <c:pt idx="53">
                  <c:v>1.5748053109570663E-2</c:v>
                </c:pt>
                <c:pt idx="54">
                  <c:v>1.6741419946408896E-2</c:v>
                </c:pt>
                <c:pt idx="55">
                  <c:v>2.3003867546982415E-2</c:v>
                </c:pt>
                <c:pt idx="56">
                  <c:v>2.3398088410376487E-2</c:v>
                </c:pt>
                <c:pt idx="57">
                  <c:v>1.8185879656559743E-2</c:v>
                </c:pt>
                <c:pt idx="58">
                  <c:v>2.1933341422481899E-2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F-4D79-A6C9-0834B4EC2BF8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Sheet4!$A$60:$A$118</c:f>
              <c:numCache>
                <c:formatCode>General</c:formatCode>
                <c:ptCount val="59"/>
                <c:pt idx="0">
                  <c:v>-0.173093010875352</c:v>
                </c:pt>
                <c:pt idx="1">
                  <c:v>3.0728227639727299E-2</c:v>
                </c:pt>
                <c:pt idx="2">
                  <c:v>-0.146003481055027</c:v>
                </c:pt>
                <c:pt idx="3">
                  <c:v>-0.109879632940055</c:v>
                </c:pt>
                <c:pt idx="4">
                  <c:v>-8.4001964958244704E-2</c:v>
                </c:pt>
                <c:pt idx="5">
                  <c:v>-6.7633587786259497E-2</c:v>
                </c:pt>
                <c:pt idx="6">
                  <c:v>0.14617358842743799</c:v>
                </c:pt>
                <c:pt idx="7">
                  <c:v>3.7270087124879003E-2</c:v>
                </c:pt>
                <c:pt idx="8">
                  <c:v>7.3037719924690006E-2</c:v>
                </c:pt>
                <c:pt idx="9">
                  <c:v>4.6328374431084798E-2</c:v>
                </c:pt>
                <c:pt idx="10">
                  <c:v>5.4059859659172302E-2</c:v>
                </c:pt>
                <c:pt idx="11">
                  <c:v>3.5131930032612002E-2</c:v>
                </c:pt>
                <c:pt idx="12">
                  <c:v>0.28654524649566099</c:v>
                </c:pt>
                <c:pt idx="13">
                  <c:v>-1.1592836946277E-2</c:v>
                </c:pt>
                <c:pt idx="14">
                  <c:v>6.7189700261516702E-2</c:v>
                </c:pt>
                <c:pt idx="15">
                  <c:v>7.6206971205888804E-2</c:v>
                </c:pt>
                <c:pt idx="16">
                  <c:v>9.7540691457764006E-2</c:v>
                </c:pt>
                <c:pt idx="17">
                  <c:v>7.0456568739666894E-2</c:v>
                </c:pt>
                <c:pt idx="18">
                  <c:v>7.1107478545157296E-2</c:v>
                </c:pt>
                <c:pt idx="19">
                  <c:v>5.5955120828538603E-2</c:v>
                </c:pt>
                <c:pt idx="20">
                  <c:v>7.9838459148803997E-2</c:v>
                </c:pt>
                <c:pt idx="21">
                  <c:v>6.0451325975951098E-2</c:v>
                </c:pt>
                <c:pt idx="22">
                  <c:v>8.7408203474834398E-2</c:v>
                </c:pt>
                <c:pt idx="23">
                  <c:v>8.1138652207590894E-2</c:v>
                </c:pt>
                <c:pt idx="24">
                  <c:v>0.34304291287386202</c:v>
                </c:pt>
                <c:pt idx="25">
                  <c:v>-5.0617283950617202E-2</c:v>
                </c:pt>
                <c:pt idx="26">
                  <c:v>-0.106157581107923</c:v>
                </c:pt>
                <c:pt idx="27">
                  <c:v>-0.132324779777863</c:v>
                </c:pt>
                <c:pt idx="28">
                  <c:v>-0.15061808718282399</c:v>
                </c:pt>
                <c:pt idx="29">
                  <c:v>-0.12434126192849999</c:v>
                </c:pt>
                <c:pt idx="30">
                  <c:v>-8.1381656417637199E-2</c:v>
                </c:pt>
                <c:pt idx="31">
                  <c:v>0.118706088992974</c:v>
                </c:pt>
                <c:pt idx="32">
                  <c:v>7.5059008654602605E-2</c:v>
                </c:pt>
                <c:pt idx="33">
                  <c:v>4.6607378129117201E-2</c:v>
                </c:pt>
                <c:pt idx="34">
                  <c:v>4.9974061905585301E-2</c:v>
                </c:pt>
                <c:pt idx="35">
                  <c:v>9.1543978859947195E-2</c:v>
                </c:pt>
                <c:pt idx="36">
                  <c:v>9.7576134244872395E-2</c:v>
                </c:pt>
                <c:pt idx="37">
                  <c:v>-7.2266000384393597E-2</c:v>
                </c:pt>
                <c:pt idx="38">
                  <c:v>-0.12876758204956501</c:v>
                </c:pt>
                <c:pt idx="39">
                  <c:v>0.19727345629510801</c:v>
                </c:pt>
                <c:pt idx="40">
                  <c:v>0.200481347773767</c:v>
                </c:pt>
                <c:pt idx="41">
                  <c:v>-0.14804182899323401</c:v>
                </c:pt>
                <c:pt idx="42">
                  <c:v>-0.203104575163399</c:v>
                </c:pt>
                <c:pt idx="43">
                  <c:v>-0.17442331040064701</c:v>
                </c:pt>
                <c:pt idx="44">
                  <c:v>-0.132373595505618</c:v>
                </c:pt>
                <c:pt idx="45">
                  <c:v>-0.15556434077881001</c:v>
                </c:pt>
                <c:pt idx="46">
                  <c:v>-0.12715665976535501</c:v>
                </c:pt>
                <c:pt idx="47">
                  <c:v>-0.101952277657267</c:v>
                </c:pt>
                <c:pt idx="48">
                  <c:v>-0.42196945949576797</c:v>
                </c:pt>
                <c:pt idx="49">
                  <c:v>-1.78802914487509E-3</c:v>
                </c:pt>
                <c:pt idx="50">
                  <c:v>-0.25459816073570601</c:v>
                </c:pt>
                <c:pt idx="51">
                  <c:v>-0.182212049374642</c:v>
                </c:pt>
                <c:pt idx="52">
                  <c:v>0.20060849936205699</c:v>
                </c:pt>
                <c:pt idx="53">
                  <c:v>4.3812320721213098E-2</c:v>
                </c:pt>
                <c:pt idx="54">
                  <c:v>5.19056000574733E-2</c:v>
                </c:pt>
                <c:pt idx="55">
                  <c:v>0.102927776237075</c:v>
                </c:pt>
                <c:pt idx="56">
                  <c:v>0.10613962049169599</c:v>
                </c:pt>
                <c:pt idx="57">
                  <c:v>6.3674078217498695E-2</c:v>
                </c:pt>
                <c:pt idx="58">
                  <c:v>9.4205855350402906E-2</c:v>
                </c:pt>
              </c:numCache>
            </c:numRef>
          </c:xVal>
          <c:yVal>
            <c:numRef>
              <c:f>Sheet4!$C$60:$C$118</c:f>
              <c:numCache>
                <c:formatCode>General</c:formatCode>
                <c:ptCount val="59"/>
                <c:pt idx="0">
                  <c:v>1.6076504026527699E-2</c:v>
                </c:pt>
                <c:pt idx="1">
                  <c:v>1.6706300231781102E-2</c:v>
                </c:pt>
                <c:pt idx="2">
                  <c:v>-8.7869791588966097E-3</c:v>
                </c:pt>
                <c:pt idx="3">
                  <c:v>-1.7227223411430102E-2</c:v>
                </c:pt>
                <c:pt idx="4">
                  <c:v>3.7811354057302703E-2</c:v>
                </c:pt>
                <c:pt idx="5">
                  <c:v>2.6650003905334799E-2</c:v>
                </c:pt>
                <c:pt idx="6">
                  <c:v>1.16630055154321E-2</c:v>
                </c:pt>
                <c:pt idx="7">
                  <c:v>3.4901787612645799E-2</c:v>
                </c:pt>
                <c:pt idx="8">
                  <c:v>2.4668599487187901E-2</c:v>
                </c:pt>
                <c:pt idx="9">
                  <c:v>3.6116754353979E-2</c:v>
                </c:pt>
                <c:pt idx="10">
                  <c:v>2.4131308461073302E-2</c:v>
                </c:pt>
                <c:pt idx="11">
                  <c:v>1.50907975017149E-2</c:v>
                </c:pt>
                <c:pt idx="12">
                  <c:v>2.18959251812363E-2</c:v>
                </c:pt>
                <c:pt idx="13">
                  <c:v>1.5853087229457601E-2</c:v>
                </c:pt>
                <c:pt idx="14">
                  <c:v>2.5816000922686499E-2</c:v>
                </c:pt>
                <c:pt idx="15">
                  <c:v>3.2653790420231497E-2</c:v>
                </c:pt>
                <c:pt idx="16">
                  <c:v>2.2551049405269301E-2</c:v>
                </c:pt>
                <c:pt idx="17">
                  <c:v>1.7451105925115201E-2</c:v>
                </c:pt>
                <c:pt idx="18">
                  <c:v>2.5108500052926801E-2</c:v>
                </c:pt>
                <c:pt idx="19">
                  <c:v>2.4420395150621499E-2</c:v>
                </c:pt>
                <c:pt idx="20">
                  <c:v>1.8443256615275801E-2</c:v>
                </c:pt>
                <c:pt idx="21">
                  <c:v>2.8673998000545299E-2</c:v>
                </c:pt>
                <c:pt idx="22">
                  <c:v>1.9055778091643698E-2</c:v>
                </c:pt>
                <c:pt idx="23">
                  <c:v>2.6964689097610201E-2</c:v>
                </c:pt>
                <c:pt idx="24">
                  <c:v>2.7787281880834801E-2</c:v>
                </c:pt>
                <c:pt idx="25">
                  <c:v>1.7354549975136802E-2</c:v>
                </c:pt>
                <c:pt idx="26">
                  <c:v>2.48178158283647E-2</c:v>
                </c:pt>
                <c:pt idx="27">
                  <c:v>4.0207797715285203E-2</c:v>
                </c:pt>
                <c:pt idx="28">
                  <c:v>2.41869808350074E-2</c:v>
                </c:pt>
                <c:pt idx="29">
                  <c:v>-3.4263992659588398E-2</c:v>
                </c:pt>
                <c:pt idx="30">
                  <c:v>-0.16517114593364299</c:v>
                </c:pt>
                <c:pt idx="31">
                  <c:v>3.0770619021837298E-2</c:v>
                </c:pt>
                <c:pt idx="32">
                  <c:v>5.8857252054270899E-2</c:v>
                </c:pt>
                <c:pt idx="33">
                  <c:v>7.50866384289566E-3</c:v>
                </c:pt>
                <c:pt idx="34">
                  <c:v>1.49734971543027E-2</c:v>
                </c:pt>
                <c:pt idx="35">
                  <c:v>3.02229603905581E-2</c:v>
                </c:pt>
                <c:pt idx="36">
                  <c:v>-2.4067979763249699E-2</c:v>
                </c:pt>
                <c:pt idx="37">
                  <c:v>6.4717726119812802E-2</c:v>
                </c:pt>
                <c:pt idx="38">
                  <c:v>-6.1935832025117703E-2</c:v>
                </c:pt>
                <c:pt idx="39">
                  <c:v>6.0230937272443601E-2</c:v>
                </c:pt>
                <c:pt idx="40">
                  <c:v>7.6544039419900303E-2</c:v>
                </c:pt>
                <c:pt idx="41">
                  <c:v>-9.6158712485449604E-2</c:v>
                </c:pt>
                <c:pt idx="42">
                  <c:v>-4.2475345884519303E-2</c:v>
                </c:pt>
                <c:pt idx="43">
                  <c:v>9.3996023856858804E-2</c:v>
                </c:pt>
                <c:pt idx="44">
                  <c:v>-7.3778541615516793E-2</c:v>
                </c:pt>
                <c:pt idx="45">
                  <c:v>-1.5708071532141099E-2</c:v>
                </c:pt>
                <c:pt idx="46">
                  <c:v>-8.3783544415906394E-2</c:v>
                </c:pt>
                <c:pt idx="47">
                  <c:v>3.4376932414172202E-2</c:v>
                </c:pt>
                <c:pt idx="48">
                  <c:v>-2.9517014514013999E-2</c:v>
                </c:pt>
                <c:pt idx="49">
                  <c:v>-5.2741283476503198E-2</c:v>
                </c:pt>
                <c:pt idx="50">
                  <c:v>4.2584950390727801E-2</c:v>
                </c:pt>
                <c:pt idx="51">
                  <c:v>-8.0348394120849098E-3</c:v>
                </c:pt>
                <c:pt idx="52">
                  <c:v>7.0163582979913305E-2</c:v>
                </c:pt>
                <c:pt idx="53">
                  <c:v>-5.1750044193035201E-2</c:v>
                </c:pt>
                <c:pt idx="54">
                  <c:v>3.20403183507788E-2</c:v>
                </c:pt>
                <c:pt idx="55">
                  <c:v>1.8771925748669899E-2</c:v>
                </c:pt>
                <c:pt idx="56">
                  <c:v>2.5639192699025402E-2</c:v>
                </c:pt>
                <c:pt idx="57">
                  <c:v>5.67936736161036E-3</c:v>
                </c:pt>
                <c:pt idx="58">
                  <c:v>5.2910453410037098E-2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5F-4D79-A6C9-0834B4EC2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25856"/>
        <c:axId val="507527296"/>
      </c:scatterChart>
      <c:valAx>
        <c:axId val="5075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27296"/>
        <c:crosses val="autoZero"/>
        <c:crossBetween val="midCat"/>
      </c:valAx>
      <c:valAx>
        <c:axId val="50752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2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 Limited Returns vs S&amp;P</a:t>
            </a:r>
            <a:r>
              <a:rPr lang="en-US" baseline="0"/>
              <a:t> Returns (2021-2026)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073170004022922"/>
                  <c:y val="-9.9040429579330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Sheet3!$A$1:$A$58</c:f>
              <c:numCache>
                <c:formatCode>General</c:formatCode>
                <c:ptCount val="58"/>
                <c:pt idx="0">
                  <c:v>1.6706300231781102E-2</c:v>
                </c:pt>
                <c:pt idx="1">
                  <c:v>-8.7869791588966097E-3</c:v>
                </c:pt>
                <c:pt idx="2">
                  <c:v>-1.7227223411430102E-2</c:v>
                </c:pt>
                <c:pt idx="3">
                  <c:v>3.7811354057302703E-2</c:v>
                </c:pt>
                <c:pt idx="4">
                  <c:v>2.6650003905334799E-2</c:v>
                </c:pt>
                <c:pt idx="5">
                  <c:v>1.16630055154321E-2</c:v>
                </c:pt>
                <c:pt idx="6">
                  <c:v>3.4901787612645799E-2</c:v>
                </c:pt>
                <c:pt idx="7">
                  <c:v>2.4668599487187901E-2</c:v>
                </c:pt>
                <c:pt idx="8">
                  <c:v>3.6116754353979E-2</c:v>
                </c:pt>
                <c:pt idx="9">
                  <c:v>2.4131308461073302E-2</c:v>
                </c:pt>
                <c:pt idx="10">
                  <c:v>1.50907975017149E-2</c:v>
                </c:pt>
                <c:pt idx="11">
                  <c:v>2.18959251812363E-2</c:v>
                </c:pt>
                <c:pt idx="12">
                  <c:v>1.5853087229457601E-2</c:v>
                </c:pt>
                <c:pt idx="13">
                  <c:v>2.5816000922686499E-2</c:v>
                </c:pt>
                <c:pt idx="14">
                  <c:v>3.2653790420231497E-2</c:v>
                </c:pt>
                <c:pt idx="15">
                  <c:v>2.2551049405269301E-2</c:v>
                </c:pt>
                <c:pt idx="16">
                  <c:v>1.7451105925115201E-2</c:v>
                </c:pt>
                <c:pt idx="17">
                  <c:v>2.5108500052926801E-2</c:v>
                </c:pt>
                <c:pt idx="18">
                  <c:v>2.4420395150621499E-2</c:v>
                </c:pt>
                <c:pt idx="19">
                  <c:v>1.8443256615275801E-2</c:v>
                </c:pt>
                <c:pt idx="20">
                  <c:v>2.8673998000545299E-2</c:v>
                </c:pt>
                <c:pt idx="21">
                  <c:v>1.9055778091643698E-2</c:v>
                </c:pt>
                <c:pt idx="22">
                  <c:v>2.6964689097610201E-2</c:v>
                </c:pt>
                <c:pt idx="23">
                  <c:v>2.7787281880834801E-2</c:v>
                </c:pt>
                <c:pt idx="24">
                  <c:v>1.7354549975136802E-2</c:v>
                </c:pt>
                <c:pt idx="25">
                  <c:v>2.48178158283647E-2</c:v>
                </c:pt>
                <c:pt idx="26">
                  <c:v>4.0207797715285203E-2</c:v>
                </c:pt>
                <c:pt idx="27">
                  <c:v>2.41869808350074E-2</c:v>
                </c:pt>
                <c:pt idx="28">
                  <c:v>-3.4263992659588398E-2</c:v>
                </c:pt>
                <c:pt idx="29">
                  <c:v>-0.16517114593364299</c:v>
                </c:pt>
                <c:pt idx="30">
                  <c:v>3.0770619021837298E-2</c:v>
                </c:pt>
                <c:pt idx="31">
                  <c:v>5.8857252054270899E-2</c:v>
                </c:pt>
                <c:pt idx="32">
                  <c:v>7.50866384289566E-3</c:v>
                </c:pt>
                <c:pt idx="33">
                  <c:v>1.49734971543027E-2</c:v>
                </c:pt>
                <c:pt idx="34">
                  <c:v>3.02229603905581E-2</c:v>
                </c:pt>
                <c:pt idx="35">
                  <c:v>-2.4067979763249699E-2</c:v>
                </c:pt>
                <c:pt idx="36">
                  <c:v>6.4717726119812802E-2</c:v>
                </c:pt>
                <c:pt idx="37">
                  <c:v>-6.1935832025117703E-2</c:v>
                </c:pt>
                <c:pt idx="38">
                  <c:v>6.0230937272443601E-2</c:v>
                </c:pt>
                <c:pt idx="39">
                  <c:v>7.6544039419900303E-2</c:v>
                </c:pt>
                <c:pt idx="40">
                  <c:v>-9.6158712485449604E-2</c:v>
                </c:pt>
                <c:pt idx="41">
                  <c:v>-4.2475345884519303E-2</c:v>
                </c:pt>
                <c:pt idx="42">
                  <c:v>9.3996023856858804E-2</c:v>
                </c:pt>
                <c:pt idx="43">
                  <c:v>-7.3778541615516793E-2</c:v>
                </c:pt>
                <c:pt idx="44">
                  <c:v>-1.5708071532141099E-2</c:v>
                </c:pt>
                <c:pt idx="45">
                  <c:v>-8.3783544415906394E-2</c:v>
                </c:pt>
                <c:pt idx="46">
                  <c:v>3.4376932414172202E-2</c:v>
                </c:pt>
                <c:pt idx="47">
                  <c:v>-2.9517014514013999E-2</c:v>
                </c:pt>
                <c:pt idx="48">
                  <c:v>-5.2741283476503198E-2</c:v>
                </c:pt>
                <c:pt idx="49">
                  <c:v>4.2584950390727801E-2</c:v>
                </c:pt>
                <c:pt idx="50">
                  <c:v>-8.0348394120849098E-3</c:v>
                </c:pt>
                <c:pt idx="51">
                  <c:v>7.0163582979913305E-2</c:v>
                </c:pt>
                <c:pt idx="52">
                  <c:v>-5.1750044193035201E-2</c:v>
                </c:pt>
                <c:pt idx="53">
                  <c:v>3.20403183507788E-2</c:v>
                </c:pt>
                <c:pt idx="54">
                  <c:v>1.8771925748669899E-2</c:v>
                </c:pt>
                <c:pt idx="55">
                  <c:v>2.5639192699025402E-2</c:v>
                </c:pt>
                <c:pt idx="56">
                  <c:v>5.67936736161036E-3</c:v>
                </c:pt>
                <c:pt idx="57">
                  <c:v>5.2910453410037098E-2</c:v>
                </c:pt>
              </c:numCache>
            </c:numRef>
          </c:xVal>
          <c:yVal>
            <c:numRef>
              <c:f>Sheet3!$B$1:$B$58</c:f>
              <c:numCache>
                <c:formatCode>General</c:formatCode>
                <c:ptCount val="58"/>
                <c:pt idx="0">
                  <c:v>2.0151217490051915E-2</c:v>
                </c:pt>
                <c:pt idx="1">
                  <c:v>-0.12639440778769678</c:v>
                </c:pt>
                <c:pt idx="2">
                  <c:v>-8.0276634875429215E-2</c:v>
                </c:pt>
                <c:pt idx="3">
                  <c:v>-0.11956904819873448</c:v>
                </c:pt>
                <c:pt idx="4">
                  <c:v>-8.9984739032652278E-2</c:v>
                </c:pt>
                <c:pt idx="5">
                  <c:v>0.14156824291420494</c:v>
                </c:pt>
                <c:pt idx="6">
                  <c:v>5.1481634521241826E-3</c:v>
                </c:pt>
                <c:pt idx="7">
                  <c:v>5.3032710111591101E-2</c:v>
                </c:pt>
                <c:pt idx="8">
                  <c:v>1.276783288415477E-2</c:v>
                </c:pt>
                <c:pt idx="9">
                  <c:v>3.4691045428640724E-2</c:v>
                </c:pt>
                <c:pt idx="10">
                  <c:v>2.6467804428814662E-2</c:v>
                </c:pt>
                <c:pt idx="11">
                  <c:v>0.26982330500049095</c:v>
                </c:pt>
                <c:pt idx="12">
                  <c:v>-2.1159574605468912E-2</c:v>
                </c:pt>
                <c:pt idx="13">
                  <c:v>4.5826075304639238E-2</c:v>
                </c:pt>
                <c:pt idx="14">
                  <c:v>4.6746856150672089E-2</c:v>
                </c:pt>
                <c:pt idx="15">
                  <c:v>8.0043030441691823E-2</c:v>
                </c:pt>
                <c:pt idx="16">
                  <c:v>5.8997649030852362E-2</c:v>
                </c:pt>
                <c:pt idx="17">
                  <c:v>5.0581591250229277E-2</c:v>
                </c:pt>
                <c:pt idx="18">
                  <c:v>3.6244004817537034E-2</c:v>
                </c:pt>
                <c:pt idx="19">
                  <c:v>6.7204753605791159E-2</c:v>
                </c:pt>
                <c:pt idx="20">
                  <c:v>3.5703603709515586E-2</c:v>
                </c:pt>
                <c:pt idx="21">
                  <c:v>7.4049223474306702E-2</c:v>
                </c:pt>
                <c:pt idx="22">
                  <c:v>5.8414888504458043E-2</c:v>
                </c:pt>
                <c:pt idx="23">
                  <c:v>0.3193451334706649</c:v>
                </c:pt>
                <c:pt idx="24">
                  <c:v>-6.196187368580261E-2</c:v>
                </c:pt>
                <c:pt idx="25">
                  <c:v>-0.12633927501304934</c:v>
                </c:pt>
                <c:pt idx="26">
                  <c:v>-0.17072944413357277</c:v>
                </c:pt>
                <c:pt idx="27">
                  <c:v>-0.17005282196040813</c:v>
                </c:pt>
                <c:pt idx="28">
                  <c:v>-7.4565365359916355E-2</c:v>
                </c:pt>
                <c:pt idx="29">
                  <c:v>0.12339878813618313</c:v>
                </c:pt>
                <c:pt idx="30">
                  <c:v>9.1475799612567618E-2</c:v>
                </c:pt>
                <c:pt idx="31">
                  <c:v>1.4571897559454608E-2</c:v>
                </c:pt>
                <c:pt idx="32">
                  <c:v>4.6921105691895892E-2</c:v>
                </c:pt>
                <c:pt idx="33">
                  <c:v>4.1448829302471235E-2</c:v>
                </c:pt>
                <c:pt idx="34">
                  <c:v>6.4962161136501606E-2</c:v>
                </c:pt>
                <c:pt idx="35">
                  <c:v>0.13527913540078143</c:v>
                </c:pt>
                <c:pt idx="36">
                  <c:v>-0.13969238187683444</c:v>
                </c:pt>
                <c:pt idx="37">
                  <c:v>-4.6226012670158217E-2</c:v>
                </c:pt>
                <c:pt idx="38">
                  <c:v>0.13515979194453098</c:v>
                </c:pt>
                <c:pt idx="39">
                  <c:v>0.11905166469264836</c:v>
                </c:pt>
                <c:pt idx="40">
                  <c:v>-2.497762976638776E-2</c:v>
                </c:pt>
                <c:pt idx="41">
                  <c:v>-0.14360577909586342</c:v>
                </c:pt>
                <c:pt idx="42">
                  <c:v>-0.27651754000530759</c:v>
                </c:pt>
                <c:pt idx="43">
                  <c:v>-3.5809310017357709E-2</c:v>
                </c:pt>
                <c:pt idx="44">
                  <c:v>-0.1277601401403046</c:v>
                </c:pt>
                <c:pt idx="45">
                  <c:v>-1.8745650107493628E-2</c:v>
                </c:pt>
                <c:pt idx="46">
                  <c:v>-0.13345273076281161</c:v>
                </c:pt>
                <c:pt idx="47">
                  <c:v>-0.37781436502506627</c:v>
                </c:pt>
                <c:pt idx="48">
                  <c:v>6.9866458772125661E-2</c:v>
                </c:pt>
                <c:pt idx="49">
                  <c:v>-0.29581756413915505</c:v>
                </c:pt>
                <c:pt idx="50">
                  <c:v>-0.16349356977282528</c:v>
                </c:pt>
                <c:pt idx="51">
                  <c:v>0.12673378743174477</c:v>
                </c:pt>
                <c:pt idx="52">
                  <c:v>0.11429310198249346</c:v>
                </c:pt>
                <c:pt idx="53">
                  <c:v>2.3171885038074411E-2</c:v>
                </c:pt>
                <c:pt idx="54">
                  <c:v>8.9904900131688101E-2</c:v>
                </c:pt>
                <c:pt idx="55">
                  <c:v>8.4985350624309217E-2</c:v>
                </c:pt>
                <c:pt idx="56">
                  <c:v>6.6153839240794252E-2</c:v>
                </c:pt>
                <c:pt idx="57">
                  <c:v>4.0760229863599992E-2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D4-42B5-87AD-341A58A25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65136"/>
        <c:axId val="509663696"/>
      </c:scatterChart>
      <c:valAx>
        <c:axId val="5096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3696"/>
        <c:crosses val="autoZero"/>
        <c:crossBetween val="midCat"/>
      </c:valAx>
      <c:valAx>
        <c:axId val="5096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6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36</xdr:col>
      <xdr:colOff>304800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41D91F-0122-C389-A5C1-61CAFD551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17</xdr:row>
      <xdr:rowOff>95250</xdr:rowOff>
    </xdr:from>
    <xdr:to>
      <xdr:col>36</xdr:col>
      <xdr:colOff>304800</xdr:colOff>
      <xdr:row>31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50F27F-DB87-59D1-3D6A-2E0F33E1A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200025</xdr:colOff>
      <xdr:row>0</xdr:row>
      <xdr:rowOff>0</xdr:rowOff>
    </xdr:from>
    <xdr:to>
      <xdr:col>13</xdr:col>
      <xdr:colOff>447675</xdr:colOff>
      <xdr:row>13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2C2215-C24A-37B6-3F45-442C80E92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345690A-E8E4-49F3-9195-503490828C2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F5BAC9EC-6EF4-47D9-BDA3-608CF2818B25}"/>
    <we:binding id="InputY" type="matrix" appref="{3185AE47-C64A-4B00-BD34-1FEE89E6163F}"/>
    <we:binding id="InputX" type="matrix" appref="{F7B29DD2-39F5-4DA8-B404-2D031B8028D0}"/>
    <we:binding id="Output" type="matrix" appref="{CAA5AB5E-5FE2-45E8-B2E2-814764288055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21729C0-CCBB-4DC7-94C5-ECB05690BC4C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9F923DE-29E7-451C-A699-71F46A94916A}">
  <we:reference id="wa104100404" version="3.0.0.1" store="en-US" storeType="OMEX"/>
  <we:alternateReferences>
    <we:reference id="WA104100404" version="3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A308-CE09-4CE0-BBA4-AE69474E1E76}">
  <dimension ref="A1:AB85"/>
  <sheetViews>
    <sheetView tabSelected="1" zoomScaleNormal="100" workbookViewId="0">
      <selection activeCell="AM14" sqref="AM14"/>
    </sheetView>
  </sheetViews>
  <sheetFormatPr defaultRowHeight="15" x14ac:dyDescent="0.25"/>
  <cols>
    <col min="1" max="1" width="11.42578125" customWidth="1"/>
    <col min="2" max="2" width="9.5703125" bestFit="1" customWidth="1"/>
    <col min="5" max="5" width="11.7109375" customWidth="1"/>
    <col min="6" max="6" width="9.5703125" bestFit="1" customWidth="1"/>
    <col min="10" max="10" width="18.42578125" bestFit="1" customWidth="1"/>
    <col min="11" max="11" width="12.5703125" customWidth="1"/>
    <col min="13" max="13" width="18.42578125" bestFit="1" customWidth="1"/>
    <col min="14" max="14" width="12.7109375" bestFit="1" customWidth="1"/>
    <col min="15" max="15" width="13.28515625" bestFit="1" customWidth="1"/>
    <col min="18" max="18" width="10" bestFit="1" customWidth="1"/>
    <col min="19" max="19" width="10.28515625" bestFit="1" customWidth="1"/>
    <col min="20" max="20" width="19.42578125" bestFit="1" customWidth="1"/>
    <col min="21" max="21" width="27.85546875" bestFit="1" customWidth="1"/>
    <col min="22" max="22" width="13.85546875" bestFit="1" customWidth="1"/>
    <col min="23" max="24" width="12" bestFit="1" customWidth="1"/>
    <col min="25" max="25" width="10.140625" bestFit="1" customWidth="1"/>
    <col min="26" max="26" width="12" bestFit="1" customWidth="1"/>
    <col min="27" max="27" width="12.7109375" bestFit="1" customWidth="1"/>
    <col min="28" max="28" width="12" bestFit="1" customWidth="1"/>
  </cols>
  <sheetData>
    <row r="1" spans="1:26" x14ac:dyDescent="0.25">
      <c r="A1" s="3" t="s">
        <v>53</v>
      </c>
      <c r="B1" s="3" t="s">
        <v>2</v>
      </c>
      <c r="C1" s="3" t="s">
        <v>3</v>
      </c>
      <c r="D1" s="3"/>
      <c r="E1" s="3" t="s">
        <v>54</v>
      </c>
      <c r="F1" s="3" t="s">
        <v>2</v>
      </c>
      <c r="G1" s="3" t="s">
        <v>3</v>
      </c>
    </row>
    <row r="2" spans="1:26" x14ac:dyDescent="0.25">
      <c r="A2" s="1">
        <v>46081</v>
      </c>
      <c r="B2">
        <v>686.38</v>
      </c>
      <c r="C2">
        <f>(B2-B3)/B3</f>
        <v>1.6076504026527733E-2</v>
      </c>
      <c r="E2" s="1">
        <v>46081</v>
      </c>
      <c r="F2">
        <v>108.73</v>
      </c>
      <c r="G2">
        <f>(F2-F3)/F3</f>
        <v>-0.17309301087535175</v>
      </c>
      <c r="J2" s="4"/>
    </row>
    <row r="3" spans="1:26" x14ac:dyDescent="0.25">
      <c r="A3" s="1">
        <v>46053</v>
      </c>
      <c r="B3">
        <v>675.52</v>
      </c>
      <c r="C3">
        <f t="shared" ref="C3:C60" si="0">(B3-B4)/B4</f>
        <v>1.6706300231781136E-2</v>
      </c>
      <c r="E3" s="1">
        <v>46053</v>
      </c>
      <c r="F3">
        <v>131.49</v>
      </c>
      <c r="G3">
        <f t="shared" ref="G3:G60" si="1">(F3-F4)/F4</f>
        <v>3.0728227639727334E-2</v>
      </c>
      <c r="J3" s="4"/>
      <c r="T3" t="s">
        <v>39</v>
      </c>
    </row>
    <row r="4" spans="1:26" x14ac:dyDescent="0.25">
      <c r="A4" s="1">
        <v>46022</v>
      </c>
      <c r="B4">
        <v>664.42</v>
      </c>
      <c r="C4">
        <f t="shared" si="0"/>
        <v>-8.7869791588966097E-3</v>
      </c>
      <c r="E4" s="1">
        <v>46022</v>
      </c>
      <c r="F4">
        <v>127.57</v>
      </c>
      <c r="G4">
        <f t="shared" si="1"/>
        <v>-0.14600348105502747</v>
      </c>
      <c r="J4" s="4"/>
    </row>
    <row r="5" spans="1:26" x14ac:dyDescent="0.25">
      <c r="A5" s="1">
        <v>45991</v>
      </c>
      <c r="B5">
        <v>670.31</v>
      </c>
      <c r="C5">
        <f t="shared" si="0"/>
        <v>-1.7227223411430081E-2</v>
      </c>
      <c r="E5" s="1">
        <v>45991</v>
      </c>
      <c r="F5">
        <v>149.38</v>
      </c>
      <c r="G5">
        <f t="shared" si="1"/>
        <v>-0.10987963294005482</v>
      </c>
      <c r="J5" s="4"/>
      <c r="T5" t="s">
        <v>40</v>
      </c>
    </row>
    <row r="6" spans="1:26" x14ac:dyDescent="0.25">
      <c r="A6" s="1">
        <v>45961</v>
      </c>
      <c r="B6">
        <v>682.06</v>
      </c>
      <c r="C6">
        <f t="shared" si="0"/>
        <v>3.7811354057302703E-2</v>
      </c>
      <c r="E6" s="1">
        <v>45961</v>
      </c>
      <c r="F6">
        <v>167.82</v>
      </c>
      <c r="G6">
        <f t="shared" si="1"/>
        <v>-8.4001964958244718E-2</v>
      </c>
      <c r="J6" s="4"/>
      <c r="T6" t="s">
        <v>4</v>
      </c>
      <c r="U6">
        <v>0.3880270119969218</v>
      </c>
    </row>
    <row r="7" spans="1:26" x14ac:dyDescent="0.25">
      <c r="A7" s="1">
        <v>45930</v>
      </c>
      <c r="B7">
        <v>657.21</v>
      </c>
      <c r="C7">
        <f t="shared" si="0"/>
        <v>2.6650003905334781E-2</v>
      </c>
      <c r="E7" s="1">
        <v>45930</v>
      </c>
      <c r="F7">
        <v>183.21</v>
      </c>
      <c r="G7">
        <f t="shared" si="1"/>
        <v>-6.7633587786259497E-2</v>
      </c>
      <c r="T7" t="s">
        <v>5</v>
      </c>
      <c r="U7">
        <v>0.15056496203925929</v>
      </c>
    </row>
    <row r="8" spans="1:26" x14ac:dyDescent="0.25">
      <c r="A8" s="1">
        <v>45900</v>
      </c>
      <c r="B8">
        <v>640.15</v>
      </c>
      <c r="C8">
        <f t="shared" si="0"/>
        <v>1.166300551543214E-2</v>
      </c>
      <c r="E8" s="1">
        <v>45900</v>
      </c>
      <c r="F8">
        <v>196.5</v>
      </c>
      <c r="G8">
        <f t="shared" si="1"/>
        <v>0.14617358842743819</v>
      </c>
      <c r="J8" s="4"/>
      <c r="T8" t="s">
        <v>41</v>
      </c>
      <c r="U8">
        <v>0.13539647921853182</v>
      </c>
    </row>
    <row r="9" spans="1:26" x14ac:dyDescent="0.25">
      <c r="A9" s="1">
        <v>45869</v>
      </c>
      <c r="B9">
        <v>632.77</v>
      </c>
      <c r="C9">
        <f t="shared" si="0"/>
        <v>3.490178761264582E-2</v>
      </c>
      <c r="E9" s="1">
        <v>45869</v>
      </c>
      <c r="F9">
        <v>171.44</v>
      </c>
      <c r="G9">
        <f t="shared" si="1"/>
        <v>3.7270087124878976E-2</v>
      </c>
      <c r="K9" s="4"/>
      <c r="L9" s="4"/>
      <c r="M9" s="4"/>
      <c r="N9" s="4"/>
      <c r="O9" s="4"/>
      <c r="S9" s="4"/>
      <c r="T9" s="4" t="s">
        <v>9</v>
      </c>
      <c r="U9" s="4">
        <v>0.12763244606362864</v>
      </c>
      <c r="V9" s="4"/>
      <c r="W9" s="4"/>
      <c r="X9" s="4"/>
      <c r="Y9" s="4"/>
      <c r="Z9" s="4"/>
    </row>
    <row r="10" spans="1:26" x14ac:dyDescent="0.25">
      <c r="A10" s="1">
        <v>45838</v>
      </c>
      <c r="B10">
        <v>611.42999999999995</v>
      </c>
      <c r="C10">
        <f t="shared" si="0"/>
        <v>2.4668599487187935E-2</v>
      </c>
      <c r="E10" s="1">
        <v>45838</v>
      </c>
      <c r="F10">
        <v>165.28</v>
      </c>
      <c r="G10">
        <f t="shared" si="1"/>
        <v>7.3037719924689992E-2</v>
      </c>
      <c r="J10" s="4"/>
      <c r="R10" s="4"/>
      <c r="T10" t="s">
        <v>8</v>
      </c>
      <c r="U10">
        <v>58</v>
      </c>
    </row>
    <row r="11" spans="1:26" x14ac:dyDescent="0.25">
      <c r="A11" s="1">
        <v>45808</v>
      </c>
      <c r="B11">
        <v>596.71</v>
      </c>
      <c r="C11">
        <f t="shared" si="0"/>
        <v>3.6116754353979041E-2</v>
      </c>
      <c r="E11" s="1">
        <v>45808</v>
      </c>
      <c r="F11">
        <v>154.03</v>
      </c>
      <c r="G11">
        <f t="shared" si="1"/>
        <v>4.6328374431084798E-2</v>
      </c>
      <c r="J11" s="4"/>
      <c r="R11" s="4"/>
    </row>
    <row r="12" spans="1:26" x14ac:dyDescent="0.25">
      <c r="A12" s="1">
        <v>45777</v>
      </c>
      <c r="B12">
        <v>575.91</v>
      </c>
      <c r="C12">
        <f t="shared" si="0"/>
        <v>2.4131308461073257E-2</v>
      </c>
      <c r="E12" s="1">
        <v>45777</v>
      </c>
      <c r="F12">
        <v>147.21</v>
      </c>
      <c r="G12">
        <f t="shared" si="1"/>
        <v>5.4059859659172357E-2</v>
      </c>
      <c r="J12" s="4"/>
      <c r="T12" t="s">
        <v>10</v>
      </c>
    </row>
    <row r="13" spans="1:26" x14ac:dyDescent="0.25">
      <c r="A13" s="1">
        <v>45747</v>
      </c>
      <c r="B13">
        <v>562.34</v>
      </c>
      <c r="C13">
        <f t="shared" si="0"/>
        <v>1.5090797501714888E-2</v>
      </c>
      <c r="E13" s="1">
        <v>45747</v>
      </c>
      <c r="F13">
        <v>139.66</v>
      </c>
      <c r="G13">
        <f t="shared" si="1"/>
        <v>3.5131930032611988E-2</v>
      </c>
      <c r="U13" t="s">
        <v>11</v>
      </c>
      <c r="V13" t="s">
        <v>12</v>
      </c>
      <c r="W13" t="s">
        <v>13</v>
      </c>
      <c r="X13" t="s">
        <v>14</v>
      </c>
      <c r="Y13" t="s">
        <v>15</v>
      </c>
    </row>
    <row r="14" spans="1:26" x14ac:dyDescent="0.25">
      <c r="A14" t="s">
        <v>1</v>
      </c>
      <c r="B14">
        <v>553.98</v>
      </c>
      <c r="C14">
        <f t="shared" si="0"/>
        <v>2.189592518123629E-2</v>
      </c>
      <c r="E14" s="1">
        <v>45716</v>
      </c>
      <c r="F14">
        <v>134.91999999999999</v>
      </c>
      <c r="G14">
        <f t="shared" si="1"/>
        <v>0.2865452464956611</v>
      </c>
      <c r="J14" s="4" t="s">
        <v>32</v>
      </c>
      <c r="T14" t="s">
        <v>16</v>
      </c>
      <c r="U14">
        <v>1</v>
      </c>
      <c r="V14">
        <v>0.16169774374678791</v>
      </c>
      <c r="W14">
        <v>0.16169774374678791</v>
      </c>
      <c r="X14">
        <v>9.9261715109380919</v>
      </c>
      <c r="Y14">
        <v>2.6152244975737871E-3</v>
      </c>
    </row>
    <row r="15" spans="1:26" x14ac:dyDescent="0.25">
      <c r="A15" s="1">
        <v>45688</v>
      </c>
      <c r="B15">
        <v>542.11</v>
      </c>
      <c r="C15">
        <f t="shared" si="0"/>
        <v>1.585308722945758E-2</v>
      </c>
      <c r="E15" s="1">
        <v>45688</v>
      </c>
      <c r="F15">
        <v>104.87</v>
      </c>
      <c r="G15">
        <f t="shared" si="1"/>
        <v>-1.1592836946277002E-2</v>
      </c>
      <c r="J15" s="5" t="s">
        <v>26</v>
      </c>
      <c r="K15" s="2">
        <f>AVERAGE(C2:C60)</f>
        <v>1.0366886601473686E-2</v>
      </c>
      <c r="M15" s="5" t="s">
        <v>26</v>
      </c>
      <c r="N15" s="2">
        <f>AVERAGE(G2:G60)</f>
        <v>-2.9774756400508444E-5</v>
      </c>
      <c r="T15" t="s">
        <v>17</v>
      </c>
      <c r="U15">
        <v>56</v>
      </c>
      <c r="V15">
        <v>0.91224231213836404</v>
      </c>
      <c r="W15">
        <v>1.6290041288185071E-2</v>
      </c>
    </row>
    <row r="16" spans="1:26" x14ac:dyDescent="0.25">
      <c r="A16" s="1">
        <v>45657</v>
      </c>
      <c r="B16">
        <v>533.65</v>
      </c>
      <c r="C16">
        <f t="shared" si="0"/>
        <v>2.5816000922686457E-2</v>
      </c>
      <c r="E16" s="1">
        <v>45657</v>
      </c>
      <c r="F16">
        <v>106.1</v>
      </c>
      <c r="G16">
        <f t="shared" si="1"/>
        <v>6.7189700261516716E-2</v>
      </c>
      <c r="J16" s="5" t="s">
        <v>7</v>
      </c>
      <c r="K16" s="2">
        <f>_xlfn.STDEV.S(C2:C60)</f>
        <v>4.4598407379149781E-2</v>
      </c>
      <c r="M16" s="5" t="s">
        <v>7</v>
      </c>
      <c r="N16" s="2">
        <f>_xlfn.STDEV.S(G2:G60)</f>
        <v>0.13799096260560206</v>
      </c>
      <c r="T16" t="s">
        <v>18</v>
      </c>
      <c r="U16">
        <v>57</v>
      </c>
      <c r="V16">
        <v>1.073940055885152</v>
      </c>
    </row>
    <row r="17" spans="1:28" x14ac:dyDescent="0.25">
      <c r="A17" s="1">
        <v>45626</v>
      </c>
      <c r="B17">
        <v>520.22</v>
      </c>
      <c r="C17">
        <f t="shared" si="0"/>
        <v>3.2653790420231546E-2</v>
      </c>
      <c r="E17" s="1">
        <v>45626</v>
      </c>
      <c r="F17">
        <v>99.42</v>
      </c>
      <c r="G17">
        <f t="shared" si="1"/>
        <v>7.620697120588879E-2</v>
      </c>
      <c r="J17" s="5" t="s">
        <v>27</v>
      </c>
      <c r="K17" s="2">
        <f>_xlfn.VAR.S(C2:C60)</f>
        <v>1.9890179407566016E-3</v>
      </c>
      <c r="M17" s="5" t="s">
        <v>27</v>
      </c>
      <c r="N17" s="2">
        <f>_xlfn.VAR.S(G2:G60)</f>
        <v>1.9041505760820664E-2</v>
      </c>
    </row>
    <row r="18" spans="1:28" x14ac:dyDescent="0.25">
      <c r="A18" s="1">
        <v>45596</v>
      </c>
      <c r="B18">
        <v>503.77</v>
      </c>
      <c r="C18">
        <f t="shared" si="0"/>
        <v>2.2551049405269266E-2</v>
      </c>
      <c r="E18" s="1">
        <v>45596</v>
      </c>
      <c r="F18">
        <v>92.38</v>
      </c>
      <c r="G18">
        <f t="shared" si="1"/>
        <v>9.7540691457763978E-2</v>
      </c>
      <c r="J18" s="5" t="s">
        <v>28</v>
      </c>
      <c r="K18" s="2">
        <f>(K15+1.96)*K16</f>
        <v>8.7875225095039547E-2</v>
      </c>
      <c r="M18" s="5" t="s">
        <v>28</v>
      </c>
      <c r="N18" s="2">
        <f>(N15+1.96)*N16</f>
        <v>0.27045817805968297</v>
      </c>
      <c r="U18" t="s">
        <v>42</v>
      </c>
      <c r="V18" t="s">
        <v>9</v>
      </c>
      <c r="W18" t="s">
        <v>22</v>
      </c>
      <c r="X18" t="s">
        <v>43</v>
      </c>
      <c r="Y18" t="s">
        <v>24</v>
      </c>
      <c r="Z18" t="s">
        <v>25</v>
      </c>
      <c r="AA18" t="s">
        <v>24</v>
      </c>
      <c r="AB18" t="s">
        <v>25</v>
      </c>
    </row>
    <row r="19" spans="1:28" x14ac:dyDescent="0.25">
      <c r="A19" s="1">
        <v>45565</v>
      </c>
      <c r="B19">
        <v>492.66</v>
      </c>
      <c r="C19">
        <f t="shared" si="0"/>
        <v>1.7451105925115229E-2</v>
      </c>
      <c r="E19" s="1">
        <v>45565</v>
      </c>
      <c r="F19">
        <v>84.17</v>
      </c>
      <c r="G19">
        <f t="shared" si="1"/>
        <v>7.045656873966688E-2</v>
      </c>
      <c r="J19" s="5" t="s">
        <v>29</v>
      </c>
      <c r="K19" s="2">
        <f>(K15-1.96)*K16</f>
        <v>-8.6950531831227598E-2</v>
      </c>
      <c r="M19" s="5" t="s">
        <v>29</v>
      </c>
      <c r="N19" s="2">
        <f>(N15-1.96)*N16</f>
        <v>-0.27046639535427708</v>
      </c>
      <c r="T19" t="s">
        <v>20</v>
      </c>
      <c r="U19">
        <v>-9.2045865863841607E-3</v>
      </c>
      <c r="V19">
        <v>1.7197559087664176E-2</v>
      </c>
      <c r="W19">
        <v>-0.53522633877656622</v>
      </c>
      <c r="X19">
        <v>0.59461252971229273</v>
      </c>
      <c r="Y19">
        <v>-4.3655436295869307E-2</v>
      </c>
      <c r="Z19">
        <v>2.5246263123100989E-2</v>
      </c>
      <c r="AA19">
        <v>-4.3655436295869307E-2</v>
      </c>
      <c r="AB19">
        <v>2.5246263123100989E-2</v>
      </c>
    </row>
    <row r="20" spans="1:28" x14ac:dyDescent="0.25">
      <c r="A20" s="1">
        <v>45535</v>
      </c>
      <c r="B20">
        <v>484.21</v>
      </c>
      <c r="C20">
        <f t="shared" si="0"/>
        <v>2.5108500052926763E-2</v>
      </c>
      <c r="E20" s="1">
        <v>45535</v>
      </c>
      <c r="F20">
        <v>78.63</v>
      </c>
      <c r="G20">
        <f t="shared" si="1"/>
        <v>7.1107478545157324E-2</v>
      </c>
      <c r="M20" s="4"/>
      <c r="T20">
        <v>1.6076504026527699E-2</v>
      </c>
      <c r="U20">
        <v>1.1840800453488904</v>
      </c>
      <c r="V20">
        <v>0.3758289016575771</v>
      </c>
      <c r="W20">
        <v>3.1505827256141203</v>
      </c>
      <c r="X20">
        <v>2.6152245490076872E-3</v>
      </c>
      <c r="Y20">
        <v>0.43120430632768214</v>
      </c>
      <c r="Z20">
        <v>1.9369557843700989</v>
      </c>
      <c r="AA20">
        <v>0.43120430632768214</v>
      </c>
      <c r="AB20">
        <v>1.9369557843700989</v>
      </c>
    </row>
    <row r="21" spans="1:28" x14ac:dyDescent="0.25">
      <c r="A21" s="1">
        <v>45504</v>
      </c>
      <c r="B21">
        <v>472.35</v>
      </c>
      <c r="C21">
        <f t="shared" si="0"/>
        <v>2.4420395150621457E-2</v>
      </c>
      <c r="E21" s="1">
        <v>45504</v>
      </c>
      <c r="F21">
        <v>73.41</v>
      </c>
      <c r="G21">
        <f t="shared" si="1"/>
        <v>5.5955120828538561E-2</v>
      </c>
      <c r="J21" s="6" t="s">
        <v>31</v>
      </c>
      <c r="K21" s="2">
        <f>_xlfn.COVARIANCE.S(C2:C60,G2:G60)</f>
        <v>2.3371490789299582E-3</v>
      </c>
      <c r="M21" s="4"/>
    </row>
    <row r="22" spans="1:28" x14ac:dyDescent="0.25">
      <c r="A22" s="1">
        <v>45473</v>
      </c>
      <c r="B22">
        <v>461.09</v>
      </c>
      <c r="C22">
        <f t="shared" si="0"/>
        <v>1.8443256615275801E-2</v>
      </c>
      <c r="E22" s="1">
        <v>45473</v>
      </c>
      <c r="F22">
        <v>69.52</v>
      </c>
      <c r="G22">
        <f t="shared" si="1"/>
        <v>7.9838459148803997E-2</v>
      </c>
      <c r="J22" s="6" t="s">
        <v>30</v>
      </c>
      <c r="K22" s="2">
        <f>CORREL(C2:C60,G2:G60)</f>
        <v>0.37976629796262767</v>
      </c>
    </row>
    <row r="23" spans="1:28" x14ac:dyDescent="0.25">
      <c r="A23" s="1">
        <v>45443</v>
      </c>
      <c r="B23">
        <v>452.74</v>
      </c>
      <c r="C23">
        <f t="shared" si="0"/>
        <v>2.8673998000545316E-2</v>
      </c>
      <c r="E23" s="1">
        <v>45443</v>
      </c>
      <c r="F23">
        <v>64.38</v>
      </c>
      <c r="G23">
        <f t="shared" si="1"/>
        <v>6.0451325975951153E-2</v>
      </c>
    </row>
    <row r="24" spans="1:28" x14ac:dyDescent="0.25">
      <c r="A24" s="1">
        <v>45412</v>
      </c>
      <c r="B24">
        <v>440.12</v>
      </c>
      <c r="C24">
        <f t="shared" si="0"/>
        <v>1.9055778091643747E-2</v>
      </c>
      <c r="E24" s="1">
        <v>45412</v>
      </c>
      <c r="F24">
        <v>60.71</v>
      </c>
      <c r="G24">
        <f t="shared" si="1"/>
        <v>8.740820347483437E-2</v>
      </c>
      <c r="J24" s="7" t="s">
        <v>33</v>
      </c>
      <c r="K24" s="8"/>
      <c r="L24" s="8"/>
      <c r="M24" s="8"/>
      <c r="N24" s="8"/>
      <c r="O24" s="8"/>
      <c r="P24" s="8"/>
      <c r="Q24" s="8"/>
      <c r="R24" s="9"/>
      <c r="T24" t="s">
        <v>44</v>
      </c>
    </row>
    <row r="25" spans="1:28" x14ac:dyDescent="0.25">
      <c r="A25" s="1">
        <v>45382</v>
      </c>
      <c r="B25">
        <v>431.89</v>
      </c>
      <c r="C25">
        <f t="shared" si="0"/>
        <v>2.6964689097610212E-2</v>
      </c>
      <c r="E25" s="1">
        <v>45382</v>
      </c>
      <c r="F25">
        <v>55.83</v>
      </c>
      <c r="G25">
        <f t="shared" si="1"/>
        <v>8.1138652207590964E-2</v>
      </c>
      <c r="J25" s="10" t="s">
        <v>34</v>
      </c>
      <c r="K25" s="11"/>
      <c r="L25" s="11"/>
      <c r="M25" s="11"/>
      <c r="N25" s="11"/>
      <c r="O25" s="11"/>
      <c r="P25" s="11"/>
      <c r="Q25" s="11"/>
      <c r="R25" s="12"/>
    </row>
    <row r="26" spans="1:28" x14ac:dyDescent="0.25">
      <c r="A26" s="1">
        <v>45351</v>
      </c>
      <c r="B26">
        <v>420.55</v>
      </c>
      <c r="C26">
        <f t="shared" si="0"/>
        <v>2.778728188083485E-2</v>
      </c>
      <c r="E26" s="1">
        <v>45351</v>
      </c>
      <c r="F26">
        <v>51.64</v>
      </c>
      <c r="G26">
        <f t="shared" si="1"/>
        <v>0.34304291287386207</v>
      </c>
      <c r="J26" s="10" t="s">
        <v>35</v>
      </c>
      <c r="K26" s="11"/>
      <c r="L26" s="11"/>
      <c r="M26" s="11"/>
      <c r="N26" s="11"/>
      <c r="O26" s="11"/>
      <c r="P26" s="11"/>
      <c r="Q26" s="11"/>
      <c r="R26" s="12"/>
      <c r="T26" t="s">
        <v>45</v>
      </c>
      <c r="U26" t="s">
        <v>48</v>
      </c>
      <c r="V26" t="s">
        <v>46</v>
      </c>
    </row>
    <row r="27" spans="1:28" x14ac:dyDescent="0.25">
      <c r="A27" s="1">
        <v>45322</v>
      </c>
      <c r="B27">
        <v>409.18</v>
      </c>
      <c r="C27">
        <f t="shared" si="0"/>
        <v>1.7354549975136795E-2</v>
      </c>
      <c r="E27" s="1">
        <v>45322</v>
      </c>
      <c r="F27">
        <v>38.450000000000003</v>
      </c>
      <c r="G27">
        <f t="shared" si="1"/>
        <v>-5.0617283950617216E-2</v>
      </c>
      <c r="J27" s="10" t="s">
        <v>47</v>
      </c>
      <c r="K27" s="11"/>
      <c r="L27" s="11"/>
      <c r="M27" s="11"/>
      <c r="N27" s="11"/>
      <c r="O27" s="11"/>
      <c r="P27" s="11"/>
      <c r="Q27" s="11"/>
      <c r="R27" s="12"/>
      <c r="T27">
        <v>1</v>
      </c>
      <c r="U27">
        <v>1.0577010149675384E-2</v>
      </c>
      <c r="V27">
        <v>2.0151217490051915E-2</v>
      </c>
    </row>
    <row r="28" spans="1:28" x14ac:dyDescent="0.25">
      <c r="A28" s="1">
        <v>45291</v>
      </c>
      <c r="B28">
        <v>402.2</v>
      </c>
      <c r="C28">
        <f t="shared" si="0"/>
        <v>2.48178158283647E-2</v>
      </c>
      <c r="E28" s="1">
        <v>45291</v>
      </c>
      <c r="F28">
        <v>40.5</v>
      </c>
      <c r="G28">
        <f t="shared" si="1"/>
        <v>-0.10615758110792324</v>
      </c>
      <c r="J28" s="10" t="s">
        <v>49</v>
      </c>
      <c r="K28" s="11"/>
      <c r="L28" s="11"/>
      <c r="M28" s="11"/>
      <c r="N28" s="11"/>
      <c r="O28" s="11"/>
      <c r="P28" s="11"/>
      <c r="Q28" s="11"/>
      <c r="R28" s="12"/>
      <c r="T28">
        <v>2</v>
      </c>
      <c r="U28">
        <v>-1.9609073267330211E-2</v>
      </c>
      <c r="V28">
        <v>-0.12639440778769678</v>
      </c>
    </row>
    <row r="29" spans="1:28" x14ac:dyDescent="0.25">
      <c r="A29" s="1">
        <v>45260</v>
      </c>
      <c r="B29">
        <v>392.46</v>
      </c>
      <c r="C29">
        <f t="shared" si="0"/>
        <v>4.0207797715285216E-2</v>
      </c>
      <c r="E29" s="1">
        <v>45260</v>
      </c>
      <c r="F29">
        <v>45.31</v>
      </c>
      <c r="G29">
        <f t="shared" si="1"/>
        <v>-0.13232477977786283</v>
      </c>
      <c r="J29" s="13" t="s">
        <v>37</v>
      </c>
      <c r="K29" s="14"/>
      <c r="L29" s="14"/>
      <c r="M29" s="14"/>
      <c r="N29" s="14"/>
      <c r="O29" s="14"/>
      <c r="P29" s="14"/>
      <c r="Q29" s="14"/>
      <c r="R29" s="15"/>
      <c r="T29">
        <v>3</v>
      </c>
      <c r="U29">
        <v>-2.9602998064625782E-2</v>
      </c>
      <c r="V29">
        <v>-8.0276634875429215E-2</v>
      </c>
    </row>
    <row r="30" spans="1:28" x14ac:dyDescent="0.25">
      <c r="A30" s="1">
        <v>45230</v>
      </c>
      <c r="B30">
        <v>377.29</v>
      </c>
      <c r="C30">
        <f t="shared" si="0"/>
        <v>2.4186980835007397E-2</v>
      </c>
      <c r="E30" s="1">
        <v>45230</v>
      </c>
      <c r="F30">
        <v>52.22</v>
      </c>
      <c r="G30">
        <f t="shared" si="1"/>
        <v>-0.15061808718282366</v>
      </c>
      <c r="T30">
        <v>4</v>
      </c>
      <c r="U30">
        <v>3.556708324048978E-2</v>
      </c>
      <c r="V30">
        <v>-0.11956904819873448</v>
      </c>
    </row>
    <row r="31" spans="1:28" x14ac:dyDescent="0.25">
      <c r="A31" s="1">
        <v>45199</v>
      </c>
      <c r="B31">
        <v>368.38</v>
      </c>
      <c r="C31">
        <f t="shared" si="0"/>
        <v>-3.4263992659588398E-2</v>
      </c>
      <c r="E31" s="1">
        <v>45199</v>
      </c>
      <c r="F31">
        <v>61.48</v>
      </c>
      <c r="G31">
        <f t="shared" si="1"/>
        <v>-0.12434126192850017</v>
      </c>
      <c r="J31" s="7" t="s">
        <v>50</v>
      </c>
      <c r="K31" s="8"/>
      <c r="L31" s="8"/>
      <c r="M31" s="8"/>
      <c r="N31" s="8"/>
      <c r="O31" s="8"/>
      <c r="P31" s="8"/>
      <c r="Q31" s="8"/>
      <c r="R31" s="9"/>
      <c r="T31">
        <v>5</v>
      </c>
      <c r="U31">
        <v>2.2351151246392777E-2</v>
      </c>
      <c r="V31">
        <v>-8.9984739032652278E-2</v>
      </c>
    </row>
    <row r="32" spans="1:28" x14ac:dyDescent="0.25">
      <c r="A32" s="1">
        <v>45169</v>
      </c>
      <c r="B32">
        <v>381.45</v>
      </c>
      <c r="C32">
        <f t="shared" si="0"/>
        <v>-0.16517114593364271</v>
      </c>
      <c r="E32" s="1">
        <v>45169</v>
      </c>
      <c r="F32">
        <v>70.209999999999994</v>
      </c>
      <c r="G32">
        <f t="shared" si="1"/>
        <v>-8.1381656417637213E-2</v>
      </c>
      <c r="J32" s="10" t="s">
        <v>52</v>
      </c>
      <c r="K32" s="11"/>
      <c r="L32" s="11"/>
      <c r="M32" s="11"/>
      <c r="N32" s="11"/>
      <c r="O32" s="11"/>
      <c r="P32" s="11"/>
      <c r="Q32" s="11"/>
      <c r="R32" s="12"/>
      <c r="T32">
        <v>6</v>
      </c>
      <c r="U32">
        <v>4.6053455132330397E-3</v>
      </c>
      <c r="V32">
        <v>0.14156824291420494</v>
      </c>
    </row>
    <row r="33" spans="1:22" x14ac:dyDescent="0.25">
      <c r="A33" s="1">
        <v>45138</v>
      </c>
      <c r="B33">
        <v>456.92</v>
      </c>
      <c r="C33">
        <f t="shared" si="0"/>
        <v>3.0770619021837312E-2</v>
      </c>
      <c r="E33" s="1">
        <v>45138</v>
      </c>
      <c r="F33">
        <v>76.430000000000007</v>
      </c>
      <c r="G33">
        <f t="shared" si="1"/>
        <v>0.11870608899297445</v>
      </c>
      <c r="J33" s="13" t="s">
        <v>51</v>
      </c>
      <c r="K33" s="14"/>
      <c r="L33" s="14"/>
      <c r="M33" s="14"/>
      <c r="N33" s="14"/>
      <c r="O33" s="14"/>
      <c r="P33" s="14"/>
      <c r="Q33" s="14"/>
      <c r="R33" s="15"/>
      <c r="T33">
        <v>7</v>
      </c>
      <c r="U33">
        <v>3.2121923672754821E-2</v>
      </c>
      <c r="V33">
        <v>5.1481634521241826E-3</v>
      </c>
    </row>
    <row r="34" spans="1:22" x14ac:dyDescent="0.25">
      <c r="A34" s="1">
        <v>45107</v>
      </c>
      <c r="B34">
        <v>443.28</v>
      </c>
      <c r="C34">
        <f t="shared" si="0"/>
        <v>5.8857252054270941E-2</v>
      </c>
      <c r="E34" s="1">
        <v>45107</v>
      </c>
      <c r="F34">
        <v>68.319999999999993</v>
      </c>
      <c r="G34">
        <f t="shared" si="1"/>
        <v>7.5059008654602619E-2</v>
      </c>
      <c r="T34">
        <v>8</v>
      </c>
      <c r="U34">
        <v>2.0005009813098905E-2</v>
      </c>
      <c r="V34">
        <v>5.3032710111591101E-2</v>
      </c>
    </row>
    <row r="35" spans="1:22" x14ac:dyDescent="0.25">
      <c r="A35" s="1">
        <v>45077</v>
      </c>
      <c r="B35">
        <v>418.64</v>
      </c>
      <c r="C35">
        <f t="shared" si="0"/>
        <v>7.50866384289566E-3</v>
      </c>
      <c r="E35" s="1">
        <v>45077</v>
      </c>
      <c r="F35">
        <v>63.55</v>
      </c>
      <c r="G35">
        <f t="shared" si="1"/>
        <v>4.6607378129117236E-2</v>
      </c>
      <c r="T35">
        <v>9</v>
      </c>
      <c r="U35">
        <v>3.3560541546930028E-2</v>
      </c>
      <c r="V35">
        <v>1.276783288415477E-2</v>
      </c>
    </row>
    <row r="36" spans="1:22" x14ac:dyDescent="0.25">
      <c r="A36" s="1">
        <v>45046</v>
      </c>
      <c r="B36">
        <v>415.52</v>
      </c>
      <c r="C36">
        <f t="shared" si="0"/>
        <v>1.4973497154302733E-2</v>
      </c>
      <c r="E36" s="1">
        <v>45046</v>
      </c>
      <c r="F36">
        <v>60.72</v>
      </c>
      <c r="G36">
        <f t="shared" si="1"/>
        <v>4.997406190558535E-2</v>
      </c>
      <c r="T36">
        <v>10</v>
      </c>
      <c r="U36">
        <v>1.9368814230531578E-2</v>
      </c>
      <c r="V36">
        <v>3.4691045428640724E-2</v>
      </c>
    </row>
    <row r="37" spans="1:22" x14ac:dyDescent="0.25">
      <c r="A37" s="1">
        <v>45016</v>
      </c>
      <c r="B37">
        <v>409.39</v>
      </c>
      <c r="C37">
        <f t="shared" si="0"/>
        <v>3.0222960390558135E-2</v>
      </c>
      <c r="E37" s="1">
        <v>45016</v>
      </c>
      <c r="F37">
        <v>57.83</v>
      </c>
      <c r="G37">
        <f t="shared" si="1"/>
        <v>9.1543978859947181E-2</v>
      </c>
      <c r="T37">
        <v>11</v>
      </c>
      <c r="U37">
        <v>8.6641256037973402E-3</v>
      </c>
      <c r="V37">
        <v>2.6467804428814662E-2</v>
      </c>
    </row>
    <row r="38" spans="1:22" x14ac:dyDescent="0.25">
      <c r="A38" s="1">
        <v>44985</v>
      </c>
      <c r="B38">
        <v>397.38</v>
      </c>
      <c r="C38">
        <f t="shared" si="0"/>
        <v>-2.4067979763249696E-2</v>
      </c>
      <c r="E38" s="1">
        <v>44985</v>
      </c>
      <c r="F38">
        <v>52.98</v>
      </c>
      <c r="G38">
        <f t="shared" si="1"/>
        <v>9.7576134244872451E-2</v>
      </c>
      <c r="T38">
        <v>12</v>
      </c>
      <c r="U38">
        <v>1.6721941495170031E-2</v>
      </c>
      <c r="V38">
        <v>0.26982330500049095</v>
      </c>
    </row>
    <row r="39" spans="1:22" x14ac:dyDescent="0.25">
      <c r="A39" s="1">
        <v>44957</v>
      </c>
      <c r="B39">
        <v>407.18</v>
      </c>
      <c r="C39">
        <f t="shared" si="0"/>
        <v>6.4717726119812774E-2</v>
      </c>
      <c r="E39" s="1">
        <v>44957</v>
      </c>
      <c r="F39">
        <v>48.27</v>
      </c>
      <c r="G39">
        <f t="shared" si="1"/>
        <v>-7.2266000384393583E-2</v>
      </c>
      <c r="T39">
        <v>13</v>
      </c>
      <c r="U39">
        <v>9.5667376591919116E-3</v>
      </c>
      <c r="V39">
        <v>-2.1159574605468912E-2</v>
      </c>
    </row>
    <row r="40" spans="1:22" x14ac:dyDescent="0.25">
      <c r="A40" s="1">
        <v>44926</v>
      </c>
      <c r="B40">
        <v>382.43</v>
      </c>
      <c r="C40">
        <f t="shared" si="0"/>
        <v>-6.1935832025117737E-2</v>
      </c>
      <c r="E40" s="1">
        <v>44926</v>
      </c>
      <c r="F40">
        <v>52.03</v>
      </c>
      <c r="G40">
        <f t="shared" si="1"/>
        <v>-0.12876758204956459</v>
      </c>
      <c r="T40">
        <v>14</v>
      </c>
      <c r="U40">
        <v>2.1363624956877467E-2</v>
      </c>
      <c r="V40">
        <v>4.5826075304639238E-2</v>
      </c>
    </row>
    <row r="41" spans="1:22" x14ac:dyDescent="0.25">
      <c r="A41" s="1">
        <v>44895</v>
      </c>
      <c r="B41">
        <v>407.68</v>
      </c>
      <c r="C41">
        <f t="shared" si="0"/>
        <v>6.0230937272443635E-2</v>
      </c>
      <c r="E41" s="1">
        <v>44895</v>
      </c>
      <c r="F41">
        <v>59.72</v>
      </c>
      <c r="G41">
        <f t="shared" si="1"/>
        <v>0.19727345629510817</v>
      </c>
      <c r="T41">
        <v>15</v>
      </c>
      <c r="U41">
        <v>2.9460115055216712E-2</v>
      </c>
      <c r="V41">
        <v>4.6746856150672089E-2</v>
      </c>
    </row>
    <row r="42" spans="1:22" x14ac:dyDescent="0.25">
      <c r="A42" s="1">
        <v>44865</v>
      </c>
      <c r="B42">
        <v>384.52</v>
      </c>
      <c r="C42">
        <f t="shared" si="0"/>
        <v>7.6544039419900262E-2</v>
      </c>
      <c r="E42" s="1">
        <v>44865</v>
      </c>
      <c r="F42">
        <v>49.88</v>
      </c>
      <c r="G42">
        <f t="shared" si="1"/>
        <v>0.20048134777376669</v>
      </c>
      <c r="T42">
        <v>16</v>
      </c>
      <c r="U42">
        <v>1.7497661016072183E-2</v>
      </c>
      <c r="V42">
        <v>8.0043030441691823E-2</v>
      </c>
    </row>
    <row r="43" spans="1:22" x14ac:dyDescent="0.25">
      <c r="A43" s="1">
        <v>44834</v>
      </c>
      <c r="B43">
        <v>357.18</v>
      </c>
      <c r="C43">
        <f t="shared" si="0"/>
        <v>-9.615871248544966E-2</v>
      </c>
      <c r="E43" s="1">
        <v>44834</v>
      </c>
      <c r="F43">
        <v>41.55</v>
      </c>
      <c r="G43">
        <f t="shared" si="1"/>
        <v>-0.14804182899323365</v>
      </c>
      <c r="T43">
        <v>17</v>
      </c>
      <c r="U43">
        <v>1.1458919708814536E-2</v>
      </c>
      <c r="V43">
        <v>5.8997649030852362E-2</v>
      </c>
    </row>
    <row r="44" spans="1:22" x14ac:dyDescent="0.25">
      <c r="A44" s="1">
        <v>44804</v>
      </c>
      <c r="B44">
        <v>395.18</v>
      </c>
      <c r="C44">
        <f t="shared" si="0"/>
        <v>-4.247534588451933E-2</v>
      </c>
      <c r="E44" s="1">
        <v>44804</v>
      </c>
      <c r="F44">
        <v>48.77</v>
      </c>
      <c r="G44">
        <f t="shared" si="1"/>
        <v>-0.20310457516339867</v>
      </c>
      <c r="T44">
        <v>18</v>
      </c>
      <c r="U44">
        <v>2.0525887294928023E-2</v>
      </c>
      <c r="V44">
        <v>5.0581591250229277E-2</v>
      </c>
    </row>
    <row r="45" spans="1:22" x14ac:dyDescent="0.25">
      <c r="A45" s="1">
        <v>44773</v>
      </c>
      <c r="B45">
        <v>412.71</v>
      </c>
      <c r="C45">
        <f t="shared" si="0"/>
        <v>9.399602385685879E-2</v>
      </c>
      <c r="E45" s="1">
        <v>44773</v>
      </c>
      <c r="F45">
        <v>61.2</v>
      </c>
      <c r="G45">
        <f t="shared" si="1"/>
        <v>-0.17442331040064743</v>
      </c>
      <c r="T45">
        <v>19</v>
      </c>
      <c r="U45">
        <v>1.9711116011001568E-2</v>
      </c>
      <c r="V45">
        <v>3.6244004817537034E-2</v>
      </c>
    </row>
    <row r="46" spans="1:22" x14ac:dyDescent="0.25">
      <c r="A46" s="1">
        <v>44742</v>
      </c>
      <c r="B46">
        <v>377.25</v>
      </c>
      <c r="C46">
        <f t="shared" si="0"/>
        <v>-7.3778541615516849E-2</v>
      </c>
      <c r="E46" s="1">
        <v>44742</v>
      </c>
      <c r="F46">
        <v>74.13</v>
      </c>
      <c r="G46">
        <f t="shared" si="1"/>
        <v>-0.132373595505618</v>
      </c>
      <c r="T46">
        <v>20</v>
      </c>
      <c r="U46">
        <v>1.2633705543012835E-2</v>
      </c>
      <c r="V46">
        <v>6.7204753605791159E-2</v>
      </c>
    </row>
    <row r="47" spans="1:22" x14ac:dyDescent="0.25">
      <c r="A47" s="1">
        <v>44712</v>
      </c>
      <c r="B47">
        <v>407.3</v>
      </c>
      <c r="C47">
        <f t="shared" si="0"/>
        <v>-1.570807153214113E-2</v>
      </c>
      <c r="E47" s="1">
        <v>44712</v>
      </c>
      <c r="F47">
        <v>85.44</v>
      </c>
      <c r="G47">
        <f t="shared" si="1"/>
        <v>-0.15556434077881012</v>
      </c>
      <c r="T47">
        <v>21</v>
      </c>
      <c r="U47">
        <v>2.4747722266435509E-2</v>
      </c>
      <c r="V47">
        <v>3.5703603709515586E-2</v>
      </c>
    </row>
    <row r="48" spans="1:22" x14ac:dyDescent="0.25">
      <c r="A48" s="1">
        <v>44681</v>
      </c>
      <c r="B48">
        <v>413.8</v>
      </c>
      <c r="C48">
        <f t="shared" si="0"/>
        <v>-8.3783544415906422E-2</v>
      </c>
      <c r="E48" s="1">
        <v>44681</v>
      </c>
      <c r="F48">
        <v>101.18</v>
      </c>
      <c r="G48">
        <f t="shared" si="1"/>
        <v>-0.12715665976535537</v>
      </c>
      <c r="T48">
        <v>22</v>
      </c>
      <c r="U48">
        <v>1.3358980000527702E-2</v>
      </c>
      <c r="V48">
        <v>7.4049223474306702E-2</v>
      </c>
    </row>
    <row r="49" spans="1:22" x14ac:dyDescent="0.25">
      <c r="A49" s="1">
        <v>44651</v>
      </c>
      <c r="B49">
        <v>451.64</v>
      </c>
      <c r="C49">
        <f t="shared" si="0"/>
        <v>3.4376932414172161E-2</v>
      </c>
      <c r="E49" s="1">
        <v>44651</v>
      </c>
      <c r="F49">
        <v>115.92</v>
      </c>
      <c r="G49">
        <f t="shared" si="1"/>
        <v>-0.10195227765726689</v>
      </c>
      <c r="T49">
        <v>23</v>
      </c>
      <c r="U49">
        <v>2.2723763703132855E-2</v>
      </c>
      <c r="V49">
        <v>5.8414888504458043E-2</v>
      </c>
    </row>
    <row r="50" spans="1:22" x14ac:dyDescent="0.25">
      <c r="A50" s="1">
        <v>44620</v>
      </c>
      <c r="B50">
        <v>436.63</v>
      </c>
      <c r="C50">
        <f t="shared" si="0"/>
        <v>-2.9517014514013978E-2</v>
      </c>
      <c r="E50" s="1">
        <v>44620</v>
      </c>
      <c r="F50">
        <v>129.08000000000001</v>
      </c>
      <c r="G50">
        <f t="shared" si="1"/>
        <v>-0.42196945949576814</v>
      </c>
      <c r="T50">
        <v>24</v>
      </c>
      <c r="U50">
        <v>2.3697779403197113E-2</v>
      </c>
      <c r="V50">
        <v>0.3193451334706649</v>
      </c>
    </row>
    <row r="51" spans="1:22" x14ac:dyDescent="0.25">
      <c r="A51" s="1">
        <v>44592</v>
      </c>
      <c r="B51">
        <v>449.91</v>
      </c>
      <c r="C51">
        <f t="shared" si="0"/>
        <v>-5.2741283476503191E-2</v>
      </c>
      <c r="E51" s="1">
        <v>44592</v>
      </c>
      <c r="F51">
        <v>223.31</v>
      </c>
      <c r="G51">
        <f t="shared" si="1"/>
        <v>-1.7880291448750868E-3</v>
      </c>
      <c r="T51">
        <v>25</v>
      </c>
      <c r="U51">
        <v>1.1344589735185408E-2</v>
      </c>
      <c r="V51">
        <v>-6.196187368580261E-2</v>
      </c>
    </row>
    <row r="52" spans="1:22" x14ac:dyDescent="0.25">
      <c r="A52" s="1">
        <v>44561</v>
      </c>
      <c r="B52">
        <v>474.96</v>
      </c>
      <c r="C52">
        <f t="shared" si="0"/>
        <v>4.2584950390727842E-2</v>
      </c>
      <c r="E52" s="1">
        <v>44561</v>
      </c>
      <c r="F52">
        <v>223.71</v>
      </c>
      <c r="G52">
        <f t="shared" si="1"/>
        <v>-0.25459816073570568</v>
      </c>
      <c r="T52">
        <v>26</v>
      </c>
      <c r="U52">
        <v>2.0181693905126325E-2</v>
      </c>
      <c r="V52">
        <v>-0.12633927501304934</v>
      </c>
    </row>
    <row r="53" spans="1:22" x14ac:dyDescent="0.25">
      <c r="A53" s="1">
        <v>44530</v>
      </c>
      <c r="B53">
        <v>455.56</v>
      </c>
      <c r="C53">
        <f t="shared" si="0"/>
        <v>-8.0348394120849168E-3</v>
      </c>
      <c r="E53" s="1">
        <v>44530</v>
      </c>
      <c r="F53">
        <v>300.12</v>
      </c>
      <c r="G53">
        <f t="shared" si="1"/>
        <v>-0.18221204937464236</v>
      </c>
      <c r="T53">
        <v>27</v>
      </c>
      <c r="U53">
        <v>3.8404664355709758E-2</v>
      </c>
      <c r="V53">
        <v>-0.17072944413357277</v>
      </c>
    </row>
    <row r="54" spans="1:22" x14ac:dyDescent="0.25">
      <c r="A54" s="1">
        <v>44500</v>
      </c>
      <c r="B54">
        <v>459.25</v>
      </c>
      <c r="C54">
        <f t="shared" si="0"/>
        <v>7.0163582979913347E-2</v>
      </c>
      <c r="E54" s="1">
        <v>44500</v>
      </c>
      <c r="F54">
        <v>366.99</v>
      </c>
      <c r="G54">
        <f t="shared" si="1"/>
        <v>0.20060849936205707</v>
      </c>
      <c r="T54">
        <v>28</v>
      </c>
      <c r="U54">
        <v>1.9434734777584145E-2</v>
      </c>
      <c r="V54">
        <v>-0.17005282196040813</v>
      </c>
    </row>
    <row r="55" spans="1:22" x14ac:dyDescent="0.25">
      <c r="A55" s="1">
        <v>44469</v>
      </c>
      <c r="B55">
        <v>429.14</v>
      </c>
      <c r="C55">
        <f t="shared" si="0"/>
        <v>-5.1750044193035215E-2</v>
      </c>
      <c r="E55" s="1">
        <v>44469</v>
      </c>
      <c r="F55">
        <v>305.67</v>
      </c>
      <c r="G55">
        <f t="shared" si="1"/>
        <v>4.3812320721213091E-2</v>
      </c>
      <c r="T55">
        <v>29</v>
      </c>
      <c r="U55">
        <v>-4.9775896568583639E-2</v>
      </c>
      <c r="V55">
        <v>-7.4565365359916355E-2</v>
      </c>
    </row>
    <row r="56" spans="1:22" x14ac:dyDescent="0.25">
      <c r="A56" s="1">
        <v>44439</v>
      </c>
      <c r="B56">
        <v>452.56</v>
      </c>
      <c r="C56">
        <f t="shared" si="0"/>
        <v>3.20403183507788E-2</v>
      </c>
      <c r="E56" s="1">
        <v>44439</v>
      </c>
      <c r="F56">
        <v>292.83999999999997</v>
      </c>
      <c r="G56">
        <f t="shared" si="1"/>
        <v>5.1905600057473293E-2</v>
      </c>
      <c r="T56">
        <v>30</v>
      </c>
      <c r="U56">
        <v>-0.20478044455382033</v>
      </c>
      <c r="V56">
        <v>0.12339878813618313</v>
      </c>
    </row>
    <row r="57" spans="1:22" x14ac:dyDescent="0.25">
      <c r="A57" s="1">
        <v>44408</v>
      </c>
      <c r="B57">
        <v>438.51</v>
      </c>
      <c r="C57">
        <f t="shared" si="0"/>
        <v>1.8771925748669899E-2</v>
      </c>
      <c r="E57" s="1">
        <v>44408</v>
      </c>
      <c r="F57">
        <v>278.39</v>
      </c>
      <c r="G57">
        <f t="shared" si="1"/>
        <v>0.10292777623707457</v>
      </c>
      <c r="T57">
        <v>31</v>
      </c>
      <c r="U57">
        <v>2.7230289380406381E-2</v>
      </c>
      <c r="V57">
        <v>9.1475799612567618E-2</v>
      </c>
    </row>
    <row r="58" spans="1:22" x14ac:dyDescent="0.25">
      <c r="A58" s="1">
        <v>44377</v>
      </c>
      <c r="B58">
        <v>430.43</v>
      </c>
      <c r="C58">
        <f t="shared" si="0"/>
        <v>2.5639192699025402E-2</v>
      </c>
      <c r="E58" s="1">
        <v>44377</v>
      </c>
      <c r="F58">
        <v>252.41</v>
      </c>
      <c r="G58">
        <f t="shared" si="1"/>
        <v>0.10613962049169551</v>
      </c>
      <c r="T58">
        <v>32</v>
      </c>
      <c r="U58">
        <v>6.0487111095147997E-2</v>
      </c>
      <c r="V58">
        <v>1.4571897559454608E-2</v>
      </c>
    </row>
    <row r="59" spans="1:22" x14ac:dyDescent="0.25">
      <c r="A59" s="1">
        <v>44347</v>
      </c>
      <c r="B59">
        <v>419.67</v>
      </c>
      <c r="C59">
        <f t="shared" si="0"/>
        <v>5.6793673616103626E-3</v>
      </c>
      <c r="E59" s="1">
        <v>44347</v>
      </c>
      <c r="F59">
        <v>228.19</v>
      </c>
      <c r="G59">
        <f t="shared" si="1"/>
        <v>6.3674078217498709E-2</v>
      </c>
      <c r="T59">
        <v>33</v>
      </c>
      <c r="U59">
        <v>-3.1372756277869319E-4</v>
      </c>
      <c r="V59">
        <v>4.6921105691895892E-2</v>
      </c>
    </row>
    <row r="60" spans="1:22" x14ac:dyDescent="0.25">
      <c r="A60" s="1">
        <v>44316</v>
      </c>
      <c r="B60">
        <v>417.3</v>
      </c>
      <c r="C60">
        <f t="shared" si="0"/>
        <v>5.291045341003716E-2</v>
      </c>
      <c r="E60" s="1">
        <v>44316</v>
      </c>
      <c r="F60">
        <v>214.53</v>
      </c>
      <c r="G60">
        <f t="shared" si="1"/>
        <v>9.4205855350402934E-2</v>
      </c>
      <c r="T60">
        <v>34</v>
      </c>
      <c r="U60">
        <v>8.5252326031140628E-3</v>
      </c>
      <c r="V60">
        <v>4.1448829302471235E-2</v>
      </c>
    </row>
    <row r="61" spans="1:22" x14ac:dyDescent="0.25">
      <c r="A61" s="1">
        <v>44286</v>
      </c>
      <c r="B61">
        <v>396.33</v>
      </c>
      <c r="E61" s="1">
        <v>44286</v>
      </c>
      <c r="F61">
        <v>196.06</v>
      </c>
      <c r="T61">
        <v>35</v>
      </c>
      <c r="U61">
        <v>2.6581817723445592E-2</v>
      </c>
      <c r="V61">
        <v>6.4962161136501606E-2</v>
      </c>
    </row>
    <row r="62" spans="1:22" x14ac:dyDescent="0.25">
      <c r="T62">
        <v>36</v>
      </c>
      <c r="U62">
        <v>-3.7703001155909042E-2</v>
      </c>
      <c r="V62">
        <v>0.13527913540078143</v>
      </c>
    </row>
    <row r="63" spans="1:22" x14ac:dyDescent="0.25">
      <c r="T63">
        <v>37</v>
      </c>
      <c r="U63">
        <v>6.7426381492440846E-2</v>
      </c>
      <c r="V63">
        <v>-0.13969238187683444</v>
      </c>
    </row>
    <row r="64" spans="1:22" x14ac:dyDescent="0.25">
      <c r="T64">
        <v>38</v>
      </c>
      <c r="U64">
        <v>-8.2541569379406793E-2</v>
      </c>
      <c r="V64">
        <v>-4.6226012670158217E-2</v>
      </c>
    </row>
    <row r="65" spans="20:22" x14ac:dyDescent="0.25">
      <c r="T65">
        <v>39</v>
      </c>
      <c r="U65">
        <v>6.2113664350577025E-2</v>
      </c>
      <c r="V65">
        <v>0.13515979194453098</v>
      </c>
    </row>
    <row r="66" spans="20:22" x14ac:dyDescent="0.25">
      <c r="T66">
        <v>40</v>
      </c>
      <c r="U66">
        <v>8.1429683081118642E-2</v>
      </c>
      <c r="V66">
        <v>0.11905166469264836</v>
      </c>
    </row>
    <row r="67" spans="20:22" x14ac:dyDescent="0.25">
      <c r="T67">
        <v>41</v>
      </c>
      <c r="U67">
        <v>-0.12306419922684625</v>
      </c>
      <c r="V67">
        <v>-2.497762976638776E-2</v>
      </c>
    </row>
    <row r="68" spans="20:22" x14ac:dyDescent="0.25">
      <c r="T68">
        <v>42</v>
      </c>
      <c r="U68">
        <v>-5.9498796067535581E-2</v>
      </c>
      <c r="V68">
        <v>-0.14360577909586342</v>
      </c>
    </row>
    <row r="69" spans="20:22" x14ac:dyDescent="0.25">
      <c r="T69">
        <v>43</v>
      </c>
      <c r="U69">
        <v>0.10209422960466059</v>
      </c>
      <c r="V69">
        <v>-0.27651754000530759</v>
      </c>
    </row>
    <row r="70" spans="20:22" x14ac:dyDescent="0.25">
      <c r="T70">
        <v>44</v>
      </c>
      <c r="U70">
        <v>-9.6564285488260293E-2</v>
      </c>
      <c r="V70">
        <v>-3.5809310017357709E-2</v>
      </c>
    </row>
    <row r="71" spans="20:22" x14ac:dyDescent="0.25">
      <c r="T71">
        <v>45</v>
      </c>
      <c r="U71">
        <v>-2.7804200638505409E-2</v>
      </c>
      <c r="V71">
        <v>-0.1277601401403046</v>
      </c>
    </row>
    <row r="72" spans="20:22" x14ac:dyDescent="0.25">
      <c r="T72">
        <v>46</v>
      </c>
      <c r="U72">
        <v>-0.10841100965786138</v>
      </c>
      <c r="V72">
        <v>-1.8745650107493628E-2</v>
      </c>
    </row>
    <row r="73" spans="20:22" x14ac:dyDescent="0.25">
      <c r="T73">
        <v>47</v>
      </c>
      <c r="U73">
        <v>3.1500453105544599E-2</v>
      </c>
      <c r="V73">
        <v>-0.13345273076281161</v>
      </c>
    </row>
    <row r="74" spans="20:22" x14ac:dyDescent="0.25">
      <c r="T74">
        <v>48</v>
      </c>
      <c r="U74">
        <v>-4.415509447070172E-2</v>
      </c>
      <c r="V74">
        <v>-0.37781436502506627</v>
      </c>
    </row>
    <row r="75" spans="20:22" x14ac:dyDescent="0.25">
      <c r="T75">
        <v>49</v>
      </c>
      <c r="U75">
        <v>-7.1654487917000756E-2</v>
      </c>
      <c r="V75">
        <v>6.9866458772125661E-2</v>
      </c>
    </row>
    <row r="76" spans="20:22" x14ac:dyDescent="0.25">
      <c r="T76">
        <v>50</v>
      </c>
      <c r="U76">
        <v>4.1219403403449068E-2</v>
      </c>
      <c r="V76">
        <v>-0.29581756413915505</v>
      </c>
    </row>
    <row r="77" spans="20:22" x14ac:dyDescent="0.25">
      <c r="T77">
        <v>51</v>
      </c>
      <c r="U77">
        <v>-1.8718479601816711E-2</v>
      </c>
      <c r="V77">
        <v>-0.16349356977282528</v>
      </c>
    </row>
    <row r="78" spans="20:22" x14ac:dyDescent="0.25">
      <c r="T78">
        <v>52</v>
      </c>
      <c r="U78">
        <v>7.3874711930312226E-2</v>
      </c>
      <c r="V78">
        <v>0.12673378743174477</v>
      </c>
    </row>
    <row r="79" spans="20:22" x14ac:dyDescent="0.25">
      <c r="T79">
        <v>53</v>
      </c>
      <c r="U79">
        <v>-7.0480781261280365E-2</v>
      </c>
      <c r="V79">
        <v>0.11429310198249346</v>
      </c>
    </row>
    <row r="80" spans="20:22" x14ac:dyDescent="0.25">
      <c r="T80">
        <v>54</v>
      </c>
      <c r="U80">
        <v>2.8733715019398889E-2</v>
      </c>
      <c r="V80">
        <v>2.3171885038074411E-2</v>
      </c>
    </row>
    <row r="81" spans="20:22" x14ac:dyDescent="0.25">
      <c r="T81">
        <v>55</v>
      </c>
      <c r="U81">
        <v>1.3022876105386896E-2</v>
      </c>
      <c r="V81">
        <v>8.9904900131688101E-2</v>
      </c>
    </row>
    <row r="82" spans="20:22" x14ac:dyDescent="0.25">
      <c r="T82">
        <v>56</v>
      </c>
      <c r="U82">
        <v>2.1154269867386777E-2</v>
      </c>
      <c r="V82">
        <v>8.4985350624309217E-2</v>
      </c>
    </row>
    <row r="83" spans="20:22" x14ac:dyDescent="0.25">
      <c r="T83">
        <v>57</v>
      </c>
      <c r="U83">
        <v>-2.4797610232955578E-3</v>
      </c>
      <c r="V83">
        <v>6.6153839240794252E-2</v>
      </c>
    </row>
    <row r="84" spans="20:22" x14ac:dyDescent="0.25">
      <c r="T84">
        <v>58</v>
      </c>
      <c r="U84">
        <v>5.3445625486802914E-2</v>
      </c>
      <c r="V84">
        <v>4.0760229863599992E-2</v>
      </c>
    </row>
    <row r="85" spans="20:22" x14ac:dyDescent="0.25">
      <c r="T85">
        <v>59</v>
      </c>
      <c r="U85">
        <v>2.1933341422481899E-2</v>
      </c>
      <c r="V85">
        <v>3.0977111987555199E-2</v>
      </c>
    </row>
  </sheetData>
  <pageMargins left="0.7" right="0.7" top="0.75" bottom="0.75" header="0.3" footer="0.3"/>
  <pageSetup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F5BAC9EC-6EF4-47D9-BDA3-608CF2818B25}">
          <xm:f>SPY!1:1048576</xm:f>
        </x15:webExtension>
        <x15:webExtension appRef="{3185AE47-C64A-4B00-BD34-1FEE89E6163F}">
          <xm:f>SPY!G2:G60</xm:f>
        </x15:webExtension>
        <x15:webExtension appRef="{F7B29DD2-39F5-4DA8-B404-2D031B8028D0}">
          <xm:f>SPY!C2:C60</xm:f>
        </x15:webExtension>
        <x15:webExtension appRef="{CAA5AB5E-5FE2-45E8-B2E2-814764288055}">
          <xm:f>SPY!$T$3:$AC$85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30F4-8604-40B8-88A3-8A03ECD153EA}">
  <dimension ref="A1:Z61"/>
  <sheetViews>
    <sheetView workbookViewId="0">
      <selection activeCell="P22" sqref="P22"/>
    </sheetView>
  </sheetViews>
  <sheetFormatPr defaultRowHeight="15" x14ac:dyDescent="0.25"/>
  <cols>
    <col min="1" max="1" width="10.42578125" bestFit="1" customWidth="1"/>
    <col min="2" max="2" width="9.5703125" bestFit="1" customWidth="1"/>
    <col min="5" max="5" width="10.42578125" bestFit="1" customWidth="1"/>
    <col min="6" max="6" width="9.5703125" bestFit="1" customWidth="1"/>
    <col min="10" max="10" width="18.42578125" bestFit="1" customWidth="1"/>
    <col min="13" max="13" width="18.42578125" bestFit="1" customWidth="1"/>
    <col min="14" max="14" width="12.7109375" bestFit="1" customWidth="1"/>
    <col min="15" max="15" width="13.28515625" bestFit="1" customWidth="1"/>
    <col min="18" max="18" width="10" bestFit="1" customWidth="1"/>
    <col min="19" max="19" width="10.28515625" bestFit="1" customWidth="1"/>
    <col min="20" max="20" width="13.85546875" bestFit="1" customWidth="1"/>
    <col min="23" max="23" width="10.140625" bestFit="1" customWidth="1"/>
    <col min="24" max="24" width="10.28515625" bestFit="1" customWidth="1"/>
    <col min="25" max="25" width="10.140625" bestFit="1" customWidth="1"/>
    <col min="26" max="26" width="10.28515625" bestFit="1" customWidth="1"/>
  </cols>
  <sheetData>
    <row r="1" spans="1:26" x14ac:dyDescent="0.25">
      <c r="A1" s="3" t="s">
        <v>0</v>
      </c>
      <c r="B1" s="3" t="s">
        <v>2</v>
      </c>
      <c r="C1" s="3" t="s">
        <v>3</v>
      </c>
      <c r="D1" s="3"/>
      <c r="E1" s="3" t="s">
        <v>0</v>
      </c>
      <c r="F1" s="3" t="s">
        <v>2</v>
      </c>
      <c r="G1" s="3" t="s">
        <v>3</v>
      </c>
    </row>
    <row r="2" spans="1:26" x14ac:dyDescent="0.25">
      <c r="A2" s="1"/>
      <c r="E2" s="1"/>
      <c r="J2" s="3" t="s">
        <v>4</v>
      </c>
      <c r="K2" s="2"/>
    </row>
    <row r="3" spans="1:26" x14ac:dyDescent="0.25">
      <c r="A3" s="1"/>
      <c r="E3" s="1"/>
      <c r="J3" s="3" t="s">
        <v>5</v>
      </c>
      <c r="K3" s="2"/>
    </row>
    <row r="4" spans="1:26" x14ac:dyDescent="0.25">
      <c r="A4" s="1"/>
      <c r="E4" s="1"/>
      <c r="J4" s="3" t="s">
        <v>6</v>
      </c>
      <c r="K4" s="2"/>
    </row>
    <row r="5" spans="1:26" x14ac:dyDescent="0.25">
      <c r="A5" s="1"/>
      <c r="E5" s="1"/>
      <c r="J5" s="3" t="s">
        <v>9</v>
      </c>
      <c r="K5" s="2"/>
    </row>
    <row r="6" spans="1:26" x14ac:dyDescent="0.25">
      <c r="A6" s="1"/>
      <c r="E6" s="1"/>
      <c r="J6" s="3" t="s">
        <v>8</v>
      </c>
      <c r="K6" s="2"/>
    </row>
    <row r="7" spans="1:26" x14ac:dyDescent="0.25">
      <c r="A7" s="1"/>
      <c r="E7" s="1"/>
    </row>
    <row r="8" spans="1:26" x14ac:dyDescent="0.25">
      <c r="A8" s="1"/>
      <c r="E8" s="1"/>
      <c r="J8" s="4" t="s">
        <v>10</v>
      </c>
    </row>
    <row r="9" spans="1:26" x14ac:dyDescent="0.25">
      <c r="A9" s="1"/>
      <c r="E9" s="1"/>
      <c r="J9" s="2"/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  <c r="R9" s="2"/>
      <c r="S9" s="3" t="s">
        <v>19</v>
      </c>
      <c r="T9" s="3" t="s">
        <v>9</v>
      </c>
      <c r="U9" s="3" t="s">
        <v>22</v>
      </c>
      <c r="V9" s="3" t="s">
        <v>23</v>
      </c>
      <c r="W9" s="3" t="s">
        <v>24</v>
      </c>
      <c r="X9" s="3" t="s">
        <v>25</v>
      </c>
      <c r="Y9" s="3" t="s">
        <v>24</v>
      </c>
      <c r="Z9" s="3" t="s">
        <v>25</v>
      </c>
    </row>
    <row r="10" spans="1:26" x14ac:dyDescent="0.25">
      <c r="A10" s="1"/>
      <c r="E10" s="1"/>
      <c r="J10" s="3" t="s">
        <v>16</v>
      </c>
      <c r="K10" s="2"/>
      <c r="L10" s="2"/>
      <c r="M10" s="2"/>
      <c r="N10" s="2"/>
      <c r="O10" s="2"/>
      <c r="R10" s="3" t="s">
        <v>20</v>
      </c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"/>
      <c r="E11" s="1"/>
      <c r="J11" s="3" t="s">
        <v>17</v>
      </c>
      <c r="K11" s="2"/>
      <c r="L11" s="2"/>
      <c r="M11" s="2"/>
      <c r="N11" s="2"/>
      <c r="O11" s="2"/>
      <c r="R11" s="3" t="s">
        <v>21</v>
      </c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"/>
      <c r="E12" s="1"/>
      <c r="J12" s="3" t="s">
        <v>18</v>
      </c>
      <c r="K12" s="2"/>
      <c r="L12" s="2"/>
      <c r="M12" s="2"/>
      <c r="N12" s="2"/>
      <c r="O12" s="2"/>
    </row>
    <row r="13" spans="1:26" x14ac:dyDescent="0.25">
      <c r="A13" s="1"/>
      <c r="E13" s="1"/>
    </row>
    <row r="14" spans="1:26" x14ac:dyDescent="0.25">
      <c r="E14" s="1"/>
      <c r="J14" s="4" t="s">
        <v>32</v>
      </c>
    </row>
    <row r="15" spans="1:26" x14ac:dyDescent="0.25">
      <c r="A15" s="1"/>
      <c r="E15" s="1"/>
      <c r="J15" s="3" t="s">
        <v>26</v>
      </c>
      <c r="K15" s="2" t="e">
        <f>AVERAGE(C2:C60)</f>
        <v>#DIV/0!</v>
      </c>
      <c r="M15" s="3" t="s">
        <v>26</v>
      </c>
      <c r="N15" s="2" t="e">
        <f>AVERAGE(G2:G60)</f>
        <v>#DIV/0!</v>
      </c>
    </row>
    <row r="16" spans="1:26" x14ac:dyDescent="0.25">
      <c r="A16" s="1"/>
      <c r="E16" s="1"/>
      <c r="J16" s="3" t="s">
        <v>7</v>
      </c>
      <c r="K16" s="2" t="e">
        <f>_xlfn.STDEV.S(C2:C60)</f>
        <v>#DIV/0!</v>
      </c>
      <c r="M16" s="3" t="s">
        <v>7</v>
      </c>
      <c r="N16" s="2" t="e">
        <f>_xlfn.STDEV.S(G2:G60)</f>
        <v>#DIV/0!</v>
      </c>
    </row>
    <row r="17" spans="1:18" x14ac:dyDescent="0.25">
      <c r="A17" s="1"/>
      <c r="E17" s="1"/>
      <c r="J17" s="3" t="s">
        <v>27</v>
      </c>
      <c r="K17" s="2" t="e">
        <f>_xlfn.VAR.S(C2:C60)</f>
        <v>#DIV/0!</v>
      </c>
      <c r="M17" s="3" t="s">
        <v>27</v>
      </c>
      <c r="N17" s="2" t="e">
        <f>_xlfn.VAR.S(G2:G60)</f>
        <v>#DIV/0!</v>
      </c>
    </row>
    <row r="18" spans="1:18" x14ac:dyDescent="0.25">
      <c r="A18" s="1"/>
      <c r="E18" s="1"/>
      <c r="J18" s="3" t="s">
        <v>28</v>
      </c>
      <c r="K18" s="2" t="e">
        <f>(K15+1.96)*K16</f>
        <v>#DIV/0!</v>
      </c>
      <c r="M18" s="3" t="s">
        <v>28</v>
      </c>
      <c r="N18" s="2" t="e">
        <f>(N15+1.96)*N16</f>
        <v>#DIV/0!</v>
      </c>
    </row>
    <row r="19" spans="1:18" x14ac:dyDescent="0.25">
      <c r="A19" s="1"/>
      <c r="E19" s="1"/>
      <c r="J19" s="3" t="s">
        <v>29</v>
      </c>
      <c r="K19" s="2" t="e">
        <f>(K15-1.96)*K16</f>
        <v>#DIV/0!</v>
      </c>
      <c r="M19" s="3" t="s">
        <v>29</v>
      </c>
      <c r="N19" s="2" t="e">
        <f>(N15-1.96)*N16</f>
        <v>#DIV/0!</v>
      </c>
    </row>
    <row r="20" spans="1:18" x14ac:dyDescent="0.25">
      <c r="A20" s="1"/>
      <c r="E20" s="1"/>
      <c r="M20" s="4"/>
    </row>
    <row r="21" spans="1:18" x14ac:dyDescent="0.25">
      <c r="A21" s="1"/>
      <c r="E21" s="1"/>
      <c r="J21" s="3" t="s">
        <v>31</v>
      </c>
      <c r="K21" s="2" t="e">
        <f>_xlfn.COVARIANCE.S(C2:C60,G2:G60)</f>
        <v>#DIV/0!</v>
      </c>
      <c r="M21" s="4"/>
    </row>
    <row r="22" spans="1:18" x14ac:dyDescent="0.25">
      <c r="A22" s="1"/>
      <c r="E22" s="1"/>
      <c r="J22" s="3" t="s">
        <v>30</v>
      </c>
      <c r="K22" s="2" t="e">
        <f>CORREL(C2:C60,G2:G60)</f>
        <v>#DIV/0!</v>
      </c>
    </row>
    <row r="23" spans="1:18" x14ac:dyDescent="0.25">
      <c r="A23" s="1"/>
      <c r="E23" s="1"/>
    </row>
    <row r="24" spans="1:18" x14ac:dyDescent="0.25">
      <c r="A24" s="1"/>
      <c r="E24" s="1"/>
      <c r="J24" s="7" t="s">
        <v>33</v>
      </c>
      <c r="K24" s="8"/>
      <c r="L24" s="8"/>
      <c r="M24" s="8"/>
      <c r="N24" s="8"/>
      <c r="O24" s="8"/>
      <c r="P24" s="8"/>
      <c r="Q24" s="8"/>
      <c r="R24" s="9"/>
    </row>
    <row r="25" spans="1:18" x14ac:dyDescent="0.25">
      <c r="A25" s="1"/>
      <c r="E25" s="1"/>
      <c r="J25" s="10" t="s">
        <v>34</v>
      </c>
      <c r="K25" s="11"/>
      <c r="L25" s="11"/>
      <c r="M25" s="11"/>
      <c r="N25" s="11"/>
      <c r="O25" s="11"/>
      <c r="P25" s="11"/>
      <c r="Q25" s="11"/>
      <c r="R25" s="12"/>
    </row>
    <row r="26" spans="1:18" x14ac:dyDescent="0.25">
      <c r="A26" s="1"/>
      <c r="E26" s="1"/>
      <c r="J26" s="10" t="s">
        <v>35</v>
      </c>
      <c r="K26" s="11"/>
      <c r="L26" s="11"/>
      <c r="M26" s="11"/>
      <c r="N26" s="11"/>
      <c r="O26" s="11"/>
      <c r="P26" s="11"/>
      <c r="Q26" s="11"/>
      <c r="R26" s="12"/>
    </row>
    <row r="27" spans="1:18" x14ac:dyDescent="0.25">
      <c r="A27" s="1"/>
      <c r="E27" s="1"/>
      <c r="J27" s="10" t="s">
        <v>38</v>
      </c>
      <c r="K27" s="11"/>
      <c r="L27" s="11"/>
      <c r="M27" s="11"/>
      <c r="N27" s="11"/>
      <c r="O27" s="11"/>
      <c r="P27" s="11"/>
      <c r="Q27" s="11"/>
      <c r="R27" s="12"/>
    </row>
    <row r="28" spans="1:18" x14ac:dyDescent="0.25">
      <c r="A28" s="1"/>
      <c r="E28" s="1"/>
      <c r="J28" s="10" t="s">
        <v>36</v>
      </c>
      <c r="K28" s="11"/>
      <c r="L28" s="11"/>
      <c r="M28" s="11"/>
      <c r="N28" s="11"/>
      <c r="O28" s="11"/>
      <c r="P28" s="11"/>
      <c r="Q28" s="11"/>
      <c r="R28" s="12"/>
    </row>
    <row r="29" spans="1:18" x14ac:dyDescent="0.25">
      <c r="A29" s="1"/>
      <c r="E29" s="1"/>
      <c r="J29" s="13" t="s">
        <v>37</v>
      </c>
      <c r="K29" s="14"/>
      <c r="L29" s="14"/>
      <c r="M29" s="14"/>
      <c r="N29" s="14"/>
      <c r="O29" s="14"/>
      <c r="P29" s="14"/>
      <c r="Q29" s="14"/>
      <c r="R29" s="15"/>
    </row>
    <row r="30" spans="1:18" x14ac:dyDescent="0.25">
      <c r="A30" s="1"/>
      <c r="E30" s="1"/>
    </row>
    <row r="31" spans="1:18" x14ac:dyDescent="0.25">
      <c r="A31" s="1"/>
      <c r="E31" s="1"/>
    </row>
    <row r="32" spans="1:18" x14ac:dyDescent="0.25">
      <c r="A32" s="1"/>
      <c r="E32" s="1"/>
    </row>
    <row r="33" spans="1:5" x14ac:dyDescent="0.25">
      <c r="A33" s="1"/>
      <c r="E33" s="1"/>
    </row>
    <row r="34" spans="1:5" x14ac:dyDescent="0.25">
      <c r="A34" s="1"/>
      <c r="E34" s="1"/>
    </row>
    <row r="35" spans="1:5" x14ac:dyDescent="0.25">
      <c r="A35" s="1"/>
      <c r="E35" s="1"/>
    </row>
    <row r="36" spans="1:5" x14ac:dyDescent="0.25">
      <c r="A36" s="1"/>
      <c r="E36" s="1"/>
    </row>
    <row r="37" spans="1:5" x14ac:dyDescent="0.25">
      <c r="A37" s="1"/>
      <c r="E37" s="1"/>
    </row>
    <row r="38" spans="1:5" x14ac:dyDescent="0.25">
      <c r="A38" s="1"/>
      <c r="E38" s="1"/>
    </row>
    <row r="39" spans="1:5" x14ac:dyDescent="0.25">
      <c r="A39" s="1"/>
      <c r="E39" s="1"/>
    </row>
    <row r="40" spans="1:5" x14ac:dyDescent="0.25">
      <c r="A40" s="1"/>
      <c r="E40" s="1"/>
    </row>
    <row r="41" spans="1:5" x14ac:dyDescent="0.25">
      <c r="A41" s="1"/>
      <c r="E41" s="1"/>
    </row>
    <row r="42" spans="1:5" x14ac:dyDescent="0.25">
      <c r="A42" s="1"/>
      <c r="E42" s="1"/>
    </row>
    <row r="43" spans="1:5" x14ac:dyDescent="0.25">
      <c r="A43" s="1"/>
      <c r="E43" s="1"/>
    </row>
    <row r="44" spans="1:5" x14ac:dyDescent="0.25">
      <c r="A44" s="1"/>
      <c r="E44" s="1"/>
    </row>
    <row r="45" spans="1:5" x14ac:dyDescent="0.25">
      <c r="A45" s="1"/>
      <c r="E45" s="1"/>
    </row>
    <row r="46" spans="1:5" x14ac:dyDescent="0.25">
      <c r="A46" s="1"/>
      <c r="E46" s="1"/>
    </row>
    <row r="47" spans="1:5" x14ac:dyDescent="0.25">
      <c r="A47" s="1"/>
      <c r="E47" s="1"/>
    </row>
    <row r="48" spans="1:5" x14ac:dyDescent="0.25">
      <c r="A48" s="1"/>
      <c r="E48" s="1"/>
    </row>
    <row r="49" spans="1:5" x14ac:dyDescent="0.25">
      <c r="A49" s="1"/>
      <c r="E49" s="1"/>
    </row>
    <row r="50" spans="1:5" x14ac:dyDescent="0.25">
      <c r="A50" s="1"/>
      <c r="E50" s="1"/>
    </row>
    <row r="51" spans="1:5" x14ac:dyDescent="0.25">
      <c r="A51" s="1"/>
      <c r="E51" s="1"/>
    </row>
    <row r="52" spans="1:5" x14ac:dyDescent="0.25">
      <c r="A52" s="1"/>
      <c r="E52" s="1"/>
    </row>
    <row r="53" spans="1:5" x14ac:dyDescent="0.25">
      <c r="A53" s="1"/>
      <c r="E53" s="1"/>
    </row>
    <row r="54" spans="1:5" x14ac:dyDescent="0.25">
      <c r="A54" s="1"/>
      <c r="E54" s="1"/>
    </row>
    <row r="55" spans="1:5" x14ac:dyDescent="0.25">
      <c r="A55" s="1"/>
      <c r="E55" s="1"/>
    </row>
    <row r="56" spans="1:5" x14ac:dyDescent="0.25">
      <c r="A56" s="1"/>
      <c r="E56" s="1"/>
    </row>
    <row r="57" spans="1:5" x14ac:dyDescent="0.25">
      <c r="A57" s="1"/>
      <c r="E57" s="1"/>
    </row>
    <row r="58" spans="1:5" x14ac:dyDescent="0.25">
      <c r="A58" s="1"/>
      <c r="E58" s="1"/>
    </row>
    <row r="59" spans="1:5" x14ac:dyDescent="0.25">
      <c r="A59" s="1"/>
      <c r="E59" s="1"/>
    </row>
    <row r="60" spans="1:5" x14ac:dyDescent="0.25">
      <c r="A60" s="1"/>
      <c r="E60" s="1"/>
    </row>
    <row r="61" spans="1:5" x14ac:dyDescent="0.25">
      <c r="A61" s="1"/>
      <c r="E61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D82A-9957-442A-AB1B-E4CE1C2CC933}">
  <dimension ref="A1:C118"/>
  <sheetViews>
    <sheetView workbookViewId="0"/>
  </sheetViews>
  <sheetFormatPr defaultRowHeight="15" x14ac:dyDescent="0.25"/>
  <sheetData>
    <row r="1" spans="1:3" x14ac:dyDescent="0.25">
      <c r="A1">
        <v>-0.173093010875352</v>
      </c>
      <c r="B1">
        <v>2.6951350509224425E-2</v>
      </c>
      <c r="C1">
        <v>0</v>
      </c>
    </row>
    <row r="2" spans="1:3" x14ac:dyDescent="0.25">
      <c r="A2">
        <v>3.0728227639727299E-2</v>
      </c>
      <c r="B2">
        <v>2.5641850389978797E-3</v>
      </c>
      <c r="C2">
        <v>0</v>
      </c>
    </row>
    <row r="3" spans="1:3" x14ac:dyDescent="0.25">
      <c r="A3">
        <v>-0.146003481055027</v>
      </c>
      <c r="B3">
        <v>-1.2370939719860592E-3</v>
      </c>
      <c r="C3">
        <v>0</v>
      </c>
    </row>
    <row r="4" spans="1:3" x14ac:dyDescent="0.25">
      <c r="A4">
        <v>-0.109879632940055</v>
      </c>
      <c r="B4">
        <v>-1.411116921508266E-2</v>
      </c>
      <c r="C4">
        <v>0</v>
      </c>
    </row>
    <row r="5" spans="1:3" x14ac:dyDescent="0.25">
      <c r="A5">
        <v>-8.4001964958244704E-2</v>
      </c>
      <c r="B5">
        <v>3.7751190540186261E-2</v>
      </c>
      <c r="C5">
        <v>0</v>
      </c>
    </row>
    <row r="6" spans="1:3" x14ac:dyDescent="0.25">
      <c r="A6">
        <v>-6.7633587786259497E-2</v>
      </c>
      <c r="B6">
        <v>2.4580790362889127E-2</v>
      </c>
      <c r="C6">
        <v>0</v>
      </c>
    </row>
    <row r="7" spans="1:3" x14ac:dyDescent="0.25">
      <c r="A7">
        <v>0.14617358842743799</v>
      </c>
      <c r="B7">
        <v>-1.6648840896134016E-2</v>
      </c>
      <c r="C7">
        <v>0</v>
      </c>
    </row>
    <row r="8" spans="1:3" x14ac:dyDescent="0.25">
      <c r="A8">
        <v>3.7270087124879003E-2</v>
      </c>
      <c r="B8">
        <v>1.9956726420619679E-2</v>
      </c>
      <c r="C8">
        <v>0</v>
      </c>
    </row>
    <row r="9" spans="1:3" x14ac:dyDescent="0.25">
      <c r="A9">
        <v>7.3037719924690006E-2</v>
      </c>
      <c r="B9">
        <v>5.3334290725190608E-3</v>
      </c>
      <c r="C9">
        <v>0</v>
      </c>
    </row>
    <row r="10" spans="1:3" x14ac:dyDescent="0.25">
      <c r="A10">
        <v>4.6328374431084798E-2</v>
      </c>
      <c r="B10">
        <v>2.0059881517416771E-2</v>
      </c>
      <c r="C10">
        <v>0</v>
      </c>
    </row>
    <row r="11" spans="1:3" x14ac:dyDescent="0.25">
      <c r="A11">
        <v>5.4059859659172302E-2</v>
      </c>
      <c r="B11">
        <v>7.1254752950835054E-3</v>
      </c>
      <c r="C11">
        <v>0</v>
      </c>
    </row>
    <row r="12" spans="1:3" x14ac:dyDescent="0.25">
      <c r="A12">
        <v>3.5131930032612002E-2</v>
      </c>
      <c r="B12">
        <v>4.0817311177622322E-4</v>
      </c>
      <c r="C12">
        <v>0</v>
      </c>
    </row>
    <row r="13" spans="1:3" x14ac:dyDescent="0.25">
      <c r="A13">
        <v>0.28654524649566099</v>
      </c>
      <c r="B13">
        <v>-2.3645099189409415E-2</v>
      </c>
      <c r="C13">
        <v>0</v>
      </c>
    </row>
    <row r="14" spans="1:3" x14ac:dyDescent="0.25">
      <c r="A14">
        <v>-1.1592836946277E-2</v>
      </c>
      <c r="B14">
        <v>6.9054476395456286E-3</v>
      </c>
      <c r="C14">
        <v>0</v>
      </c>
    </row>
    <row r="15" spans="1:3" x14ac:dyDescent="0.25">
      <c r="A15">
        <v>6.7189700261516702E-2</v>
      </c>
      <c r="B15">
        <v>7.1986148020240746E-3</v>
      </c>
      <c r="C15">
        <v>0</v>
      </c>
    </row>
    <row r="16" spans="1:3" x14ac:dyDescent="0.25">
      <c r="A16">
        <v>7.6206971205888804E-2</v>
      </c>
      <c r="B16">
        <v>1.2929626991785782E-2</v>
      </c>
      <c r="C16">
        <v>0</v>
      </c>
    </row>
    <row r="17" spans="1:3" x14ac:dyDescent="0.25">
      <c r="A17">
        <v>9.7540691457764006E-2</v>
      </c>
      <c r="B17">
        <v>2.0839113386791897E-4</v>
      </c>
      <c r="C17">
        <v>0</v>
      </c>
    </row>
    <row r="18" spans="1:3" x14ac:dyDescent="0.25">
      <c r="A18">
        <v>7.0456568739666894E-2</v>
      </c>
      <c r="B18">
        <v>-1.5672547167116108E-3</v>
      </c>
      <c r="C18">
        <v>0</v>
      </c>
    </row>
    <row r="19" spans="1:3" x14ac:dyDescent="0.25">
      <c r="A19">
        <v>7.1107478545157296E-2</v>
      </c>
      <c r="B19">
        <v>6.0102469240521164E-3</v>
      </c>
      <c r="C19">
        <v>0</v>
      </c>
    </row>
    <row r="20" spans="1:3" x14ac:dyDescent="0.25">
      <c r="A20">
        <v>5.5955120828538603E-2</v>
      </c>
      <c r="B20">
        <v>7.1819381600269176E-3</v>
      </c>
      <c r="C20">
        <v>0</v>
      </c>
    </row>
    <row r="21" spans="1:3" x14ac:dyDescent="0.25">
      <c r="A21">
        <v>7.9838459148803997E-2</v>
      </c>
      <c r="B21">
        <v>-1.7266346252210393E-3</v>
      </c>
      <c r="C21">
        <v>0</v>
      </c>
    </row>
    <row r="22" spans="1:3" x14ac:dyDescent="0.25">
      <c r="A22">
        <v>6.0451325975951098E-2</v>
      </c>
      <c r="B22">
        <v>1.0883678050637023E-2</v>
      </c>
      <c r="C22">
        <v>0</v>
      </c>
    </row>
    <row r="23" spans="1:3" x14ac:dyDescent="0.25">
      <c r="A23">
        <v>8.7408203474834398E-2</v>
      </c>
      <c r="B23">
        <v>-2.0432214453051552E-3</v>
      </c>
      <c r="C23">
        <v>0</v>
      </c>
    </row>
    <row r="24" spans="1:3" x14ac:dyDescent="0.25">
      <c r="A24">
        <v>8.1138652207590894E-2</v>
      </c>
      <c r="B24">
        <v>6.6352125255778986E-3</v>
      </c>
      <c r="C24">
        <v>0</v>
      </c>
    </row>
    <row r="25" spans="1:3" x14ac:dyDescent="0.25">
      <c r="A25">
        <v>0.34304291287386202</v>
      </c>
      <c r="B25">
        <v>-2.4688250222345078E-2</v>
      </c>
      <c r="C25">
        <v>0</v>
      </c>
    </row>
    <row r="26" spans="1:3" x14ac:dyDescent="0.25">
      <c r="A26">
        <v>-5.0617283950617202E-2</v>
      </c>
      <c r="B26">
        <v>1.3196760070306346E-2</v>
      </c>
      <c r="C26">
        <v>0</v>
      </c>
    </row>
    <row r="27" spans="1:3" x14ac:dyDescent="0.25">
      <c r="A27">
        <v>-0.106157581107923</v>
      </c>
      <c r="B27">
        <v>2.74770264262875E-2</v>
      </c>
      <c r="C27">
        <v>0</v>
      </c>
    </row>
    <row r="28" spans="1:3" x14ac:dyDescent="0.25">
      <c r="A28">
        <v>-0.132324779777863</v>
      </c>
      <c r="B28">
        <v>4.6078762942165022E-2</v>
      </c>
      <c r="C28">
        <v>0</v>
      </c>
    </row>
    <row r="29" spans="1:3" x14ac:dyDescent="0.25">
      <c r="A29">
        <v>-0.15061808718282399</v>
      </c>
      <c r="B29">
        <v>3.2303261484371147E-2</v>
      </c>
      <c r="C29">
        <v>0</v>
      </c>
    </row>
    <row r="30" spans="1:3" x14ac:dyDescent="0.25">
      <c r="A30">
        <v>-0.12434126192849999</v>
      </c>
      <c r="B30">
        <v>-2.9372922175415914E-2</v>
      </c>
      <c r="C30">
        <v>0</v>
      </c>
    </row>
    <row r="31" spans="1:3" x14ac:dyDescent="0.25">
      <c r="A31">
        <v>-8.1381656417637199E-2</v>
      </c>
      <c r="B31">
        <v>-0.16555292538644839</v>
      </c>
      <c r="C31">
        <v>0</v>
      </c>
    </row>
    <row r="32" spans="1:3" x14ac:dyDescent="0.25">
      <c r="A32">
        <v>0.118706088992974</v>
      </c>
      <c r="B32">
        <v>5.8301257905356389E-3</v>
      </c>
      <c r="C32">
        <v>0</v>
      </c>
    </row>
    <row r="33" spans="1:3" x14ac:dyDescent="0.25">
      <c r="A33">
        <v>7.5059008654602605E-2</v>
      </c>
      <c r="B33">
        <v>3.9273989227546768E-2</v>
      </c>
      <c r="C33">
        <v>0</v>
      </c>
    </row>
    <row r="34" spans="1:3" x14ac:dyDescent="0.25">
      <c r="A34">
        <v>4.6607378129117201E-2</v>
      </c>
      <c r="B34">
        <v>-8.5824538293463263E-3</v>
      </c>
      <c r="C34">
        <v>0</v>
      </c>
    </row>
    <row r="35" spans="1:3" x14ac:dyDescent="0.25">
      <c r="A35">
        <v>4.9974061905585301E-2</v>
      </c>
      <c r="B35">
        <v>-1.5308463408366963E-3</v>
      </c>
      <c r="C35">
        <v>0</v>
      </c>
    </row>
    <row r="36" spans="1:3" x14ac:dyDescent="0.25">
      <c r="A36">
        <v>9.1543978859947195E-2</v>
      </c>
      <c r="B36">
        <v>8.6163369422762523E-3</v>
      </c>
      <c r="C36">
        <v>0</v>
      </c>
    </row>
    <row r="37" spans="1:3" x14ac:dyDescent="0.25">
      <c r="A37">
        <v>9.7576134244872395E-2</v>
      </c>
      <c r="B37">
        <v>-4.6414988272404631E-2</v>
      </c>
      <c r="C37">
        <v>0</v>
      </c>
    </row>
    <row r="38" spans="1:3" x14ac:dyDescent="0.25">
      <c r="A38">
        <v>-7.2266000384393597E-2</v>
      </c>
      <c r="B38">
        <v>6.3217093600997587E-2</v>
      </c>
      <c r="C38">
        <v>0</v>
      </c>
    </row>
    <row r="39" spans="1:3" x14ac:dyDescent="0.25">
      <c r="A39">
        <v>-0.12876758204956501</v>
      </c>
      <c r="B39">
        <v>-5.6501476250173634E-2</v>
      </c>
      <c r="C39">
        <v>0</v>
      </c>
    </row>
    <row r="40" spans="1:3" x14ac:dyDescent="0.25">
      <c r="A40">
        <v>0.19727345629510801</v>
      </c>
      <c r="B40">
        <v>2.5647107404290777E-2</v>
      </c>
      <c r="C40">
        <v>0</v>
      </c>
    </row>
    <row r="41" spans="1:3" x14ac:dyDescent="0.25">
      <c r="A41">
        <v>0.200481347773767</v>
      </c>
      <c r="B41">
        <v>4.1566473850966852E-2</v>
      </c>
      <c r="C41">
        <v>0</v>
      </c>
    </row>
    <row r="42" spans="1:3" x14ac:dyDescent="0.25">
      <c r="A42">
        <v>-0.14804182899323401</v>
      </c>
      <c r="B42">
        <v>-8.8358641044040134E-2</v>
      </c>
      <c r="C42">
        <v>0</v>
      </c>
    </row>
    <row r="43" spans="1:3" x14ac:dyDescent="0.25">
      <c r="A43">
        <v>-0.203104575163399</v>
      </c>
      <c r="B43">
        <v>-2.7916888414640156E-2</v>
      </c>
      <c r="C43">
        <v>0</v>
      </c>
    </row>
    <row r="44" spans="1:3" x14ac:dyDescent="0.25">
      <c r="A44">
        <v>-0.17442331040064701</v>
      </c>
      <c r="B44">
        <v>0.10503415093035005</v>
      </c>
      <c r="C44">
        <v>0</v>
      </c>
    </row>
    <row r="45" spans="1:3" x14ac:dyDescent="0.25">
      <c r="A45">
        <v>-0.132373595505618</v>
      </c>
      <c r="B45">
        <v>-6.7901584759897465E-2</v>
      </c>
      <c r="C45">
        <v>0</v>
      </c>
    </row>
    <row r="46" spans="1:3" x14ac:dyDescent="0.25">
      <c r="A46">
        <v>-0.15556434077881001</v>
      </c>
      <c r="B46">
        <v>-6.9846891030536807E-3</v>
      </c>
      <c r="C46">
        <v>0</v>
      </c>
    </row>
    <row r="47" spans="1:3" x14ac:dyDescent="0.25">
      <c r="A47">
        <v>-0.12715665976535501</v>
      </c>
      <c r="B47">
        <v>-7.8546912790515455E-2</v>
      </c>
      <c r="C47">
        <v>0</v>
      </c>
    </row>
    <row r="48" spans="1:3" x14ac:dyDescent="0.25">
      <c r="A48">
        <v>-0.101952277657267</v>
      </c>
      <c r="B48">
        <v>3.651998524548894E-2</v>
      </c>
      <c r="C48">
        <v>0</v>
      </c>
    </row>
    <row r="49" spans="1:3" x14ac:dyDescent="0.25">
      <c r="A49">
        <v>-0.42196945949576797</v>
      </c>
      <c r="B49">
        <v>1.190485750157818E-2</v>
      </c>
      <c r="C49">
        <v>0</v>
      </c>
    </row>
    <row r="50" spans="1:3" x14ac:dyDescent="0.25">
      <c r="A50">
        <v>-1.78802914487509E-3</v>
      </c>
      <c r="B50">
        <v>-6.289236242724984E-2</v>
      </c>
      <c r="C50">
        <v>0</v>
      </c>
    </row>
    <row r="51" spans="1:3" x14ac:dyDescent="0.25">
      <c r="A51">
        <v>-0.25459816073570601</v>
      </c>
      <c r="B51">
        <v>6.3463716117884789E-2</v>
      </c>
      <c r="C51">
        <v>0</v>
      </c>
    </row>
    <row r="52" spans="1:3" x14ac:dyDescent="0.25">
      <c r="A52">
        <v>-0.182212049374642</v>
      </c>
      <c r="B52">
        <v>3.9592752995559078E-3</v>
      </c>
      <c r="C52">
        <v>0</v>
      </c>
    </row>
    <row r="53" spans="1:3" x14ac:dyDescent="0.25">
      <c r="A53">
        <v>0.20060849936205699</v>
      </c>
      <c r="B53">
        <v>3.5170410860679201E-2</v>
      </c>
      <c r="C53">
        <v>0</v>
      </c>
    </row>
    <row r="54" spans="1:3" x14ac:dyDescent="0.25">
      <c r="A54">
        <v>4.3812320721213098E-2</v>
      </c>
      <c r="B54">
        <v>-6.7498097302605864E-2</v>
      </c>
      <c r="C54">
        <v>0</v>
      </c>
    </row>
    <row r="55" spans="1:3" x14ac:dyDescent="0.25">
      <c r="A55">
        <v>5.19056000574733E-2</v>
      </c>
      <c r="B55">
        <v>1.5298898404369904E-2</v>
      </c>
      <c r="C55">
        <v>0</v>
      </c>
    </row>
    <row r="56" spans="1:3" x14ac:dyDescent="0.25">
      <c r="A56">
        <v>0.102927776237075</v>
      </c>
      <c r="B56">
        <v>-4.2319417983125163E-3</v>
      </c>
      <c r="C56">
        <v>0</v>
      </c>
    </row>
    <row r="57" spans="1:3" x14ac:dyDescent="0.25">
      <c r="A57">
        <v>0.10613962049169599</v>
      </c>
      <c r="B57">
        <v>2.2411042886489145E-3</v>
      </c>
      <c r="C57">
        <v>0</v>
      </c>
    </row>
    <row r="58" spans="1:3" x14ac:dyDescent="0.25">
      <c r="A58">
        <v>6.3674078217498695E-2</v>
      </c>
      <c r="B58">
        <v>-1.2506512294949382E-2</v>
      </c>
      <c r="C58">
        <v>0</v>
      </c>
    </row>
    <row r="59" spans="1:3" x14ac:dyDescent="0.25">
      <c r="A59">
        <v>9.4205855350402906E-2</v>
      </c>
      <c r="B59">
        <v>3.0977111987555199E-2</v>
      </c>
      <c r="C59">
        <v>0</v>
      </c>
    </row>
    <row r="60" spans="1:3" x14ac:dyDescent="0.25">
      <c r="A60">
        <v>-0.173093010875352</v>
      </c>
      <c r="B60">
        <v>-1.0874846482696729E-2</v>
      </c>
      <c r="C60">
        <v>1.6076504026527699E-2</v>
      </c>
    </row>
    <row r="61" spans="1:3" x14ac:dyDescent="0.25">
      <c r="A61">
        <v>3.0728227639727299E-2</v>
      </c>
      <c r="B61">
        <v>1.4142115192783222E-2</v>
      </c>
      <c r="C61">
        <v>1.6706300231781102E-2</v>
      </c>
    </row>
    <row r="62" spans="1:3" x14ac:dyDescent="0.25">
      <c r="A62">
        <v>-0.146003481055027</v>
      </c>
      <c r="B62">
        <v>-7.5498851869105505E-3</v>
      </c>
      <c r="C62">
        <v>-8.7869791588966097E-3</v>
      </c>
    </row>
    <row r="63" spans="1:3" x14ac:dyDescent="0.25">
      <c r="A63">
        <v>-0.109879632940055</v>
      </c>
      <c r="B63">
        <v>-3.1160541963474418E-3</v>
      </c>
      <c r="C63">
        <v>-1.7227223411430102E-2</v>
      </c>
    </row>
    <row r="64" spans="1:3" x14ac:dyDescent="0.25">
      <c r="A64">
        <v>-8.4001964958244704E-2</v>
      </c>
      <c r="B64">
        <v>6.0163517116443646E-5</v>
      </c>
      <c r="C64">
        <v>3.7811354057302703E-2</v>
      </c>
    </row>
    <row r="65" spans="1:3" x14ac:dyDescent="0.25">
      <c r="A65">
        <v>-6.7633587786259497E-2</v>
      </c>
      <c r="B65">
        <v>2.069213542445672E-3</v>
      </c>
      <c r="C65">
        <v>2.6650003905334799E-2</v>
      </c>
    </row>
    <row r="66" spans="1:3" x14ac:dyDescent="0.25">
      <c r="A66">
        <v>0.14617358842743799</v>
      </c>
      <c r="B66">
        <v>2.8311846411566116E-2</v>
      </c>
      <c r="C66">
        <v>1.16630055154321E-2</v>
      </c>
    </row>
    <row r="67" spans="1:3" x14ac:dyDescent="0.25">
      <c r="A67">
        <v>3.7270087124879003E-2</v>
      </c>
      <c r="B67">
        <v>1.494506119202612E-2</v>
      </c>
      <c r="C67">
        <v>3.4901787612645799E-2</v>
      </c>
    </row>
    <row r="68" spans="1:3" x14ac:dyDescent="0.25">
      <c r="A68">
        <v>7.3037719924690006E-2</v>
      </c>
      <c r="B68">
        <v>1.933517041466884E-2</v>
      </c>
      <c r="C68">
        <v>2.4668599487187901E-2</v>
      </c>
    </row>
    <row r="69" spans="1:3" x14ac:dyDescent="0.25">
      <c r="A69">
        <v>4.6328374431084798E-2</v>
      </c>
      <c r="B69">
        <v>1.6056872836562229E-2</v>
      </c>
      <c r="C69">
        <v>3.6116754353979E-2</v>
      </c>
    </row>
    <row r="70" spans="1:3" x14ac:dyDescent="0.25">
      <c r="A70">
        <v>5.4059859659172302E-2</v>
      </c>
      <c r="B70">
        <v>1.7005833165989796E-2</v>
      </c>
      <c r="C70">
        <v>2.4131308461073302E-2</v>
      </c>
    </row>
    <row r="71" spans="1:3" x14ac:dyDescent="0.25">
      <c r="A71">
        <v>3.5131930032612002E-2</v>
      </c>
      <c r="B71">
        <v>1.4682624389938677E-2</v>
      </c>
      <c r="C71">
        <v>1.50907975017149E-2</v>
      </c>
    </row>
    <row r="72" spans="1:3" x14ac:dyDescent="0.25">
      <c r="A72">
        <v>0.28654524649566099</v>
      </c>
      <c r="B72">
        <v>4.5541024370645715E-2</v>
      </c>
      <c r="C72">
        <v>2.18959251812363E-2</v>
      </c>
    </row>
    <row r="73" spans="1:3" x14ac:dyDescent="0.25">
      <c r="A73">
        <v>-1.1592836946277E-2</v>
      </c>
      <c r="B73">
        <v>8.947639589911972E-3</v>
      </c>
      <c r="C73">
        <v>1.5853087229457601E-2</v>
      </c>
    </row>
    <row r="74" spans="1:3" x14ac:dyDescent="0.25">
      <c r="A74">
        <v>6.7189700261516702E-2</v>
      </c>
      <c r="B74">
        <v>1.8617386120662424E-2</v>
      </c>
      <c r="C74">
        <v>2.5816000922686499E-2</v>
      </c>
    </row>
    <row r="75" spans="1:3" x14ac:dyDescent="0.25">
      <c r="A75">
        <v>7.6206971205888804E-2</v>
      </c>
      <c r="B75">
        <v>1.9724163428445716E-2</v>
      </c>
      <c r="C75">
        <v>3.2653790420231497E-2</v>
      </c>
    </row>
    <row r="76" spans="1:3" x14ac:dyDescent="0.25">
      <c r="A76">
        <v>9.7540691457764006E-2</v>
      </c>
      <c r="B76">
        <v>2.2342658271401382E-2</v>
      </c>
      <c r="C76">
        <v>2.2551049405269301E-2</v>
      </c>
    </row>
    <row r="77" spans="1:3" x14ac:dyDescent="0.25">
      <c r="A77">
        <v>7.0456568739666894E-2</v>
      </c>
      <c r="B77">
        <v>1.9018360641826812E-2</v>
      </c>
      <c r="C77">
        <v>1.7451105925115201E-2</v>
      </c>
    </row>
    <row r="78" spans="1:3" x14ac:dyDescent="0.25">
      <c r="A78">
        <v>7.1107478545157296E-2</v>
      </c>
      <c r="B78">
        <v>1.9098253128874684E-2</v>
      </c>
      <c r="C78">
        <v>2.5108500052926801E-2</v>
      </c>
    </row>
    <row r="79" spans="1:3" x14ac:dyDescent="0.25">
      <c r="A79">
        <v>5.5955120828538603E-2</v>
      </c>
      <c r="B79">
        <v>1.7238456990594581E-2</v>
      </c>
      <c r="C79">
        <v>2.4420395150621499E-2</v>
      </c>
    </row>
    <row r="80" spans="1:3" x14ac:dyDescent="0.25">
      <c r="A80">
        <v>7.9838459148803997E-2</v>
      </c>
      <c r="B80">
        <v>2.016989124049684E-2</v>
      </c>
      <c r="C80">
        <v>1.8443256615275801E-2</v>
      </c>
    </row>
    <row r="81" spans="1:3" x14ac:dyDescent="0.25">
      <c r="A81">
        <v>6.0451325975951098E-2</v>
      </c>
      <c r="B81">
        <v>1.7790319949908276E-2</v>
      </c>
      <c r="C81">
        <v>2.8673998000545299E-2</v>
      </c>
    </row>
    <row r="82" spans="1:3" x14ac:dyDescent="0.25">
      <c r="A82">
        <v>8.7408203474834398E-2</v>
      </c>
      <c r="B82">
        <v>2.1098999536948854E-2</v>
      </c>
      <c r="C82">
        <v>1.9055778091643698E-2</v>
      </c>
    </row>
    <row r="83" spans="1:3" x14ac:dyDescent="0.25">
      <c r="A83">
        <v>8.1138652207590894E-2</v>
      </c>
      <c r="B83">
        <v>2.0329476572032303E-2</v>
      </c>
      <c r="C83">
        <v>2.6964689097610201E-2</v>
      </c>
    </row>
    <row r="84" spans="1:3" x14ac:dyDescent="0.25">
      <c r="A84">
        <v>0.34304291287386202</v>
      </c>
      <c r="B84">
        <v>5.247553210317988E-2</v>
      </c>
      <c r="C84">
        <v>2.7787281880834801E-2</v>
      </c>
    </row>
    <row r="85" spans="1:3" x14ac:dyDescent="0.25">
      <c r="A85">
        <v>-5.0617283950617202E-2</v>
      </c>
      <c r="B85">
        <v>4.1577899048304565E-3</v>
      </c>
      <c r="C85">
        <v>1.7354549975136802E-2</v>
      </c>
    </row>
    <row r="86" spans="1:3" x14ac:dyDescent="0.25">
      <c r="A86">
        <v>-0.106157581107923</v>
      </c>
      <c r="B86">
        <v>-2.6592105979228002E-3</v>
      </c>
      <c r="C86">
        <v>2.48178158283647E-2</v>
      </c>
    </row>
    <row r="87" spans="1:3" x14ac:dyDescent="0.25">
      <c r="A87">
        <v>-0.132324779777863</v>
      </c>
      <c r="B87">
        <v>-5.870965226879821E-3</v>
      </c>
      <c r="C87">
        <v>4.0207797715285203E-2</v>
      </c>
    </row>
    <row r="88" spans="1:3" x14ac:dyDescent="0.25">
      <c r="A88">
        <v>-0.15061808718282399</v>
      </c>
      <c r="B88">
        <v>-8.1162806493637486E-3</v>
      </c>
      <c r="C88">
        <v>2.41869808350074E-2</v>
      </c>
    </row>
    <row r="89" spans="1:3" x14ac:dyDescent="0.25">
      <c r="A89">
        <v>-0.12434126192849999</v>
      </c>
      <c r="B89">
        <v>-4.8910704841724842E-3</v>
      </c>
      <c r="C89">
        <v>-3.4263992659588398E-2</v>
      </c>
    </row>
    <row r="90" spans="1:3" x14ac:dyDescent="0.25">
      <c r="A90">
        <v>-8.1381656417637199E-2</v>
      </c>
      <c r="B90">
        <v>3.8177945280540825E-4</v>
      </c>
      <c r="C90">
        <v>-0.16517114593364299</v>
      </c>
    </row>
    <row r="91" spans="1:3" x14ac:dyDescent="0.25">
      <c r="A91">
        <v>0.118706088992974</v>
      </c>
      <c r="B91">
        <v>2.4940493231301659E-2</v>
      </c>
      <c r="C91">
        <v>3.0770619021837298E-2</v>
      </c>
    </row>
    <row r="92" spans="1:3" x14ac:dyDescent="0.25">
      <c r="A92">
        <v>7.5059008654602605E-2</v>
      </c>
      <c r="B92">
        <v>1.9583262826724131E-2</v>
      </c>
      <c r="C92">
        <v>5.8857252054270899E-2</v>
      </c>
    </row>
    <row r="93" spans="1:3" x14ac:dyDescent="0.25">
      <c r="A93">
        <v>4.6607378129117201E-2</v>
      </c>
      <c r="B93">
        <v>1.6091117672241986E-2</v>
      </c>
      <c r="C93">
        <v>7.50866384289566E-3</v>
      </c>
    </row>
    <row r="94" spans="1:3" x14ac:dyDescent="0.25">
      <c r="A94">
        <v>4.9974061905585301E-2</v>
      </c>
      <c r="B94">
        <v>1.6504343495139396E-2</v>
      </c>
      <c r="C94">
        <v>1.49734971543027E-2</v>
      </c>
    </row>
    <row r="95" spans="1:3" x14ac:dyDescent="0.25">
      <c r="A95">
        <v>9.1543978859947195E-2</v>
      </c>
      <c r="B95">
        <v>2.1606623448281848E-2</v>
      </c>
      <c r="C95">
        <v>3.02229603905581E-2</v>
      </c>
    </row>
    <row r="96" spans="1:3" x14ac:dyDescent="0.25">
      <c r="A96">
        <v>9.7576134244872395E-2</v>
      </c>
      <c r="B96">
        <v>2.2347008509154928E-2</v>
      </c>
      <c r="C96">
        <v>-2.4067979763249699E-2</v>
      </c>
    </row>
    <row r="97" spans="1:3" x14ac:dyDescent="0.25">
      <c r="A97">
        <v>-7.2266000384393597E-2</v>
      </c>
      <c r="B97">
        <v>1.5006325188152165E-3</v>
      </c>
      <c r="C97">
        <v>6.4717726119812802E-2</v>
      </c>
    </row>
    <row r="98" spans="1:3" x14ac:dyDescent="0.25">
      <c r="A98">
        <v>-0.12876758204956501</v>
      </c>
      <c r="B98">
        <v>-5.4343557749440673E-3</v>
      </c>
      <c r="C98">
        <v>-6.1935832025117703E-2</v>
      </c>
    </row>
    <row r="99" spans="1:3" x14ac:dyDescent="0.25">
      <c r="A99">
        <v>0.19727345629510801</v>
      </c>
      <c r="B99">
        <v>3.4583829868152824E-2</v>
      </c>
      <c r="C99">
        <v>6.0230937272443601E-2</v>
      </c>
    </row>
    <row r="100" spans="1:3" x14ac:dyDescent="0.25">
      <c r="A100">
        <v>0.200481347773767</v>
      </c>
      <c r="B100">
        <v>3.4977565568933451E-2</v>
      </c>
      <c r="C100">
        <v>7.6544039419900303E-2</v>
      </c>
    </row>
    <row r="101" spans="1:3" x14ac:dyDescent="0.25">
      <c r="A101">
        <v>-0.14804182899323401</v>
      </c>
      <c r="B101">
        <v>-7.8000714414094684E-3</v>
      </c>
      <c r="C101">
        <v>-9.6158712485449604E-2</v>
      </c>
    </row>
    <row r="102" spans="1:3" x14ac:dyDescent="0.25">
      <c r="A102">
        <v>-0.203104575163399</v>
      </c>
      <c r="B102">
        <v>-1.4558457469879145E-2</v>
      </c>
      <c r="C102">
        <v>-4.2475345884519303E-2</v>
      </c>
    </row>
    <row r="103" spans="1:3" x14ac:dyDescent="0.25">
      <c r="A103">
        <v>-0.17442331040064701</v>
      </c>
      <c r="B103">
        <v>-1.1038127073491255E-2</v>
      </c>
      <c r="C103">
        <v>9.3996023856858804E-2</v>
      </c>
    </row>
    <row r="104" spans="1:3" x14ac:dyDescent="0.25">
      <c r="A104">
        <v>-0.132373595505618</v>
      </c>
      <c r="B104">
        <v>-5.8769568556193228E-3</v>
      </c>
      <c r="C104">
        <v>-7.3778541615516793E-2</v>
      </c>
    </row>
    <row r="105" spans="1:3" x14ac:dyDescent="0.25">
      <c r="A105">
        <v>-0.15556434077881001</v>
      </c>
      <c r="B105">
        <v>-8.7233824290874184E-3</v>
      </c>
      <c r="C105">
        <v>-1.5708071532141099E-2</v>
      </c>
    </row>
    <row r="106" spans="1:3" x14ac:dyDescent="0.25">
      <c r="A106">
        <v>-0.12715665976535501</v>
      </c>
      <c r="B106">
        <v>-5.2366316253909442E-3</v>
      </c>
      <c r="C106">
        <v>-8.3783544415906394E-2</v>
      </c>
    </row>
    <row r="107" spans="1:3" x14ac:dyDescent="0.25">
      <c r="A107">
        <v>-0.101952277657267</v>
      </c>
      <c r="B107">
        <v>-2.1430528313167389E-3</v>
      </c>
      <c r="C107">
        <v>3.4376932414172202E-2</v>
      </c>
    </row>
    <row r="108" spans="1:3" x14ac:dyDescent="0.25">
      <c r="A108">
        <v>-0.42196945949576797</v>
      </c>
      <c r="B108">
        <v>-4.1421872015592179E-2</v>
      </c>
      <c r="C108">
        <v>-2.9517014514013999E-2</v>
      </c>
    </row>
    <row r="109" spans="1:3" x14ac:dyDescent="0.25">
      <c r="A109">
        <v>-1.78802914487509E-3</v>
      </c>
      <c r="B109">
        <v>1.0151078950746645E-2</v>
      </c>
      <c r="C109">
        <v>-5.2741283476503198E-2</v>
      </c>
    </row>
    <row r="110" spans="1:3" x14ac:dyDescent="0.25">
      <c r="A110">
        <v>-0.25459816073570601</v>
      </c>
      <c r="B110">
        <v>-2.0878765727156988E-2</v>
      </c>
      <c r="C110">
        <v>4.2584950390727801E-2</v>
      </c>
    </row>
    <row r="111" spans="1:3" x14ac:dyDescent="0.25">
      <c r="A111">
        <v>-0.182212049374642</v>
      </c>
      <c r="B111">
        <v>-1.1994114711640818E-2</v>
      </c>
      <c r="C111">
        <v>-8.0348394120849098E-3</v>
      </c>
    </row>
    <row r="112" spans="1:3" x14ac:dyDescent="0.25">
      <c r="A112">
        <v>0.20060849936205699</v>
      </c>
      <c r="B112">
        <v>3.4993172119234105E-2</v>
      </c>
      <c r="C112">
        <v>7.0163582979913305E-2</v>
      </c>
    </row>
    <row r="113" spans="1:3" x14ac:dyDescent="0.25">
      <c r="A113">
        <v>4.3812320721213098E-2</v>
      </c>
      <c r="B113">
        <v>1.5748053109570663E-2</v>
      </c>
      <c r="C113">
        <v>-5.1750044193035201E-2</v>
      </c>
    </row>
    <row r="114" spans="1:3" x14ac:dyDescent="0.25">
      <c r="A114">
        <v>5.19056000574733E-2</v>
      </c>
      <c r="B114">
        <v>1.6741419946408896E-2</v>
      </c>
      <c r="C114">
        <v>3.20403183507788E-2</v>
      </c>
    </row>
    <row r="115" spans="1:3" x14ac:dyDescent="0.25">
      <c r="A115">
        <v>0.102927776237075</v>
      </c>
      <c r="B115">
        <v>2.3003867546982415E-2</v>
      </c>
      <c r="C115">
        <v>1.8771925748669899E-2</v>
      </c>
    </row>
    <row r="116" spans="1:3" x14ac:dyDescent="0.25">
      <c r="A116">
        <v>0.10613962049169599</v>
      </c>
      <c r="B116">
        <v>2.3398088410376487E-2</v>
      </c>
      <c r="C116">
        <v>2.5639192699025402E-2</v>
      </c>
    </row>
    <row r="117" spans="1:3" x14ac:dyDescent="0.25">
      <c r="A117">
        <v>6.3674078217498695E-2</v>
      </c>
      <c r="B117">
        <v>1.8185879656559743E-2</v>
      </c>
      <c r="C117">
        <v>5.67936736161036E-3</v>
      </c>
    </row>
    <row r="118" spans="1:3" x14ac:dyDescent="0.25">
      <c r="A118">
        <v>9.4205855350402906E-2</v>
      </c>
      <c r="B118">
        <v>2.1933341422481899E-2</v>
      </c>
      <c r="C118">
        <v>5.2910453410037098E-2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800B-9DE6-4CA2-9014-ECA3D753C488}">
  <dimension ref="A1:C116"/>
  <sheetViews>
    <sheetView topLeftCell="A112" workbookViewId="0"/>
  </sheetViews>
  <sheetFormatPr defaultRowHeight="15" x14ac:dyDescent="0.25"/>
  <sheetData>
    <row r="1" spans="1:3" x14ac:dyDescent="0.25">
      <c r="A1">
        <v>1.6706300231781102E-2</v>
      </c>
      <c r="B1">
        <v>2.0151217490051915E-2</v>
      </c>
      <c r="C1">
        <v>0</v>
      </c>
    </row>
    <row r="2" spans="1:3" x14ac:dyDescent="0.25">
      <c r="A2">
        <v>-8.7869791588966097E-3</v>
      </c>
      <c r="B2">
        <v>-0.12639440778769678</v>
      </c>
      <c r="C2">
        <v>0</v>
      </c>
    </row>
    <row r="3" spans="1:3" x14ac:dyDescent="0.25">
      <c r="A3">
        <v>-1.7227223411430102E-2</v>
      </c>
      <c r="B3">
        <v>-8.0276634875429215E-2</v>
      </c>
      <c r="C3">
        <v>0</v>
      </c>
    </row>
    <row r="4" spans="1:3" x14ac:dyDescent="0.25">
      <c r="A4">
        <v>3.7811354057302703E-2</v>
      </c>
      <c r="B4">
        <v>-0.11956904819873448</v>
      </c>
      <c r="C4">
        <v>0</v>
      </c>
    </row>
    <row r="5" spans="1:3" x14ac:dyDescent="0.25">
      <c r="A5">
        <v>2.6650003905334799E-2</v>
      </c>
      <c r="B5">
        <v>-8.9984739032652278E-2</v>
      </c>
      <c r="C5">
        <v>0</v>
      </c>
    </row>
    <row r="6" spans="1:3" x14ac:dyDescent="0.25">
      <c r="A6">
        <v>1.16630055154321E-2</v>
      </c>
      <c r="B6">
        <v>0.14156824291420494</v>
      </c>
      <c r="C6">
        <v>0</v>
      </c>
    </row>
    <row r="7" spans="1:3" x14ac:dyDescent="0.25">
      <c r="A7">
        <v>3.4901787612645799E-2</v>
      </c>
      <c r="B7">
        <v>5.1481634521241826E-3</v>
      </c>
      <c r="C7">
        <v>0</v>
      </c>
    </row>
    <row r="8" spans="1:3" x14ac:dyDescent="0.25">
      <c r="A8">
        <v>2.4668599487187901E-2</v>
      </c>
      <c r="B8">
        <v>5.3032710111591101E-2</v>
      </c>
      <c r="C8">
        <v>0</v>
      </c>
    </row>
    <row r="9" spans="1:3" x14ac:dyDescent="0.25">
      <c r="A9">
        <v>3.6116754353979E-2</v>
      </c>
      <c r="B9">
        <v>1.276783288415477E-2</v>
      </c>
      <c r="C9">
        <v>0</v>
      </c>
    </row>
    <row r="10" spans="1:3" x14ac:dyDescent="0.25">
      <c r="A10">
        <v>2.4131308461073302E-2</v>
      </c>
      <c r="B10">
        <v>3.4691045428640724E-2</v>
      </c>
      <c r="C10">
        <v>0</v>
      </c>
    </row>
    <row r="11" spans="1:3" x14ac:dyDescent="0.25">
      <c r="A11">
        <v>1.50907975017149E-2</v>
      </c>
      <c r="B11">
        <v>2.6467804428814662E-2</v>
      </c>
      <c r="C11">
        <v>0</v>
      </c>
    </row>
    <row r="12" spans="1:3" x14ac:dyDescent="0.25">
      <c r="A12">
        <v>2.18959251812363E-2</v>
      </c>
      <c r="B12">
        <v>0.26982330500049095</v>
      </c>
      <c r="C12">
        <v>0</v>
      </c>
    </row>
    <row r="13" spans="1:3" x14ac:dyDescent="0.25">
      <c r="A13">
        <v>1.5853087229457601E-2</v>
      </c>
      <c r="B13">
        <v>-2.1159574605468912E-2</v>
      </c>
      <c r="C13">
        <v>0</v>
      </c>
    </row>
    <row r="14" spans="1:3" x14ac:dyDescent="0.25">
      <c r="A14">
        <v>2.5816000922686499E-2</v>
      </c>
      <c r="B14">
        <v>4.5826075304639238E-2</v>
      </c>
      <c r="C14">
        <v>0</v>
      </c>
    </row>
    <row r="15" spans="1:3" x14ac:dyDescent="0.25">
      <c r="A15">
        <v>3.2653790420231497E-2</v>
      </c>
      <c r="B15">
        <v>4.6746856150672089E-2</v>
      </c>
      <c r="C15">
        <v>0</v>
      </c>
    </row>
    <row r="16" spans="1:3" x14ac:dyDescent="0.25">
      <c r="A16">
        <v>2.2551049405269301E-2</v>
      </c>
      <c r="B16">
        <v>8.0043030441691823E-2</v>
      </c>
      <c r="C16">
        <v>0</v>
      </c>
    </row>
    <row r="17" spans="1:3" x14ac:dyDescent="0.25">
      <c r="A17">
        <v>1.7451105925115201E-2</v>
      </c>
      <c r="B17">
        <v>5.8997649030852362E-2</v>
      </c>
      <c r="C17">
        <v>0</v>
      </c>
    </row>
    <row r="18" spans="1:3" x14ac:dyDescent="0.25">
      <c r="A18">
        <v>2.5108500052926801E-2</v>
      </c>
      <c r="B18">
        <v>5.0581591250229277E-2</v>
      </c>
      <c r="C18">
        <v>0</v>
      </c>
    </row>
    <row r="19" spans="1:3" x14ac:dyDescent="0.25">
      <c r="A19">
        <v>2.4420395150621499E-2</v>
      </c>
      <c r="B19">
        <v>3.6244004817537034E-2</v>
      </c>
      <c r="C19">
        <v>0</v>
      </c>
    </row>
    <row r="20" spans="1:3" x14ac:dyDescent="0.25">
      <c r="A20">
        <v>1.8443256615275801E-2</v>
      </c>
      <c r="B20">
        <v>6.7204753605791159E-2</v>
      </c>
      <c r="C20">
        <v>0</v>
      </c>
    </row>
    <row r="21" spans="1:3" x14ac:dyDescent="0.25">
      <c r="A21">
        <v>2.8673998000545299E-2</v>
      </c>
      <c r="B21">
        <v>3.5703603709515586E-2</v>
      </c>
      <c r="C21">
        <v>0</v>
      </c>
    </row>
    <row r="22" spans="1:3" x14ac:dyDescent="0.25">
      <c r="A22">
        <v>1.9055778091643698E-2</v>
      </c>
      <c r="B22">
        <v>7.4049223474306702E-2</v>
      </c>
      <c r="C22">
        <v>0</v>
      </c>
    </row>
    <row r="23" spans="1:3" x14ac:dyDescent="0.25">
      <c r="A23">
        <v>2.6964689097610201E-2</v>
      </c>
      <c r="B23">
        <v>5.8414888504458043E-2</v>
      </c>
      <c r="C23">
        <v>0</v>
      </c>
    </row>
    <row r="24" spans="1:3" x14ac:dyDescent="0.25">
      <c r="A24">
        <v>2.7787281880834801E-2</v>
      </c>
      <c r="B24">
        <v>0.3193451334706649</v>
      </c>
      <c r="C24">
        <v>0</v>
      </c>
    </row>
    <row r="25" spans="1:3" x14ac:dyDescent="0.25">
      <c r="A25">
        <v>1.7354549975136802E-2</v>
      </c>
      <c r="B25">
        <v>-6.196187368580261E-2</v>
      </c>
      <c r="C25">
        <v>0</v>
      </c>
    </row>
    <row r="26" spans="1:3" x14ac:dyDescent="0.25">
      <c r="A26">
        <v>2.48178158283647E-2</v>
      </c>
      <c r="B26">
        <v>-0.12633927501304934</v>
      </c>
      <c r="C26">
        <v>0</v>
      </c>
    </row>
    <row r="27" spans="1:3" x14ac:dyDescent="0.25">
      <c r="A27">
        <v>4.0207797715285203E-2</v>
      </c>
      <c r="B27">
        <v>-0.17072944413357277</v>
      </c>
      <c r="C27">
        <v>0</v>
      </c>
    </row>
    <row r="28" spans="1:3" x14ac:dyDescent="0.25">
      <c r="A28">
        <v>2.41869808350074E-2</v>
      </c>
      <c r="B28">
        <v>-0.17005282196040813</v>
      </c>
      <c r="C28">
        <v>0</v>
      </c>
    </row>
    <row r="29" spans="1:3" x14ac:dyDescent="0.25">
      <c r="A29">
        <v>-3.4263992659588398E-2</v>
      </c>
      <c r="B29">
        <v>-7.4565365359916355E-2</v>
      </c>
      <c r="C29">
        <v>0</v>
      </c>
    </row>
    <row r="30" spans="1:3" x14ac:dyDescent="0.25">
      <c r="A30">
        <v>-0.16517114593364299</v>
      </c>
      <c r="B30">
        <v>0.12339878813618313</v>
      </c>
      <c r="C30">
        <v>0</v>
      </c>
    </row>
    <row r="31" spans="1:3" x14ac:dyDescent="0.25">
      <c r="A31">
        <v>3.0770619021837298E-2</v>
      </c>
      <c r="B31">
        <v>9.1475799612567618E-2</v>
      </c>
      <c r="C31">
        <v>0</v>
      </c>
    </row>
    <row r="32" spans="1:3" x14ac:dyDescent="0.25">
      <c r="A32">
        <v>5.8857252054270899E-2</v>
      </c>
      <c r="B32">
        <v>1.4571897559454608E-2</v>
      </c>
      <c r="C32">
        <v>0</v>
      </c>
    </row>
    <row r="33" spans="1:3" x14ac:dyDescent="0.25">
      <c r="A33">
        <v>7.50866384289566E-3</v>
      </c>
      <c r="B33">
        <v>4.6921105691895892E-2</v>
      </c>
      <c r="C33">
        <v>0</v>
      </c>
    </row>
    <row r="34" spans="1:3" x14ac:dyDescent="0.25">
      <c r="A34">
        <v>1.49734971543027E-2</v>
      </c>
      <c r="B34">
        <v>4.1448829302471235E-2</v>
      </c>
      <c r="C34">
        <v>0</v>
      </c>
    </row>
    <row r="35" spans="1:3" x14ac:dyDescent="0.25">
      <c r="A35">
        <v>3.02229603905581E-2</v>
      </c>
      <c r="B35">
        <v>6.4962161136501606E-2</v>
      </c>
      <c r="C35">
        <v>0</v>
      </c>
    </row>
    <row r="36" spans="1:3" x14ac:dyDescent="0.25">
      <c r="A36">
        <v>-2.4067979763249699E-2</v>
      </c>
      <c r="B36">
        <v>0.13527913540078143</v>
      </c>
      <c r="C36">
        <v>0</v>
      </c>
    </row>
    <row r="37" spans="1:3" x14ac:dyDescent="0.25">
      <c r="A37">
        <v>6.4717726119812802E-2</v>
      </c>
      <c r="B37">
        <v>-0.13969238187683444</v>
      </c>
      <c r="C37">
        <v>0</v>
      </c>
    </row>
    <row r="38" spans="1:3" x14ac:dyDescent="0.25">
      <c r="A38">
        <v>-6.1935832025117703E-2</v>
      </c>
      <c r="B38">
        <v>-4.6226012670158217E-2</v>
      </c>
      <c r="C38">
        <v>0</v>
      </c>
    </row>
    <row r="39" spans="1:3" x14ac:dyDescent="0.25">
      <c r="A39">
        <v>6.0230937272443601E-2</v>
      </c>
      <c r="B39">
        <v>0.13515979194453098</v>
      </c>
      <c r="C39">
        <v>0</v>
      </c>
    </row>
    <row r="40" spans="1:3" x14ac:dyDescent="0.25">
      <c r="A40">
        <v>7.6544039419900303E-2</v>
      </c>
      <c r="B40">
        <v>0.11905166469264836</v>
      </c>
      <c r="C40">
        <v>0</v>
      </c>
    </row>
    <row r="41" spans="1:3" x14ac:dyDescent="0.25">
      <c r="A41">
        <v>-9.6158712485449604E-2</v>
      </c>
      <c r="B41">
        <v>-2.497762976638776E-2</v>
      </c>
      <c r="C41">
        <v>0</v>
      </c>
    </row>
    <row r="42" spans="1:3" x14ac:dyDescent="0.25">
      <c r="A42">
        <v>-4.2475345884519303E-2</v>
      </c>
      <c r="B42">
        <v>-0.14360577909586342</v>
      </c>
      <c r="C42">
        <v>0</v>
      </c>
    </row>
    <row r="43" spans="1:3" x14ac:dyDescent="0.25">
      <c r="A43">
        <v>9.3996023856858804E-2</v>
      </c>
      <c r="B43">
        <v>-0.27651754000530759</v>
      </c>
      <c r="C43">
        <v>0</v>
      </c>
    </row>
    <row r="44" spans="1:3" x14ac:dyDescent="0.25">
      <c r="A44">
        <v>-7.3778541615516793E-2</v>
      </c>
      <c r="B44">
        <v>-3.5809310017357709E-2</v>
      </c>
      <c r="C44">
        <v>0</v>
      </c>
    </row>
    <row r="45" spans="1:3" x14ac:dyDescent="0.25">
      <c r="A45">
        <v>-1.5708071532141099E-2</v>
      </c>
      <c r="B45">
        <v>-0.1277601401403046</v>
      </c>
      <c r="C45">
        <v>0</v>
      </c>
    </row>
    <row r="46" spans="1:3" x14ac:dyDescent="0.25">
      <c r="A46">
        <v>-8.3783544415906394E-2</v>
      </c>
      <c r="B46">
        <v>-1.8745650107493628E-2</v>
      </c>
      <c r="C46">
        <v>0</v>
      </c>
    </row>
    <row r="47" spans="1:3" x14ac:dyDescent="0.25">
      <c r="A47">
        <v>3.4376932414172202E-2</v>
      </c>
      <c r="B47">
        <v>-0.13345273076281161</v>
      </c>
      <c r="C47">
        <v>0</v>
      </c>
    </row>
    <row r="48" spans="1:3" x14ac:dyDescent="0.25">
      <c r="A48">
        <v>-2.9517014514013999E-2</v>
      </c>
      <c r="B48">
        <v>-0.37781436502506627</v>
      </c>
      <c r="C48">
        <v>0</v>
      </c>
    </row>
    <row r="49" spans="1:3" x14ac:dyDescent="0.25">
      <c r="A49">
        <v>-5.2741283476503198E-2</v>
      </c>
      <c r="B49">
        <v>6.9866458772125661E-2</v>
      </c>
      <c r="C49">
        <v>0</v>
      </c>
    </row>
    <row r="50" spans="1:3" x14ac:dyDescent="0.25">
      <c r="A50">
        <v>4.2584950390727801E-2</v>
      </c>
      <c r="B50">
        <v>-0.29581756413915505</v>
      </c>
      <c r="C50">
        <v>0</v>
      </c>
    </row>
    <row r="51" spans="1:3" x14ac:dyDescent="0.25">
      <c r="A51">
        <v>-8.0348394120849098E-3</v>
      </c>
      <c r="B51">
        <v>-0.16349356977282528</v>
      </c>
      <c r="C51">
        <v>0</v>
      </c>
    </row>
    <row r="52" spans="1:3" x14ac:dyDescent="0.25">
      <c r="A52">
        <v>7.0163582979913305E-2</v>
      </c>
      <c r="B52">
        <v>0.12673378743174477</v>
      </c>
      <c r="C52">
        <v>0</v>
      </c>
    </row>
    <row r="53" spans="1:3" x14ac:dyDescent="0.25">
      <c r="A53">
        <v>-5.1750044193035201E-2</v>
      </c>
      <c r="B53">
        <v>0.11429310198249346</v>
      </c>
      <c r="C53">
        <v>0</v>
      </c>
    </row>
    <row r="54" spans="1:3" x14ac:dyDescent="0.25">
      <c r="A54">
        <v>3.20403183507788E-2</v>
      </c>
      <c r="B54">
        <v>2.3171885038074411E-2</v>
      </c>
      <c r="C54">
        <v>0</v>
      </c>
    </row>
    <row r="55" spans="1:3" x14ac:dyDescent="0.25">
      <c r="A55">
        <v>1.8771925748669899E-2</v>
      </c>
      <c r="B55">
        <v>8.9904900131688101E-2</v>
      </c>
      <c r="C55">
        <v>0</v>
      </c>
    </row>
    <row r="56" spans="1:3" x14ac:dyDescent="0.25">
      <c r="A56">
        <v>2.5639192699025402E-2</v>
      </c>
      <c r="B56">
        <v>8.4985350624309217E-2</v>
      </c>
      <c r="C56">
        <v>0</v>
      </c>
    </row>
    <row r="57" spans="1:3" x14ac:dyDescent="0.25">
      <c r="A57">
        <v>5.67936736161036E-3</v>
      </c>
      <c r="B57">
        <v>6.6153839240794252E-2</v>
      </c>
      <c r="C57">
        <v>0</v>
      </c>
    </row>
    <row r="58" spans="1:3" x14ac:dyDescent="0.25">
      <c r="A58">
        <v>5.2910453410037098E-2</v>
      </c>
      <c r="B58">
        <v>4.0760229863599992E-2</v>
      </c>
      <c r="C58">
        <v>0</v>
      </c>
    </row>
    <row r="59" spans="1:3" x14ac:dyDescent="0.25">
      <c r="A59">
        <v>1.6706300231781102E-2</v>
      </c>
      <c r="B59">
        <v>1.0577010149675384E-2</v>
      </c>
      <c r="C59">
        <v>3.0728227639727299E-2</v>
      </c>
    </row>
    <row r="60" spans="1:3" x14ac:dyDescent="0.25">
      <c r="A60">
        <v>-8.7869791588966097E-3</v>
      </c>
      <c r="B60">
        <v>-1.9609073267330211E-2</v>
      </c>
      <c r="C60">
        <v>-0.146003481055027</v>
      </c>
    </row>
    <row r="61" spans="1:3" x14ac:dyDescent="0.25">
      <c r="A61">
        <v>-1.7227223411430102E-2</v>
      </c>
      <c r="B61">
        <v>-2.9602998064625782E-2</v>
      </c>
      <c r="C61">
        <v>-0.109879632940055</v>
      </c>
    </row>
    <row r="62" spans="1:3" x14ac:dyDescent="0.25">
      <c r="A62">
        <v>3.7811354057302703E-2</v>
      </c>
      <c r="B62">
        <v>3.556708324048978E-2</v>
      </c>
      <c r="C62">
        <v>-8.4001964958244704E-2</v>
      </c>
    </row>
    <row r="63" spans="1:3" x14ac:dyDescent="0.25">
      <c r="A63">
        <v>2.6650003905334799E-2</v>
      </c>
      <c r="B63">
        <v>2.2351151246392777E-2</v>
      </c>
      <c r="C63">
        <v>-6.7633587786259497E-2</v>
      </c>
    </row>
    <row r="64" spans="1:3" x14ac:dyDescent="0.25">
      <c r="A64">
        <v>1.16630055154321E-2</v>
      </c>
      <c r="B64">
        <v>4.6053455132330397E-3</v>
      </c>
      <c r="C64">
        <v>0.14617358842743799</v>
      </c>
    </row>
    <row r="65" spans="1:3" x14ac:dyDescent="0.25">
      <c r="A65">
        <v>3.4901787612645799E-2</v>
      </c>
      <c r="B65">
        <v>3.2121923672754821E-2</v>
      </c>
      <c r="C65">
        <v>3.7270087124879003E-2</v>
      </c>
    </row>
    <row r="66" spans="1:3" x14ac:dyDescent="0.25">
      <c r="A66">
        <v>2.4668599487187901E-2</v>
      </c>
      <c r="B66">
        <v>2.0005009813098905E-2</v>
      </c>
      <c r="C66">
        <v>7.3037719924690006E-2</v>
      </c>
    </row>
    <row r="67" spans="1:3" x14ac:dyDescent="0.25">
      <c r="A67">
        <v>3.6116754353979E-2</v>
      </c>
      <c r="B67">
        <v>3.3560541546930028E-2</v>
      </c>
      <c r="C67">
        <v>4.6328374431084798E-2</v>
      </c>
    </row>
    <row r="68" spans="1:3" x14ac:dyDescent="0.25">
      <c r="A68">
        <v>2.4131308461073302E-2</v>
      </c>
      <c r="B68">
        <v>1.9368814230531578E-2</v>
      </c>
      <c r="C68">
        <v>5.4059859659172302E-2</v>
      </c>
    </row>
    <row r="69" spans="1:3" x14ac:dyDescent="0.25">
      <c r="A69">
        <v>1.50907975017149E-2</v>
      </c>
      <c r="B69">
        <v>8.6641256037973402E-3</v>
      </c>
      <c r="C69">
        <v>3.5131930032612002E-2</v>
      </c>
    </row>
    <row r="70" spans="1:3" x14ac:dyDescent="0.25">
      <c r="A70">
        <v>2.18959251812363E-2</v>
      </c>
      <c r="B70">
        <v>1.6721941495170031E-2</v>
      </c>
      <c r="C70">
        <v>0.28654524649566099</v>
      </c>
    </row>
    <row r="71" spans="1:3" x14ac:dyDescent="0.25">
      <c r="A71">
        <v>1.5853087229457601E-2</v>
      </c>
      <c r="B71">
        <v>9.5667376591919116E-3</v>
      </c>
      <c r="C71">
        <v>-1.1592836946277E-2</v>
      </c>
    </row>
    <row r="72" spans="1:3" x14ac:dyDescent="0.25">
      <c r="A72">
        <v>2.5816000922686499E-2</v>
      </c>
      <c r="B72">
        <v>2.1363624956877467E-2</v>
      </c>
      <c r="C72">
        <v>6.7189700261516702E-2</v>
      </c>
    </row>
    <row r="73" spans="1:3" x14ac:dyDescent="0.25">
      <c r="A73">
        <v>3.2653790420231497E-2</v>
      </c>
      <c r="B73">
        <v>2.9460115055216712E-2</v>
      </c>
      <c r="C73">
        <v>7.6206971205888804E-2</v>
      </c>
    </row>
    <row r="74" spans="1:3" x14ac:dyDescent="0.25">
      <c r="A74">
        <v>2.2551049405269301E-2</v>
      </c>
      <c r="B74">
        <v>1.7497661016072183E-2</v>
      </c>
      <c r="C74">
        <v>9.7540691457764006E-2</v>
      </c>
    </row>
    <row r="75" spans="1:3" x14ac:dyDescent="0.25">
      <c r="A75">
        <v>1.7451105925115201E-2</v>
      </c>
      <c r="B75">
        <v>1.1458919708814536E-2</v>
      </c>
      <c r="C75">
        <v>7.0456568739666894E-2</v>
      </c>
    </row>
    <row r="76" spans="1:3" x14ac:dyDescent="0.25">
      <c r="A76">
        <v>2.5108500052926801E-2</v>
      </c>
      <c r="B76">
        <v>2.0525887294928023E-2</v>
      </c>
      <c r="C76">
        <v>7.1107478545157296E-2</v>
      </c>
    </row>
    <row r="77" spans="1:3" x14ac:dyDescent="0.25">
      <c r="A77">
        <v>2.4420395150621499E-2</v>
      </c>
      <c r="B77">
        <v>1.9711116011001568E-2</v>
      </c>
      <c r="C77">
        <v>5.5955120828538603E-2</v>
      </c>
    </row>
    <row r="78" spans="1:3" x14ac:dyDescent="0.25">
      <c r="A78">
        <v>1.8443256615275801E-2</v>
      </c>
      <c r="B78">
        <v>1.2633705543012835E-2</v>
      </c>
      <c r="C78">
        <v>7.9838459148803997E-2</v>
      </c>
    </row>
    <row r="79" spans="1:3" x14ac:dyDescent="0.25">
      <c r="A79">
        <v>2.8673998000545299E-2</v>
      </c>
      <c r="B79">
        <v>2.4747722266435509E-2</v>
      </c>
      <c r="C79">
        <v>6.0451325975951098E-2</v>
      </c>
    </row>
    <row r="80" spans="1:3" x14ac:dyDescent="0.25">
      <c r="A80">
        <v>1.9055778091643698E-2</v>
      </c>
      <c r="B80">
        <v>1.3358980000527702E-2</v>
      </c>
      <c r="C80">
        <v>8.7408203474834398E-2</v>
      </c>
    </row>
    <row r="81" spans="1:3" x14ac:dyDescent="0.25">
      <c r="A81">
        <v>2.6964689097610201E-2</v>
      </c>
      <c r="B81">
        <v>2.2723763703132855E-2</v>
      </c>
      <c r="C81">
        <v>8.1138652207590894E-2</v>
      </c>
    </row>
    <row r="82" spans="1:3" x14ac:dyDescent="0.25">
      <c r="A82">
        <v>2.7787281880834801E-2</v>
      </c>
      <c r="B82">
        <v>2.3697779403197113E-2</v>
      </c>
      <c r="C82">
        <v>0.34304291287386202</v>
      </c>
    </row>
    <row r="83" spans="1:3" x14ac:dyDescent="0.25">
      <c r="A83">
        <v>1.7354549975136802E-2</v>
      </c>
      <c r="B83">
        <v>1.1344589735185408E-2</v>
      </c>
      <c r="C83">
        <v>-5.0617283950617202E-2</v>
      </c>
    </row>
    <row r="84" spans="1:3" x14ac:dyDescent="0.25">
      <c r="A84">
        <v>2.48178158283647E-2</v>
      </c>
      <c r="B84">
        <v>2.0181693905126325E-2</v>
      </c>
      <c r="C84">
        <v>-0.106157581107923</v>
      </c>
    </row>
    <row r="85" spans="1:3" x14ac:dyDescent="0.25">
      <c r="A85">
        <v>4.0207797715285203E-2</v>
      </c>
      <c r="B85">
        <v>3.8404664355709758E-2</v>
      </c>
      <c r="C85">
        <v>-0.132324779777863</v>
      </c>
    </row>
    <row r="86" spans="1:3" x14ac:dyDescent="0.25">
      <c r="A86">
        <v>2.41869808350074E-2</v>
      </c>
      <c r="B86">
        <v>1.9434734777584145E-2</v>
      </c>
      <c r="C86">
        <v>-0.15061808718282399</v>
      </c>
    </row>
    <row r="87" spans="1:3" x14ac:dyDescent="0.25">
      <c r="A87">
        <v>-3.4263992659588398E-2</v>
      </c>
      <c r="B87">
        <v>-4.9775896568583639E-2</v>
      </c>
      <c r="C87">
        <v>-0.12434126192849999</v>
      </c>
    </row>
    <row r="88" spans="1:3" x14ac:dyDescent="0.25">
      <c r="A88">
        <v>-0.16517114593364299</v>
      </c>
      <c r="B88">
        <v>-0.20478044455382033</v>
      </c>
      <c r="C88">
        <v>-8.1381656417637199E-2</v>
      </c>
    </row>
    <row r="89" spans="1:3" x14ac:dyDescent="0.25">
      <c r="A89">
        <v>3.0770619021837298E-2</v>
      </c>
      <c r="B89">
        <v>2.7230289380406381E-2</v>
      </c>
      <c r="C89">
        <v>0.118706088992974</v>
      </c>
    </row>
    <row r="90" spans="1:3" x14ac:dyDescent="0.25">
      <c r="A90">
        <v>5.8857252054270899E-2</v>
      </c>
      <c r="B90">
        <v>6.0487111095147997E-2</v>
      </c>
      <c r="C90">
        <v>7.5059008654602605E-2</v>
      </c>
    </row>
    <row r="91" spans="1:3" x14ac:dyDescent="0.25">
      <c r="A91">
        <v>7.50866384289566E-3</v>
      </c>
      <c r="B91">
        <v>-3.1372756277869319E-4</v>
      </c>
      <c r="C91">
        <v>4.6607378129117201E-2</v>
      </c>
    </row>
    <row r="92" spans="1:3" x14ac:dyDescent="0.25">
      <c r="A92">
        <v>1.49734971543027E-2</v>
      </c>
      <c r="B92">
        <v>8.5252326031140628E-3</v>
      </c>
      <c r="C92">
        <v>4.9974061905585301E-2</v>
      </c>
    </row>
    <row r="93" spans="1:3" x14ac:dyDescent="0.25">
      <c r="A93">
        <v>3.02229603905581E-2</v>
      </c>
      <c r="B93">
        <v>2.6581817723445592E-2</v>
      </c>
      <c r="C93">
        <v>9.1543978859947195E-2</v>
      </c>
    </row>
    <row r="94" spans="1:3" x14ac:dyDescent="0.25">
      <c r="A94">
        <v>-2.4067979763249699E-2</v>
      </c>
      <c r="B94">
        <v>-3.7703001155909042E-2</v>
      </c>
      <c r="C94">
        <v>9.7576134244872395E-2</v>
      </c>
    </row>
    <row r="95" spans="1:3" x14ac:dyDescent="0.25">
      <c r="A95">
        <v>6.4717726119812802E-2</v>
      </c>
      <c r="B95">
        <v>6.7426381492440846E-2</v>
      </c>
      <c r="C95">
        <v>-7.2266000384393597E-2</v>
      </c>
    </row>
    <row r="96" spans="1:3" x14ac:dyDescent="0.25">
      <c r="A96">
        <v>-6.1935832025117703E-2</v>
      </c>
      <c r="B96">
        <v>-8.2541569379406793E-2</v>
      </c>
      <c r="C96">
        <v>-0.12876758204956501</v>
      </c>
    </row>
    <row r="97" spans="1:3" x14ac:dyDescent="0.25">
      <c r="A97">
        <v>6.0230937272443601E-2</v>
      </c>
      <c r="B97">
        <v>6.2113664350577025E-2</v>
      </c>
      <c r="C97">
        <v>0.19727345629510801</v>
      </c>
    </row>
    <row r="98" spans="1:3" x14ac:dyDescent="0.25">
      <c r="A98">
        <v>7.6544039419900303E-2</v>
      </c>
      <c r="B98">
        <v>8.1429683081118642E-2</v>
      </c>
      <c r="C98">
        <v>0.200481347773767</v>
      </c>
    </row>
    <row r="99" spans="1:3" x14ac:dyDescent="0.25">
      <c r="A99">
        <v>-9.6158712485449604E-2</v>
      </c>
      <c r="B99">
        <v>-0.12306419922684625</v>
      </c>
      <c r="C99">
        <v>-0.14804182899323401</v>
      </c>
    </row>
    <row r="100" spans="1:3" x14ac:dyDescent="0.25">
      <c r="A100">
        <v>-4.2475345884519303E-2</v>
      </c>
      <c r="B100">
        <v>-5.9498796067535581E-2</v>
      </c>
      <c r="C100">
        <v>-0.203104575163399</v>
      </c>
    </row>
    <row r="101" spans="1:3" x14ac:dyDescent="0.25">
      <c r="A101">
        <v>9.3996023856858804E-2</v>
      </c>
      <c r="B101">
        <v>0.10209422960466059</v>
      </c>
      <c r="C101">
        <v>-0.17442331040064701</v>
      </c>
    </row>
    <row r="102" spans="1:3" x14ac:dyDescent="0.25">
      <c r="A102">
        <v>-7.3778541615516793E-2</v>
      </c>
      <c r="B102">
        <v>-9.6564285488260293E-2</v>
      </c>
      <c r="C102">
        <v>-0.132373595505618</v>
      </c>
    </row>
    <row r="103" spans="1:3" x14ac:dyDescent="0.25">
      <c r="A103">
        <v>-1.5708071532141099E-2</v>
      </c>
      <c r="B103">
        <v>-2.7804200638505409E-2</v>
      </c>
      <c r="C103">
        <v>-0.15556434077881001</v>
      </c>
    </row>
    <row r="104" spans="1:3" x14ac:dyDescent="0.25">
      <c r="A104">
        <v>-8.3783544415906394E-2</v>
      </c>
      <c r="B104">
        <v>-0.10841100965786138</v>
      </c>
      <c r="C104">
        <v>-0.12715665976535501</v>
      </c>
    </row>
    <row r="105" spans="1:3" x14ac:dyDescent="0.25">
      <c r="A105">
        <v>3.4376932414172202E-2</v>
      </c>
      <c r="B105">
        <v>3.1500453105544599E-2</v>
      </c>
      <c r="C105">
        <v>-0.101952277657267</v>
      </c>
    </row>
    <row r="106" spans="1:3" x14ac:dyDescent="0.25">
      <c r="A106">
        <v>-2.9517014514013999E-2</v>
      </c>
      <c r="B106">
        <v>-4.415509447070172E-2</v>
      </c>
      <c r="C106">
        <v>-0.42196945949576797</v>
      </c>
    </row>
    <row r="107" spans="1:3" x14ac:dyDescent="0.25">
      <c r="A107">
        <v>-5.2741283476503198E-2</v>
      </c>
      <c r="B107">
        <v>-7.1654487917000756E-2</v>
      </c>
      <c r="C107">
        <v>-1.78802914487509E-3</v>
      </c>
    </row>
    <row r="108" spans="1:3" x14ac:dyDescent="0.25">
      <c r="A108">
        <v>4.2584950390727801E-2</v>
      </c>
      <c r="B108">
        <v>4.1219403403449068E-2</v>
      </c>
      <c r="C108">
        <v>-0.25459816073570601</v>
      </c>
    </row>
    <row r="109" spans="1:3" x14ac:dyDescent="0.25">
      <c r="A109">
        <v>-8.0348394120849098E-3</v>
      </c>
      <c r="B109">
        <v>-1.8718479601816711E-2</v>
      </c>
      <c r="C109">
        <v>-0.182212049374642</v>
      </c>
    </row>
    <row r="110" spans="1:3" x14ac:dyDescent="0.25">
      <c r="A110">
        <v>7.0163582979913305E-2</v>
      </c>
      <c r="B110">
        <v>7.3874711930312226E-2</v>
      </c>
      <c r="C110">
        <v>0.20060849936205699</v>
      </c>
    </row>
    <row r="111" spans="1:3" x14ac:dyDescent="0.25">
      <c r="A111">
        <v>-5.1750044193035201E-2</v>
      </c>
      <c r="B111">
        <v>-7.0480781261280365E-2</v>
      </c>
      <c r="C111">
        <v>4.3812320721213098E-2</v>
      </c>
    </row>
    <row r="112" spans="1:3" x14ac:dyDescent="0.25">
      <c r="A112">
        <v>3.20403183507788E-2</v>
      </c>
      <c r="B112">
        <v>2.8733715019398889E-2</v>
      </c>
      <c r="C112">
        <v>5.19056000574733E-2</v>
      </c>
    </row>
    <row r="113" spans="1:3" x14ac:dyDescent="0.25">
      <c r="A113">
        <v>1.8771925748669899E-2</v>
      </c>
      <c r="B113">
        <v>1.3022876105386896E-2</v>
      </c>
      <c r="C113">
        <v>0.102927776237075</v>
      </c>
    </row>
    <row r="114" spans="1:3" x14ac:dyDescent="0.25">
      <c r="A114">
        <v>2.5639192699025402E-2</v>
      </c>
      <c r="B114">
        <v>2.1154269867386777E-2</v>
      </c>
      <c r="C114">
        <v>0.10613962049169599</v>
      </c>
    </row>
    <row r="115" spans="1:3" x14ac:dyDescent="0.25">
      <c r="A115">
        <v>5.67936736161036E-3</v>
      </c>
      <c r="B115">
        <v>-2.4797610232955578E-3</v>
      </c>
      <c r="C115">
        <v>6.3674078217498695E-2</v>
      </c>
    </row>
    <row r="116" spans="1:3" x14ac:dyDescent="0.25">
      <c r="A116">
        <v>5.2910453410037098E-2</v>
      </c>
      <c r="B116">
        <v>5.3445625486802914E-2</v>
      </c>
      <c r="C116">
        <v>9.4205855350402906E-2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SPY</vt:lpstr>
      <vt:lpstr>Template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D</dc:creator>
  <cp:lastModifiedBy>Shawn D</cp:lastModifiedBy>
  <dcterms:created xsi:type="dcterms:W3CDTF">2026-03-22T13:44:07Z</dcterms:created>
  <dcterms:modified xsi:type="dcterms:W3CDTF">2026-03-25T23:18:42Z</dcterms:modified>
</cp:coreProperties>
</file>