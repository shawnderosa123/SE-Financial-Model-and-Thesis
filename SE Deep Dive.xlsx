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13_ncr:1_{CAFB65BC-F116-4549-A8C4-91088B6EFB08}" xr6:coauthVersionLast="47" xr6:coauthVersionMax="47" xr10:uidLastSave="{00000000-0000-0000-0000-000000000000}"/>
  <bookViews>
    <workbookView xWindow="28680" yWindow="-4440" windowWidth="38640" windowHeight="21120" activeTab="3" xr2:uid="{00000000-000D-0000-FFFF-FFFF00000000}"/>
  </bookViews>
  <sheets>
    <sheet name="DCF Model" sheetId="1" r:id="rId1"/>
    <sheet name="Stock Performance Band" sheetId="4" r:id="rId2"/>
    <sheet name="Forecast Moving Averages" sheetId="5" r:id="rId3"/>
    <sheet name="Monte Carlo Simulation" sheetId="6" r:id="rId4"/>
    <sheet name="Valuation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D4" i="6"/>
  <c r="E4" i="6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F4" i="6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G4" i="6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H4" i="6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J4" i="6"/>
  <c r="J5" i="6" s="1"/>
  <c r="J6" i="6" s="1"/>
  <c r="J7" i="6" s="1"/>
  <c r="J8" i="6" s="1"/>
  <c r="J9" i="6" s="1"/>
  <c r="J10" i="6" s="1"/>
  <c r="J11" i="6" s="1"/>
  <c r="K4" i="6"/>
  <c r="L4" i="6"/>
  <c r="M4" i="6"/>
  <c r="N4" i="6"/>
  <c r="O4" i="6"/>
  <c r="P4" i="6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Q4" i="6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18" i="6" s="1"/>
  <c r="Q119" i="6" s="1"/>
  <c r="Q120" i="6" s="1"/>
  <c r="Q121" i="6" s="1"/>
  <c r="Q122" i="6" s="1"/>
  <c r="Q123" i="6" s="1"/>
  <c r="Q124" i="6" s="1"/>
  <c r="Q125" i="6" s="1"/>
  <c r="Q126" i="6" s="1"/>
  <c r="Q127" i="6" s="1"/>
  <c r="Q128" i="6" s="1"/>
  <c r="Q129" i="6" s="1"/>
  <c r="Q130" i="6" s="1"/>
  <c r="Q131" i="6" s="1"/>
  <c r="Q132" i="6" s="1"/>
  <c r="Q133" i="6" s="1"/>
  <c r="Q134" i="6" s="1"/>
  <c r="Q135" i="6" s="1"/>
  <c r="Q136" i="6" s="1"/>
  <c r="Q137" i="6" s="1"/>
  <c r="Q138" i="6" s="1"/>
  <c r="Q139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1" i="6" s="1"/>
  <c r="Q152" i="6" s="1"/>
  <c r="Q153" i="6" s="1"/>
  <c r="Q154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3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8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04" i="6" s="1"/>
  <c r="Q205" i="6" s="1"/>
  <c r="Q206" i="6" s="1"/>
  <c r="Q207" i="6" s="1"/>
  <c r="Q208" i="6" s="1"/>
  <c r="Q209" i="6" s="1"/>
  <c r="Q210" i="6" s="1"/>
  <c r="Q211" i="6" s="1"/>
  <c r="Q212" i="6" s="1"/>
  <c r="Q213" i="6" s="1"/>
  <c r="Q214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44" i="6" s="1"/>
  <c r="Q245" i="6" s="1"/>
  <c r="Q246" i="6" s="1"/>
  <c r="Q247" i="6" s="1"/>
  <c r="Q248" i="6" s="1"/>
  <c r="Q249" i="6" s="1"/>
  <c r="Q250" i="6" s="1"/>
  <c r="Q251" i="6" s="1"/>
  <c r="Q252" i="6" s="1"/>
  <c r="Q253" i="6" s="1"/>
  <c r="Q254" i="6" s="1"/>
  <c r="Q255" i="6" s="1"/>
  <c r="R4" i="6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R94" i="6" s="1"/>
  <c r="R95" i="6" s="1"/>
  <c r="R96" i="6" s="1"/>
  <c r="R97" i="6" s="1"/>
  <c r="R98" i="6" s="1"/>
  <c r="R99" i="6" s="1"/>
  <c r="R100" i="6" s="1"/>
  <c r="R101" i="6" s="1"/>
  <c r="R102" i="6" s="1"/>
  <c r="R103" i="6" s="1"/>
  <c r="R104" i="6" s="1"/>
  <c r="R105" i="6" s="1"/>
  <c r="R106" i="6" s="1"/>
  <c r="R107" i="6" s="1"/>
  <c r="R108" i="6" s="1"/>
  <c r="R109" i="6" s="1"/>
  <c r="R110" i="6" s="1"/>
  <c r="R111" i="6" s="1"/>
  <c r="R112" i="6" s="1"/>
  <c r="R113" i="6" s="1"/>
  <c r="R114" i="6" s="1"/>
  <c r="R115" i="6" s="1"/>
  <c r="R116" i="6" s="1"/>
  <c r="R117" i="6" s="1"/>
  <c r="R118" i="6" s="1"/>
  <c r="R119" i="6" s="1"/>
  <c r="R120" i="6" s="1"/>
  <c r="R121" i="6" s="1"/>
  <c r="R122" i="6" s="1"/>
  <c r="R123" i="6" s="1"/>
  <c r="R124" i="6" s="1"/>
  <c r="R125" i="6" s="1"/>
  <c r="R126" i="6" s="1"/>
  <c r="R127" i="6" s="1"/>
  <c r="R128" i="6" s="1"/>
  <c r="R129" i="6" s="1"/>
  <c r="R130" i="6" s="1"/>
  <c r="R131" i="6" s="1"/>
  <c r="R132" i="6" s="1"/>
  <c r="R133" i="6" s="1"/>
  <c r="R134" i="6" s="1"/>
  <c r="R135" i="6" s="1"/>
  <c r="R136" i="6" s="1"/>
  <c r="R137" i="6" s="1"/>
  <c r="R138" i="6" s="1"/>
  <c r="R139" i="6" s="1"/>
  <c r="R140" i="6" s="1"/>
  <c r="R141" i="6" s="1"/>
  <c r="R142" i="6" s="1"/>
  <c r="R143" i="6" s="1"/>
  <c r="R144" i="6" s="1"/>
  <c r="R145" i="6" s="1"/>
  <c r="R146" i="6" s="1"/>
  <c r="R147" i="6" s="1"/>
  <c r="R148" i="6" s="1"/>
  <c r="R149" i="6" s="1"/>
  <c r="R150" i="6" s="1"/>
  <c r="R151" i="6" s="1"/>
  <c r="R152" i="6" s="1"/>
  <c r="R153" i="6" s="1"/>
  <c r="R154" i="6" s="1"/>
  <c r="R155" i="6" s="1"/>
  <c r="R156" i="6" s="1"/>
  <c r="R157" i="6" s="1"/>
  <c r="R158" i="6" s="1"/>
  <c r="R159" i="6" s="1"/>
  <c r="R160" i="6" s="1"/>
  <c r="R161" i="6" s="1"/>
  <c r="R162" i="6" s="1"/>
  <c r="R163" i="6" s="1"/>
  <c r="R164" i="6" s="1"/>
  <c r="R165" i="6" s="1"/>
  <c r="R166" i="6" s="1"/>
  <c r="R167" i="6" s="1"/>
  <c r="R168" i="6" s="1"/>
  <c r="R169" i="6" s="1"/>
  <c r="R170" i="6" s="1"/>
  <c r="R171" i="6" s="1"/>
  <c r="R172" i="6" s="1"/>
  <c r="R173" i="6" s="1"/>
  <c r="R174" i="6" s="1"/>
  <c r="R175" i="6" s="1"/>
  <c r="R176" i="6" s="1"/>
  <c r="R177" i="6" s="1"/>
  <c r="R178" i="6" s="1"/>
  <c r="R179" i="6" s="1"/>
  <c r="R180" i="6" s="1"/>
  <c r="R181" i="6" s="1"/>
  <c r="R182" i="6" s="1"/>
  <c r="R183" i="6" s="1"/>
  <c r="R184" i="6" s="1"/>
  <c r="R185" i="6" s="1"/>
  <c r="R186" i="6" s="1"/>
  <c r="R187" i="6" s="1"/>
  <c r="R188" i="6" s="1"/>
  <c r="R189" i="6" s="1"/>
  <c r="R190" i="6" s="1"/>
  <c r="R191" i="6" s="1"/>
  <c r="R192" i="6" s="1"/>
  <c r="R193" i="6" s="1"/>
  <c r="R194" i="6" s="1"/>
  <c r="R195" i="6" s="1"/>
  <c r="R196" i="6" s="1"/>
  <c r="R197" i="6" s="1"/>
  <c r="R198" i="6" s="1"/>
  <c r="R199" i="6" s="1"/>
  <c r="R200" i="6" s="1"/>
  <c r="R201" i="6" s="1"/>
  <c r="R202" i="6" s="1"/>
  <c r="R203" i="6" s="1"/>
  <c r="R204" i="6" s="1"/>
  <c r="R205" i="6" s="1"/>
  <c r="R206" i="6" s="1"/>
  <c r="R207" i="6" s="1"/>
  <c r="R208" i="6" s="1"/>
  <c r="R209" i="6" s="1"/>
  <c r="R210" i="6" s="1"/>
  <c r="R211" i="6" s="1"/>
  <c r="R212" i="6" s="1"/>
  <c r="R213" i="6" s="1"/>
  <c r="R214" i="6" s="1"/>
  <c r="R215" i="6" s="1"/>
  <c r="R216" i="6" s="1"/>
  <c r="R217" i="6" s="1"/>
  <c r="R218" i="6" s="1"/>
  <c r="R219" i="6" s="1"/>
  <c r="R220" i="6" s="1"/>
  <c r="R221" i="6" s="1"/>
  <c r="R222" i="6" s="1"/>
  <c r="R223" i="6" s="1"/>
  <c r="R224" i="6" s="1"/>
  <c r="R225" i="6" s="1"/>
  <c r="R226" i="6" s="1"/>
  <c r="R227" i="6" s="1"/>
  <c r="R228" i="6" s="1"/>
  <c r="R229" i="6" s="1"/>
  <c r="R230" i="6" s="1"/>
  <c r="R231" i="6" s="1"/>
  <c r="R232" i="6" s="1"/>
  <c r="R233" i="6" s="1"/>
  <c r="R234" i="6" s="1"/>
  <c r="R235" i="6" s="1"/>
  <c r="R236" i="6" s="1"/>
  <c r="R237" i="6" s="1"/>
  <c r="R238" i="6" s="1"/>
  <c r="R239" i="6" s="1"/>
  <c r="R240" i="6" s="1"/>
  <c r="R241" i="6" s="1"/>
  <c r="R242" i="6" s="1"/>
  <c r="R243" i="6" s="1"/>
  <c r="R244" i="6" s="1"/>
  <c r="R245" i="6" s="1"/>
  <c r="R246" i="6" s="1"/>
  <c r="R247" i="6" s="1"/>
  <c r="R248" i="6" s="1"/>
  <c r="R249" i="6" s="1"/>
  <c r="R250" i="6" s="1"/>
  <c r="R251" i="6" s="1"/>
  <c r="R252" i="6" s="1"/>
  <c r="R253" i="6" s="1"/>
  <c r="R254" i="6" s="1"/>
  <c r="R255" i="6" s="1"/>
  <c r="S4" i="6"/>
  <c r="T4" i="6"/>
  <c r="U4" i="6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U93" i="6" s="1"/>
  <c r="U94" i="6" s="1"/>
  <c r="U95" i="6" s="1"/>
  <c r="U96" i="6" s="1"/>
  <c r="U97" i="6" s="1"/>
  <c r="U98" i="6" s="1"/>
  <c r="U99" i="6" s="1"/>
  <c r="U100" i="6" s="1"/>
  <c r="U101" i="6" s="1"/>
  <c r="U102" i="6" s="1"/>
  <c r="U103" i="6" s="1"/>
  <c r="U104" i="6" s="1"/>
  <c r="U105" i="6" s="1"/>
  <c r="U106" i="6" s="1"/>
  <c r="U107" i="6" s="1"/>
  <c r="U108" i="6" s="1"/>
  <c r="U109" i="6" s="1"/>
  <c r="U110" i="6" s="1"/>
  <c r="U111" i="6" s="1"/>
  <c r="U112" i="6" s="1"/>
  <c r="U113" i="6" s="1"/>
  <c r="U114" i="6" s="1"/>
  <c r="U115" i="6" s="1"/>
  <c r="U116" i="6" s="1"/>
  <c r="U117" i="6" s="1"/>
  <c r="U118" i="6" s="1"/>
  <c r="U119" i="6" s="1"/>
  <c r="U120" i="6" s="1"/>
  <c r="U121" i="6" s="1"/>
  <c r="U122" i="6" s="1"/>
  <c r="U123" i="6" s="1"/>
  <c r="U124" i="6" s="1"/>
  <c r="U125" i="6" s="1"/>
  <c r="U126" i="6" s="1"/>
  <c r="U127" i="6" s="1"/>
  <c r="U128" i="6" s="1"/>
  <c r="U129" i="6" s="1"/>
  <c r="U130" i="6" s="1"/>
  <c r="U131" i="6" s="1"/>
  <c r="U132" i="6" s="1"/>
  <c r="U133" i="6" s="1"/>
  <c r="U134" i="6" s="1"/>
  <c r="U135" i="6" s="1"/>
  <c r="U136" i="6" s="1"/>
  <c r="U137" i="6" s="1"/>
  <c r="U138" i="6" s="1"/>
  <c r="U139" i="6" s="1"/>
  <c r="U140" i="6" s="1"/>
  <c r="U141" i="6" s="1"/>
  <c r="U142" i="6" s="1"/>
  <c r="U143" i="6" s="1"/>
  <c r="U144" i="6" s="1"/>
  <c r="U145" i="6" s="1"/>
  <c r="U146" i="6" s="1"/>
  <c r="U147" i="6" s="1"/>
  <c r="U148" i="6" s="1"/>
  <c r="U149" i="6" s="1"/>
  <c r="U150" i="6" s="1"/>
  <c r="U151" i="6" s="1"/>
  <c r="U152" i="6" s="1"/>
  <c r="U153" i="6" s="1"/>
  <c r="U154" i="6" s="1"/>
  <c r="U155" i="6" s="1"/>
  <c r="U156" i="6" s="1"/>
  <c r="U157" i="6" s="1"/>
  <c r="U158" i="6" s="1"/>
  <c r="U159" i="6" s="1"/>
  <c r="U160" i="6" s="1"/>
  <c r="U161" i="6" s="1"/>
  <c r="U162" i="6" s="1"/>
  <c r="U163" i="6" s="1"/>
  <c r="U164" i="6" s="1"/>
  <c r="U165" i="6" s="1"/>
  <c r="U166" i="6" s="1"/>
  <c r="U167" i="6" s="1"/>
  <c r="U168" i="6" s="1"/>
  <c r="U169" i="6" s="1"/>
  <c r="U170" i="6" s="1"/>
  <c r="U171" i="6" s="1"/>
  <c r="U172" i="6" s="1"/>
  <c r="U173" i="6" s="1"/>
  <c r="U174" i="6" s="1"/>
  <c r="U175" i="6" s="1"/>
  <c r="U176" i="6" s="1"/>
  <c r="U177" i="6" s="1"/>
  <c r="U178" i="6" s="1"/>
  <c r="U179" i="6" s="1"/>
  <c r="U180" i="6" s="1"/>
  <c r="U181" i="6" s="1"/>
  <c r="U182" i="6" s="1"/>
  <c r="U183" i="6" s="1"/>
  <c r="U184" i="6" s="1"/>
  <c r="U185" i="6" s="1"/>
  <c r="U186" i="6" s="1"/>
  <c r="U187" i="6" s="1"/>
  <c r="U188" i="6" s="1"/>
  <c r="U189" i="6" s="1"/>
  <c r="U190" i="6" s="1"/>
  <c r="U191" i="6" s="1"/>
  <c r="U192" i="6" s="1"/>
  <c r="U193" i="6" s="1"/>
  <c r="U194" i="6" s="1"/>
  <c r="U195" i="6" s="1"/>
  <c r="U196" i="6" s="1"/>
  <c r="U197" i="6" s="1"/>
  <c r="U198" i="6" s="1"/>
  <c r="U199" i="6" s="1"/>
  <c r="U200" i="6" s="1"/>
  <c r="U201" i="6" s="1"/>
  <c r="U202" i="6" s="1"/>
  <c r="U203" i="6" s="1"/>
  <c r="U204" i="6" s="1"/>
  <c r="U205" i="6" s="1"/>
  <c r="U206" i="6" s="1"/>
  <c r="U207" i="6" s="1"/>
  <c r="U208" i="6" s="1"/>
  <c r="U209" i="6" s="1"/>
  <c r="U210" i="6" s="1"/>
  <c r="U211" i="6" s="1"/>
  <c r="U212" i="6" s="1"/>
  <c r="U213" i="6" s="1"/>
  <c r="U214" i="6" s="1"/>
  <c r="U215" i="6" s="1"/>
  <c r="U216" i="6" s="1"/>
  <c r="U217" i="6" s="1"/>
  <c r="U218" i="6" s="1"/>
  <c r="U219" i="6" s="1"/>
  <c r="U220" i="6" s="1"/>
  <c r="U221" i="6" s="1"/>
  <c r="U222" i="6" s="1"/>
  <c r="U223" i="6" s="1"/>
  <c r="U224" i="6" s="1"/>
  <c r="U225" i="6" s="1"/>
  <c r="U226" i="6" s="1"/>
  <c r="U227" i="6" s="1"/>
  <c r="U228" i="6" s="1"/>
  <c r="U229" i="6" s="1"/>
  <c r="U230" i="6" s="1"/>
  <c r="U231" i="6" s="1"/>
  <c r="U232" i="6" s="1"/>
  <c r="U233" i="6" s="1"/>
  <c r="U234" i="6" s="1"/>
  <c r="U235" i="6" s="1"/>
  <c r="U236" i="6" s="1"/>
  <c r="U237" i="6" s="1"/>
  <c r="U238" i="6" s="1"/>
  <c r="U239" i="6" s="1"/>
  <c r="U240" i="6" s="1"/>
  <c r="U241" i="6" s="1"/>
  <c r="U242" i="6" s="1"/>
  <c r="U243" i="6" s="1"/>
  <c r="U244" i="6" s="1"/>
  <c r="U245" i="6" s="1"/>
  <c r="U246" i="6" s="1"/>
  <c r="U247" i="6" s="1"/>
  <c r="U248" i="6" s="1"/>
  <c r="U249" i="6" s="1"/>
  <c r="U250" i="6" s="1"/>
  <c r="U251" i="6" s="1"/>
  <c r="U252" i="6" s="1"/>
  <c r="U253" i="6" s="1"/>
  <c r="U254" i="6" s="1"/>
  <c r="U255" i="6" s="1"/>
  <c r="V4" i="6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V86" i="6" s="1"/>
  <c r="V87" i="6" s="1"/>
  <c r="V88" i="6" s="1"/>
  <c r="V89" i="6" s="1"/>
  <c r="V90" i="6" s="1"/>
  <c r="V91" i="6" s="1"/>
  <c r="V92" i="6" s="1"/>
  <c r="V93" i="6" s="1"/>
  <c r="V94" i="6" s="1"/>
  <c r="V95" i="6" s="1"/>
  <c r="V96" i="6" s="1"/>
  <c r="V97" i="6" s="1"/>
  <c r="V98" i="6" s="1"/>
  <c r="V99" i="6" s="1"/>
  <c r="V100" i="6" s="1"/>
  <c r="V101" i="6" s="1"/>
  <c r="V102" i="6" s="1"/>
  <c r="V103" i="6" s="1"/>
  <c r="V104" i="6" s="1"/>
  <c r="V105" i="6" s="1"/>
  <c r="V106" i="6" s="1"/>
  <c r="V107" i="6" s="1"/>
  <c r="V108" i="6" s="1"/>
  <c r="V109" i="6" s="1"/>
  <c r="V110" i="6" s="1"/>
  <c r="V111" i="6" s="1"/>
  <c r="V112" i="6" s="1"/>
  <c r="V113" i="6" s="1"/>
  <c r="V114" i="6" s="1"/>
  <c r="V115" i="6" s="1"/>
  <c r="V116" i="6" s="1"/>
  <c r="V117" i="6" s="1"/>
  <c r="V118" i="6" s="1"/>
  <c r="V119" i="6" s="1"/>
  <c r="V120" i="6" s="1"/>
  <c r="V121" i="6" s="1"/>
  <c r="V122" i="6" s="1"/>
  <c r="V123" i="6" s="1"/>
  <c r="V124" i="6" s="1"/>
  <c r="V125" i="6" s="1"/>
  <c r="V126" i="6" s="1"/>
  <c r="V127" i="6" s="1"/>
  <c r="V128" i="6" s="1"/>
  <c r="V129" i="6" s="1"/>
  <c r="V130" i="6" s="1"/>
  <c r="V131" i="6" s="1"/>
  <c r="V132" i="6" s="1"/>
  <c r="V133" i="6" s="1"/>
  <c r="V134" i="6" s="1"/>
  <c r="V135" i="6" s="1"/>
  <c r="V136" i="6" s="1"/>
  <c r="V137" i="6" s="1"/>
  <c r="V138" i="6" s="1"/>
  <c r="V139" i="6" s="1"/>
  <c r="V140" i="6" s="1"/>
  <c r="V141" i="6" s="1"/>
  <c r="V142" i="6" s="1"/>
  <c r="V143" i="6" s="1"/>
  <c r="V144" i="6" s="1"/>
  <c r="V145" i="6" s="1"/>
  <c r="V146" i="6" s="1"/>
  <c r="V147" i="6" s="1"/>
  <c r="V148" i="6" s="1"/>
  <c r="V149" i="6" s="1"/>
  <c r="V150" i="6" s="1"/>
  <c r="V151" i="6" s="1"/>
  <c r="V152" i="6" s="1"/>
  <c r="V153" i="6" s="1"/>
  <c r="V154" i="6" s="1"/>
  <c r="V155" i="6" s="1"/>
  <c r="V156" i="6" s="1"/>
  <c r="V157" i="6" s="1"/>
  <c r="V158" i="6" s="1"/>
  <c r="V159" i="6" s="1"/>
  <c r="V160" i="6" s="1"/>
  <c r="V161" i="6" s="1"/>
  <c r="V162" i="6" s="1"/>
  <c r="V163" i="6" s="1"/>
  <c r="V164" i="6" s="1"/>
  <c r="V165" i="6" s="1"/>
  <c r="V166" i="6" s="1"/>
  <c r="V167" i="6" s="1"/>
  <c r="V168" i="6" s="1"/>
  <c r="V169" i="6" s="1"/>
  <c r="V170" i="6" s="1"/>
  <c r="V171" i="6" s="1"/>
  <c r="V172" i="6" s="1"/>
  <c r="V173" i="6" s="1"/>
  <c r="V174" i="6" s="1"/>
  <c r="V175" i="6" s="1"/>
  <c r="V176" i="6" s="1"/>
  <c r="V177" i="6" s="1"/>
  <c r="V178" i="6" s="1"/>
  <c r="V179" i="6" s="1"/>
  <c r="V180" i="6" s="1"/>
  <c r="V181" i="6" s="1"/>
  <c r="V182" i="6" s="1"/>
  <c r="V183" i="6" s="1"/>
  <c r="V184" i="6" s="1"/>
  <c r="V185" i="6" s="1"/>
  <c r="V186" i="6" s="1"/>
  <c r="V187" i="6" s="1"/>
  <c r="V188" i="6" s="1"/>
  <c r="V189" i="6" s="1"/>
  <c r="V190" i="6" s="1"/>
  <c r="V191" i="6" s="1"/>
  <c r="V192" i="6" s="1"/>
  <c r="V193" i="6" s="1"/>
  <c r="V194" i="6" s="1"/>
  <c r="V195" i="6" s="1"/>
  <c r="V196" i="6" s="1"/>
  <c r="V197" i="6" s="1"/>
  <c r="V198" i="6" s="1"/>
  <c r="V199" i="6" s="1"/>
  <c r="V200" i="6" s="1"/>
  <c r="V201" i="6" s="1"/>
  <c r="V202" i="6" s="1"/>
  <c r="V203" i="6" s="1"/>
  <c r="V204" i="6" s="1"/>
  <c r="V205" i="6" s="1"/>
  <c r="V206" i="6" s="1"/>
  <c r="V207" i="6" s="1"/>
  <c r="V208" i="6" s="1"/>
  <c r="V209" i="6" s="1"/>
  <c r="V210" i="6" s="1"/>
  <c r="V211" i="6" s="1"/>
  <c r="V212" i="6" s="1"/>
  <c r="V213" i="6" s="1"/>
  <c r="V214" i="6" s="1"/>
  <c r="V215" i="6" s="1"/>
  <c r="V216" i="6" s="1"/>
  <c r="V217" i="6" s="1"/>
  <c r="V218" i="6" s="1"/>
  <c r="V219" i="6" s="1"/>
  <c r="V220" i="6" s="1"/>
  <c r="V221" i="6" s="1"/>
  <c r="V222" i="6" s="1"/>
  <c r="V223" i="6" s="1"/>
  <c r="V224" i="6" s="1"/>
  <c r="V225" i="6" s="1"/>
  <c r="V226" i="6" s="1"/>
  <c r="V227" i="6" s="1"/>
  <c r="V228" i="6" s="1"/>
  <c r="V229" i="6" s="1"/>
  <c r="V230" i="6" s="1"/>
  <c r="V231" i="6" s="1"/>
  <c r="V232" i="6" s="1"/>
  <c r="V233" i="6" s="1"/>
  <c r="V234" i="6" s="1"/>
  <c r="V235" i="6" s="1"/>
  <c r="V236" i="6" s="1"/>
  <c r="V237" i="6" s="1"/>
  <c r="V238" i="6" s="1"/>
  <c r="V239" i="6" s="1"/>
  <c r="V240" i="6" s="1"/>
  <c r="V241" i="6" s="1"/>
  <c r="V242" i="6" s="1"/>
  <c r="V243" i="6" s="1"/>
  <c r="V244" i="6" s="1"/>
  <c r="V245" i="6" s="1"/>
  <c r="V246" i="6" s="1"/>
  <c r="V247" i="6" s="1"/>
  <c r="V248" i="6" s="1"/>
  <c r="V249" i="6" s="1"/>
  <c r="V250" i="6" s="1"/>
  <c r="V251" i="6" s="1"/>
  <c r="V252" i="6" s="1"/>
  <c r="V253" i="6" s="1"/>
  <c r="V254" i="6" s="1"/>
  <c r="V255" i="6" s="1"/>
  <c r="W4" i="6"/>
  <c r="X4" i="6"/>
  <c r="Y4" i="6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Z4" i="6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AA4" i="6"/>
  <c r="AB4" i="6"/>
  <c r="AB5" i="6" s="1"/>
  <c r="AB6" i="6" s="1"/>
  <c r="AB7" i="6" s="1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C4" i="6"/>
  <c r="AC5" i="6" s="1"/>
  <c r="AC6" i="6" s="1"/>
  <c r="AC7" i="6" s="1"/>
  <c r="AC8" i="6" s="1"/>
  <c r="AC9" i="6" s="1"/>
  <c r="AC10" i="6" s="1"/>
  <c r="AC11" i="6" s="1"/>
  <c r="AC12" i="6" s="1"/>
  <c r="AC13" i="6" s="1"/>
  <c r="AC14" i="6" s="1"/>
  <c r="AC15" i="6" s="1"/>
  <c r="AC16" i="6" s="1"/>
  <c r="AC17" i="6" s="1"/>
  <c r="AC18" i="6" s="1"/>
  <c r="AC19" i="6" s="1"/>
  <c r="AC20" i="6" s="1"/>
  <c r="AC21" i="6" s="1"/>
  <c r="AC22" i="6" s="1"/>
  <c r="AC23" i="6" s="1"/>
  <c r="AC24" i="6" s="1"/>
  <c r="AC25" i="6" s="1"/>
  <c r="AC26" i="6" s="1"/>
  <c r="AC27" i="6" s="1"/>
  <c r="AC28" i="6" s="1"/>
  <c r="AC29" i="6" s="1"/>
  <c r="AC30" i="6" s="1"/>
  <c r="AC31" i="6" s="1"/>
  <c r="AC32" i="6" s="1"/>
  <c r="AC33" i="6" s="1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AC71" i="6" s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D4" i="6"/>
  <c r="AD5" i="6" s="1"/>
  <c r="AD6" i="6" s="1"/>
  <c r="AD7" i="6" s="1"/>
  <c r="AE4" i="6"/>
  <c r="AE5" i="6" s="1"/>
  <c r="AE6" i="6" s="1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AE37" i="6" s="1"/>
  <c r="AE38" i="6" s="1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E53" i="6" s="1"/>
  <c r="AE54" i="6" s="1"/>
  <c r="AE55" i="6" s="1"/>
  <c r="AE56" i="6" s="1"/>
  <c r="AE57" i="6" s="1"/>
  <c r="AE58" i="6" s="1"/>
  <c r="AE59" i="6" s="1"/>
  <c r="AE60" i="6" s="1"/>
  <c r="AE61" i="6" s="1"/>
  <c r="AE62" i="6" s="1"/>
  <c r="AE63" i="6" s="1"/>
  <c r="AE64" i="6" s="1"/>
  <c r="AE65" i="6" s="1"/>
  <c r="AE66" i="6" s="1"/>
  <c r="AE67" i="6" s="1"/>
  <c r="AE68" i="6" s="1"/>
  <c r="AE69" i="6" s="1"/>
  <c r="AE70" i="6" s="1"/>
  <c r="AE71" i="6" s="1"/>
  <c r="AE72" i="6" s="1"/>
  <c r="AE73" i="6" s="1"/>
  <c r="AE74" i="6" s="1"/>
  <c r="AE75" i="6" s="1"/>
  <c r="AE76" i="6" s="1"/>
  <c r="AE77" i="6" s="1"/>
  <c r="AE78" i="6" s="1"/>
  <c r="AE79" i="6" s="1"/>
  <c r="AE80" i="6" s="1"/>
  <c r="AE81" i="6" s="1"/>
  <c r="AE82" i="6" s="1"/>
  <c r="AE83" i="6" s="1"/>
  <c r="AE84" i="6" s="1"/>
  <c r="AE85" i="6" s="1"/>
  <c r="AE86" i="6" s="1"/>
  <c r="AE87" i="6" s="1"/>
  <c r="AE88" i="6" s="1"/>
  <c r="AE89" i="6" s="1"/>
  <c r="AE90" i="6" s="1"/>
  <c r="AE91" i="6" s="1"/>
  <c r="AE92" i="6" s="1"/>
  <c r="AE93" i="6" s="1"/>
  <c r="AE94" i="6" s="1"/>
  <c r="AE95" i="6" s="1"/>
  <c r="AE96" i="6" s="1"/>
  <c r="AE97" i="6" s="1"/>
  <c r="AE98" i="6" s="1"/>
  <c r="AE99" i="6" s="1"/>
  <c r="AE100" i="6" s="1"/>
  <c r="AE101" i="6" s="1"/>
  <c r="AE102" i="6" s="1"/>
  <c r="AE103" i="6" s="1"/>
  <c r="AE104" i="6" s="1"/>
  <c r="AE105" i="6" s="1"/>
  <c r="AE106" i="6" s="1"/>
  <c r="AE107" i="6" s="1"/>
  <c r="AE108" i="6" s="1"/>
  <c r="AE109" i="6" s="1"/>
  <c r="AE110" i="6" s="1"/>
  <c r="AE111" i="6" s="1"/>
  <c r="AE112" i="6" s="1"/>
  <c r="AE113" i="6" s="1"/>
  <c r="AE114" i="6" s="1"/>
  <c r="AE115" i="6" s="1"/>
  <c r="AE116" i="6" s="1"/>
  <c r="AE117" i="6" s="1"/>
  <c r="AE118" i="6" s="1"/>
  <c r="AE119" i="6" s="1"/>
  <c r="AE120" i="6" s="1"/>
  <c r="AE121" i="6" s="1"/>
  <c r="AE122" i="6" s="1"/>
  <c r="AE123" i="6" s="1"/>
  <c r="AE124" i="6" s="1"/>
  <c r="AE125" i="6" s="1"/>
  <c r="AE126" i="6" s="1"/>
  <c r="AE127" i="6" s="1"/>
  <c r="AE128" i="6" s="1"/>
  <c r="AE129" i="6" s="1"/>
  <c r="AE130" i="6" s="1"/>
  <c r="AE131" i="6" s="1"/>
  <c r="AE132" i="6" s="1"/>
  <c r="AE133" i="6" s="1"/>
  <c r="AE134" i="6" s="1"/>
  <c r="AE135" i="6" s="1"/>
  <c r="AE136" i="6" s="1"/>
  <c r="AE137" i="6" s="1"/>
  <c r="AE138" i="6" s="1"/>
  <c r="AE139" i="6" s="1"/>
  <c r="AE140" i="6" s="1"/>
  <c r="AE141" i="6" s="1"/>
  <c r="AE142" i="6" s="1"/>
  <c r="AE143" i="6" s="1"/>
  <c r="AE144" i="6" s="1"/>
  <c r="AE145" i="6" s="1"/>
  <c r="AE146" i="6" s="1"/>
  <c r="AE147" i="6" s="1"/>
  <c r="AE148" i="6" s="1"/>
  <c r="AE149" i="6" s="1"/>
  <c r="AE150" i="6" s="1"/>
  <c r="AE151" i="6" s="1"/>
  <c r="AE152" i="6" s="1"/>
  <c r="AE153" i="6" s="1"/>
  <c r="AE154" i="6" s="1"/>
  <c r="AE155" i="6" s="1"/>
  <c r="AE156" i="6" s="1"/>
  <c r="AE157" i="6" s="1"/>
  <c r="AE158" i="6" s="1"/>
  <c r="AE159" i="6" s="1"/>
  <c r="AE160" i="6" s="1"/>
  <c r="AE161" i="6" s="1"/>
  <c r="AE162" i="6" s="1"/>
  <c r="AE163" i="6" s="1"/>
  <c r="AE164" i="6" s="1"/>
  <c r="AE165" i="6" s="1"/>
  <c r="AE166" i="6" s="1"/>
  <c r="AE167" i="6" s="1"/>
  <c r="AE168" i="6" s="1"/>
  <c r="AE169" i="6" s="1"/>
  <c r="AE170" i="6" s="1"/>
  <c r="AE171" i="6" s="1"/>
  <c r="AE172" i="6" s="1"/>
  <c r="AE173" i="6" s="1"/>
  <c r="AE174" i="6" s="1"/>
  <c r="AE175" i="6" s="1"/>
  <c r="AE176" i="6" s="1"/>
  <c r="AE177" i="6" s="1"/>
  <c r="AE178" i="6" s="1"/>
  <c r="AE179" i="6" s="1"/>
  <c r="AE180" i="6" s="1"/>
  <c r="AE181" i="6" s="1"/>
  <c r="AE182" i="6" s="1"/>
  <c r="AE183" i="6" s="1"/>
  <c r="AE184" i="6" s="1"/>
  <c r="AE185" i="6" s="1"/>
  <c r="AE186" i="6" s="1"/>
  <c r="AE187" i="6" s="1"/>
  <c r="AE188" i="6" s="1"/>
  <c r="AE189" i="6" s="1"/>
  <c r="AE190" i="6" s="1"/>
  <c r="AE191" i="6" s="1"/>
  <c r="AE192" i="6" s="1"/>
  <c r="AE193" i="6" s="1"/>
  <c r="AE194" i="6" s="1"/>
  <c r="AE195" i="6" s="1"/>
  <c r="AE196" i="6" s="1"/>
  <c r="AE197" i="6" s="1"/>
  <c r="AE198" i="6" s="1"/>
  <c r="AE199" i="6" s="1"/>
  <c r="AE200" i="6" s="1"/>
  <c r="AE201" i="6" s="1"/>
  <c r="AE202" i="6" s="1"/>
  <c r="AE203" i="6" s="1"/>
  <c r="AE204" i="6" s="1"/>
  <c r="AE205" i="6" s="1"/>
  <c r="AE206" i="6" s="1"/>
  <c r="AE207" i="6" s="1"/>
  <c r="AE208" i="6" s="1"/>
  <c r="AE209" i="6" s="1"/>
  <c r="AE210" i="6" s="1"/>
  <c r="AE211" i="6" s="1"/>
  <c r="AE212" i="6" s="1"/>
  <c r="AE213" i="6" s="1"/>
  <c r="AE214" i="6" s="1"/>
  <c r="AE215" i="6" s="1"/>
  <c r="AE216" i="6" s="1"/>
  <c r="AE217" i="6" s="1"/>
  <c r="AE218" i="6" s="1"/>
  <c r="AE219" i="6" s="1"/>
  <c r="AE220" i="6" s="1"/>
  <c r="AE221" i="6" s="1"/>
  <c r="AE222" i="6" s="1"/>
  <c r="AE223" i="6" s="1"/>
  <c r="AE224" i="6" s="1"/>
  <c r="AE225" i="6" s="1"/>
  <c r="AE226" i="6" s="1"/>
  <c r="AE227" i="6" s="1"/>
  <c r="AE228" i="6" s="1"/>
  <c r="AE229" i="6" s="1"/>
  <c r="AE230" i="6" s="1"/>
  <c r="AE231" i="6" s="1"/>
  <c r="AE232" i="6" s="1"/>
  <c r="AE233" i="6" s="1"/>
  <c r="AE234" i="6" s="1"/>
  <c r="AE235" i="6" s="1"/>
  <c r="AE236" i="6" s="1"/>
  <c r="AE237" i="6" s="1"/>
  <c r="AE238" i="6" s="1"/>
  <c r="AE239" i="6" s="1"/>
  <c r="AE240" i="6" s="1"/>
  <c r="AE241" i="6" s="1"/>
  <c r="AE242" i="6" s="1"/>
  <c r="AE243" i="6" s="1"/>
  <c r="AE244" i="6" s="1"/>
  <c r="AE245" i="6" s="1"/>
  <c r="AE246" i="6" s="1"/>
  <c r="AE247" i="6" s="1"/>
  <c r="AE248" i="6" s="1"/>
  <c r="AE249" i="6" s="1"/>
  <c r="AE250" i="6" s="1"/>
  <c r="AE251" i="6" s="1"/>
  <c r="AE252" i="6" s="1"/>
  <c r="AE253" i="6" s="1"/>
  <c r="AE254" i="6" s="1"/>
  <c r="AE255" i="6" s="1"/>
  <c r="AF4" i="6"/>
  <c r="AF5" i="6" s="1"/>
  <c r="AF6" i="6" s="1"/>
  <c r="AF7" i="6" s="1"/>
  <c r="AF8" i="6" s="1"/>
  <c r="AF9" i="6" s="1"/>
  <c r="AF10" i="6" s="1"/>
  <c r="AF11" i="6" s="1"/>
  <c r="AF12" i="6" s="1"/>
  <c r="AF13" i="6" s="1"/>
  <c r="AF14" i="6" s="1"/>
  <c r="AF15" i="6" s="1"/>
  <c r="AF16" i="6" s="1"/>
  <c r="AF17" i="6" s="1"/>
  <c r="AF18" i="6" s="1"/>
  <c r="AF19" i="6" s="1"/>
  <c r="AF20" i="6" s="1"/>
  <c r="AF21" i="6" s="1"/>
  <c r="AF22" i="6" s="1"/>
  <c r="AF23" i="6" s="1"/>
  <c r="AF24" i="6" s="1"/>
  <c r="AF25" i="6" s="1"/>
  <c r="AF26" i="6" s="1"/>
  <c r="AF27" i="6" s="1"/>
  <c r="AF28" i="6" s="1"/>
  <c r="AF29" i="6" s="1"/>
  <c r="AF30" i="6" s="1"/>
  <c r="AF31" i="6" s="1"/>
  <c r="AF32" i="6" s="1"/>
  <c r="AF33" i="6" s="1"/>
  <c r="AF34" i="6" s="1"/>
  <c r="AF35" i="6" s="1"/>
  <c r="AF36" i="6" s="1"/>
  <c r="AF37" i="6" s="1"/>
  <c r="AF38" i="6" s="1"/>
  <c r="AF39" i="6" s="1"/>
  <c r="AF40" i="6" s="1"/>
  <c r="AF41" i="6" s="1"/>
  <c r="AF42" i="6" s="1"/>
  <c r="AF43" i="6" s="1"/>
  <c r="AF44" i="6" s="1"/>
  <c r="AF45" i="6" s="1"/>
  <c r="AF46" i="6" s="1"/>
  <c r="AF47" i="6" s="1"/>
  <c r="AF48" i="6" s="1"/>
  <c r="AF49" i="6" s="1"/>
  <c r="AF50" i="6" s="1"/>
  <c r="AF51" i="6" s="1"/>
  <c r="AF52" i="6" s="1"/>
  <c r="AF53" i="6" s="1"/>
  <c r="AF54" i="6" s="1"/>
  <c r="AF55" i="6" s="1"/>
  <c r="AF56" i="6" s="1"/>
  <c r="AF57" i="6" s="1"/>
  <c r="AF58" i="6" s="1"/>
  <c r="AF59" i="6" s="1"/>
  <c r="AF60" i="6" s="1"/>
  <c r="AF61" i="6" s="1"/>
  <c r="AF62" i="6" s="1"/>
  <c r="AF63" i="6" s="1"/>
  <c r="AF64" i="6" s="1"/>
  <c r="AF65" i="6" s="1"/>
  <c r="AF66" i="6" s="1"/>
  <c r="AF67" i="6" s="1"/>
  <c r="AF68" i="6" s="1"/>
  <c r="AF69" i="6" s="1"/>
  <c r="AF70" i="6" s="1"/>
  <c r="AF71" i="6" s="1"/>
  <c r="AF72" i="6" s="1"/>
  <c r="AF73" i="6" s="1"/>
  <c r="AF74" i="6" s="1"/>
  <c r="AF75" i="6" s="1"/>
  <c r="AF76" i="6" s="1"/>
  <c r="AF77" i="6" s="1"/>
  <c r="AF78" i="6" s="1"/>
  <c r="AF79" i="6" s="1"/>
  <c r="AF80" i="6" s="1"/>
  <c r="AF81" i="6" s="1"/>
  <c r="AF82" i="6" s="1"/>
  <c r="AF83" i="6" s="1"/>
  <c r="AF84" i="6" s="1"/>
  <c r="AF85" i="6" s="1"/>
  <c r="AF86" i="6" s="1"/>
  <c r="AF87" i="6" s="1"/>
  <c r="AF88" i="6" s="1"/>
  <c r="AF89" i="6" s="1"/>
  <c r="AF90" i="6" s="1"/>
  <c r="AF91" i="6" s="1"/>
  <c r="AF92" i="6" s="1"/>
  <c r="AF93" i="6" s="1"/>
  <c r="AF94" i="6" s="1"/>
  <c r="AF95" i="6" s="1"/>
  <c r="AF96" i="6" s="1"/>
  <c r="AF97" i="6" s="1"/>
  <c r="AF98" i="6" s="1"/>
  <c r="AF99" i="6" s="1"/>
  <c r="AF100" i="6" s="1"/>
  <c r="AF101" i="6" s="1"/>
  <c r="AF102" i="6" s="1"/>
  <c r="AF103" i="6" s="1"/>
  <c r="AF104" i="6" s="1"/>
  <c r="AF105" i="6" s="1"/>
  <c r="AF106" i="6" s="1"/>
  <c r="AF107" i="6" s="1"/>
  <c r="AF108" i="6" s="1"/>
  <c r="AF109" i="6" s="1"/>
  <c r="AF110" i="6" s="1"/>
  <c r="AF111" i="6" s="1"/>
  <c r="AF112" i="6" s="1"/>
  <c r="AF113" i="6" s="1"/>
  <c r="AF114" i="6" s="1"/>
  <c r="AF115" i="6" s="1"/>
  <c r="AF116" i="6" s="1"/>
  <c r="AF117" i="6" s="1"/>
  <c r="AF118" i="6" s="1"/>
  <c r="AF119" i="6" s="1"/>
  <c r="AF120" i="6" s="1"/>
  <c r="AF121" i="6" s="1"/>
  <c r="AF122" i="6" s="1"/>
  <c r="AF123" i="6" s="1"/>
  <c r="AF124" i="6" s="1"/>
  <c r="AF125" i="6" s="1"/>
  <c r="AF126" i="6" s="1"/>
  <c r="AF127" i="6" s="1"/>
  <c r="AF128" i="6" s="1"/>
  <c r="AF129" i="6" s="1"/>
  <c r="AF130" i="6" s="1"/>
  <c r="AF131" i="6" s="1"/>
  <c r="AF132" i="6" s="1"/>
  <c r="AF133" i="6" s="1"/>
  <c r="AF134" i="6" s="1"/>
  <c r="AF135" i="6" s="1"/>
  <c r="AF136" i="6" s="1"/>
  <c r="AF137" i="6" s="1"/>
  <c r="AF138" i="6" s="1"/>
  <c r="AF139" i="6" s="1"/>
  <c r="AF140" i="6" s="1"/>
  <c r="AF141" i="6" s="1"/>
  <c r="AF142" i="6" s="1"/>
  <c r="AF143" i="6" s="1"/>
  <c r="AF144" i="6" s="1"/>
  <c r="AF145" i="6" s="1"/>
  <c r="AF146" i="6" s="1"/>
  <c r="AF147" i="6" s="1"/>
  <c r="AF148" i="6" s="1"/>
  <c r="AF149" i="6" s="1"/>
  <c r="AF150" i="6" s="1"/>
  <c r="AF151" i="6" s="1"/>
  <c r="AF152" i="6" s="1"/>
  <c r="AF153" i="6" s="1"/>
  <c r="AF154" i="6" s="1"/>
  <c r="AF155" i="6" s="1"/>
  <c r="AF156" i="6" s="1"/>
  <c r="AF157" i="6" s="1"/>
  <c r="AF158" i="6" s="1"/>
  <c r="AF159" i="6" s="1"/>
  <c r="AF160" i="6" s="1"/>
  <c r="AF161" i="6" s="1"/>
  <c r="AF162" i="6" s="1"/>
  <c r="AF163" i="6" s="1"/>
  <c r="AF164" i="6" s="1"/>
  <c r="AF165" i="6" s="1"/>
  <c r="AF166" i="6" s="1"/>
  <c r="AF167" i="6" s="1"/>
  <c r="AF168" i="6" s="1"/>
  <c r="AF169" i="6" s="1"/>
  <c r="AF170" i="6" s="1"/>
  <c r="AF171" i="6" s="1"/>
  <c r="AF172" i="6" s="1"/>
  <c r="AF173" i="6" s="1"/>
  <c r="AF174" i="6" s="1"/>
  <c r="AF175" i="6" s="1"/>
  <c r="AF176" i="6" s="1"/>
  <c r="AF177" i="6" s="1"/>
  <c r="AF178" i="6" s="1"/>
  <c r="AF179" i="6" s="1"/>
  <c r="AF180" i="6" s="1"/>
  <c r="AF181" i="6" s="1"/>
  <c r="AF182" i="6" s="1"/>
  <c r="AF183" i="6" s="1"/>
  <c r="AF184" i="6" s="1"/>
  <c r="AF185" i="6" s="1"/>
  <c r="AF186" i="6" s="1"/>
  <c r="AF187" i="6" s="1"/>
  <c r="AF188" i="6" s="1"/>
  <c r="AF189" i="6" s="1"/>
  <c r="AF190" i="6" s="1"/>
  <c r="AF191" i="6" s="1"/>
  <c r="AF192" i="6" s="1"/>
  <c r="AF193" i="6" s="1"/>
  <c r="AF194" i="6" s="1"/>
  <c r="AF195" i="6" s="1"/>
  <c r="AF196" i="6" s="1"/>
  <c r="AF197" i="6" s="1"/>
  <c r="AF198" i="6" s="1"/>
  <c r="AF199" i="6" s="1"/>
  <c r="AF200" i="6" s="1"/>
  <c r="AF201" i="6" s="1"/>
  <c r="AF202" i="6" s="1"/>
  <c r="AF203" i="6" s="1"/>
  <c r="AF204" i="6" s="1"/>
  <c r="AF205" i="6" s="1"/>
  <c r="AF206" i="6" s="1"/>
  <c r="AF207" i="6" s="1"/>
  <c r="AF208" i="6" s="1"/>
  <c r="AF209" i="6" s="1"/>
  <c r="AF210" i="6" s="1"/>
  <c r="AF211" i="6" s="1"/>
  <c r="AF212" i="6" s="1"/>
  <c r="AF213" i="6" s="1"/>
  <c r="AF214" i="6" s="1"/>
  <c r="AF215" i="6" s="1"/>
  <c r="AF216" i="6" s="1"/>
  <c r="AF217" i="6" s="1"/>
  <c r="AF218" i="6" s="1"/>
  <c r="AF219" i="6" s="1"/>
  <c r="AF220" i="6" s="1"/>
  <c r="AF221" i="6" s="1"/>
  <c r="AF222" i="6" s="1"/>
  <c r="AF223" i="6" s="1"/>
  <c r="AF224" i="6" s="1"/>
  <c r="AF225" i="6" s="1"/>
  <c r="AF226" i="6" s="1"/>
  <c r="AF227" i="6" s="1"/>
  <c r="AF228" i="6" s="1"/>
  <c r="AF229" i="6" s="1"/>
  <c r="AF230" i="6" s="1"/>
  <c r="AF231" i="6" s="1"/>
  <c r="AF232" i="6" s="1"/>
  <c r="AF233" i="6" s="1"/>
  <c r="AF234" i="6" s="1"/>
  <c r="AF235" i="6" s="1"/>
  <c r="AF236" i="6" s="1"/>
  <c r="AF237" i="6" s="1"/>
  <c r="AF238" i="6" s="1"/>
  <c r="AF239" i="6" s="1"/>
  <c r="AF240" i="6" s="1"/>
  <c r="AF241" i="6" s="1"/>
  <c r="AF242" i="6" s="1"/>
  <c r="AF243" i="6" s="1"/>
  <c r="AF244" i="6" s="1"/>
  <c r="AF245" i="6" s="1"/>
  <c r="AF246" i="6" s="1"/>
  <c r="AF247" i="6" s="1"/>
  <c r="AF248" i="6" s="1"/>
  <c r="AF249" i="6" s="1"/>
  <c r="AF250" i="6" s="1"/>
  <c r="AF251" i="6" s="1"/>
  <c r="AF252" i="6" s="1"/>
  <c r="AF253" i="6" s="1"/>
  <c r="AF254" i="6" s="1"/>
  <c r="AF255" i="6" s="1"/>
  <c r="AG4" i="6"/>
  <c r="AG5" i="6" s="1"/>
  <c r="AG6" i="6" s="1"/>
  <c r="AG7" i="6" s="1"/>
  <c r="AG8" i="6" s="1"/>
  <c r="AG9" i="6" s="1"/>
  <c r="AG10" i="6" s="1"/>
  <c r="AG11" i="6" s="1"/>
  <c r="AG12" i="6" s="1"/>
  <c r="AG13" i="6" s="1"/>
  <c r="AG14" i="6" s="1"/>
  <c r="AG15" i="6" s="1"/>
  <c r="AG16" i="6" s="1"/>
  <c r="AG17" i="6" s="1"/>
  <c r="AG18" i="6" s="1"/>
  <c r="AG19" i="6" s="1"/>
  <c r="AG20" i="6" s="1"/>
  <c r="AG21" i="6" s="1"/>
  <c r="AG22" i="6" s="1"/>
  <c r="AG23" i="6" s="1"/>
  <c r="AG24" i="6" s="1"/>
  <c r="AG25" i="6" s="1"/>
  <c r="AG26" i="6" s="1"/>
  <c r="AG27" i="6" s="1"/>
  <c r="AG28" i="6" s="1"/>
  <c r="AG29" i="6" s="1"/>
  <c r="AG30" i="6" s="1"/>
  <c r="AG31" i="6" s="1"/>
  <c r="AG32" i="6" s="1"/>
  <c r="AG33" i="6" s="1"/>
  <c r="AG34" i="6" s="1"/>
  <c r="AG35" i="6" s="1"/>
  <c r="AG36" i="6" s="1"/>
  <c r="AG37" i="6" s="1"/>
  <c r="AG38" i="6" s="1"/>
  <c r="AG39" i="6" s="1"/>
  <c r="AG40" i="6" s="1"/>
  <c r="AG41" i="6" s="1"/>
  <c r="AG42" i="6" s="1"/>
  <c r="AG43" i="6" s="1"/>
  <c r="AG44" i="6" s="1"/>
  <c r="AG45" i="6" s="1"/>
  <c r="AG46" i="6" s="1"/>
  <c r="AG47" i="6" s="1"/>
  <c r="AG48" i="6" s="1"/>
  <c r="AG49" i="6" s="1"/>
  <c r="AG50" i="6" s="1"/>
  <c r="AG51" i="6" s="1"/>
  <c r="AG52" i="6" s="1"/>
  <c r="AG53" i="6" s="1"/>
  <c r="AG54" i="6" s="1"/>
  <c r="AG55" i="6" s="1"/>
  <c r="AG56" i="6" s="1"/>
  <c r="AG57" i="6" s="1"/>
  <c r="AG58" i="6" s="1"/>
  <c r="AG59" i="6" s="1"/>
  <c r="AG60" i="6" s="1"/>
  <c r="AG61" i="6" s="1"/>
  <c r="AG62" i="6" s="1"/>
  <c r="AG63" i="6" s="1"/>
  <c r="AG64" i="6" s="1"/>
  <c r="AG65" i="6" s="1"/>
  <c r="AG66" i="6" s="1"/>
  <c r="AG67" i="6" s="1"/>
  <c r="AG68" i="6" s="1"/>
  <c r="AG69" i="6" s="1"/>
  <c r="AG70" i="6" s="1"/>
  <c r="AG71" i="6" s="1"/>
  <c r="AG72" i="6" s="1"/>
  <c r="AG73" i="6" s="1"/>
  <c r="AG74" i="6" s="1"/>
  <c r="AG75" i="6" s="1"/>
  <c r="AG76" i="6" s="1"/>
  <c r="AG77" i="6" s="1"/>
  <c r="AG78" i="6" s="1"/>
  <c r="AG79" i="6" s="1"/>
  <c r="AG80" i="6" s="1"/>
  <c r="AG81" i="6" s="1"/>
  <c r="AG82" i="6" s="1"/>
  <c r="AG83" i="6" s="1"/>
  <c r="AG84" i="6" s="1"/>
  <c r="AG85" i="6" s="1"/>
  <c r="AG86" i="6" s="1"/>
  <c r="AG87" i="6" s="1"/>
  <c r="AG88" i="6" s="1"/>
  <c r="AG89" i="6" s="1"/>
  <c r="AG90" i="6" s="1"/>
  <c r="AG91" i="6" s="1"/>
  <c r="AG92" i="6" s="1"/>
  <c r="AG93" i="6" s="1"/>
  <c r="AG94" i="6" s="1"/>
  <c r="AG95" i="6" s="1"/>
  <c r="AG96" i="6" s="1"/>
  <c r="AG97" i="6" s="1"/>
  <c r="AG98" i="6" s="1"/>
  <c r="AG99" i="6" s="1"/>
  <c r="AG100" i="6" s="1"/>
  <c r="AG101" i="6" s="1"/>
  <c r="AG102" i="6" s="1"/>
  <c r="AG103" i="6" s="1"/>
  <c r="AG104" i="6" s="1"/>
  <c r="AG105" i="6" s="1"/>
  <c r="AG106" i="6" s="1"/>
  <c r="AG107" i="6" s="1"/>
  <c r="AG108" i="6" s="1"/>
  <c r="AG109" i="6" s="1"/>
  <c r="AG110" i="6" s="1"/>
  <c r="AG111" i="6" s="1"/>
  <c r="AG112" i="6" s="1"/>
  <c r="AG113" i="6" s="1"/>
  <c r="AG114" i="6" s="1"/>
  <c r="AG115" i="6" s="1"/>
  <c r="AG116" i="6" s="1"/>
  <c r="AG117" i="6" s="1"/>
  <c r="AG118" i="6" s="1"/>
  <c r="AG119" i="6" s="1"/>
  <c r="AG120" i="6" s="1"/>
  <c r="AG121" i="6" s="1"/>
  <c r="AG122" i="6" s="1"/>
  <c r="AG123" i="6" s="1"/>
  <c r="AG124" i="6" s="1"/>
  <c r="AG125" i="6" s="1"/>
  <c r="AG126" i="6" s="1"/>
  <c r="AG127" i="6" s="1"/>
  <c r="AG128" i="6" s="1"/>
  <c r="AG129" i="6" s="1"/>
  <c r="AG130" i="6" s="1"/>
  <c r="AG131" i="6" s="1"/>
  <c r="AG132" i="6" s="1"/>
  <c r="AG133" i="6" s="1"/>
  <c r="AG134" i="6" s="1"/>
  <c r="AG135" i="6" s="1"/>
  <c r="AG136" i="6" s="1"/>
  <c r="AG137" i="6" s="1"/>
  <c r="AG138" i="6" s="1"/>
  <c r="AG139" i="6" s="1"/>
  <c r="AG140" i="6" s="1"/>
  <c r="AG141" i="6" s="1"/>
  <c r="AG142" i="6" s="1"/>
  <c r="AG143" i="6" s="1"/>
  <c r="AG144" i="6" s="1"/>
  <c r="AG145" i="6" s="1"/>
  <c r="AG146" i="6" s="1"/>
  <c r="AG147" i="6" s="1"/>
  <c r="AG148" i="6" s="1"/>
  <c r="AG149" i="6" s="1"/>
  <c r="AG150" i="6" s="1"/>
  <c r="AG151" i="6" s="1"/>
  <c r="AG152" i="6" s="1"/>
  <c r="AG153" i="6" s="1"/>
  <c r="AG154" i="6" s="1"/>
  <c r="AG155" i="6" s="1"/>
  <c r="AG156" i="6" s="1"/>
  <c r="AG157" i="6" s="1"/>
  <c r="AG158" i="6" s="1"/>
  <c r="AG159" i="6" s="1"/>
  <c r="AG160" i="6" s="1"/>
  <c r="AG161" i="6" s="1"/>
  <c r="AG162" i="6" s="1"/>
  <c r="AG163" i="6" s="1"/>
  <c r="AG164" i="6" s="1"/>
  <c r="AG165" i="6" s="1"/>
  <c r="AG166" i="6" s="1"/>
  <c r="AG167" i="6" s="1"/>
  <c r="AG168" i="6" s="1"/>
  <c r="AG169" i="6" s="1"/>
  <c r="AG170" i="6" s="1"/>
  <c r="AG171" i="6" s="1"/>
  <c r="AG172" i="6" s="1"/>
  <c r="AG173" i="6" s="1"/>
  <c r="AG174" i="6" s="1"/>
  <c r="AG175" i="6" s="1"/>
  <c r="AG176" i="6" s="1"/>
  <c r="AG177" i="6" s="1"/>
  <c r="AG178" i="6" s="1"/>
  <c r="AG179" i="6" s="1"/>
  <c r="AG180" i="6" s="1"/>
  <c r="AG181" i="6" s="1"/>
  <c r="AG182" i="6" s="1"/>
  <c r="AG183" i="6" s="1"/>
  <c r="AG184" i="6" s="1"/>
  <c r="AG185" i="6" s="1"/>
  <c r="AG186" i="6" s="1"/>
  <c r="AG187" i="6" s="1"/>
  <c r="AG188" i="6" s="1"/>
  <c r="AG189" i="6" s="1"/>
  <c r="AG190" i="6" s="1"/>
  <c r="AG191" i="6" s="1"/>
  <c r="AG192" i="6" s="1"/>
  <c r="AG193" i="6" s="1"/>
  <c r="AG194" i="6" s="1"/>
  <c r="AG195" i="6" s="1"/>
  <c r="AG196" i="6" s="1"/>
  <c r="AG197" i="6" s="1"/>
  <c r="AG198" i="6" s="1"/>
  <c r="AG199" i="6" s="1"/>
  <c r="AG200" i="6" s="1"/>
  <c r="AG201" i="6" s="1"/>
  <c r="AG202" i="6" s="1"/>
  <c r="AG203" i="6" s="1"/>
  <c r="AG204" i="6" s="1"/>
  <c r="AG205" i="6" s="1"/>
  <c r="AG206" i="6" s="1"/>
  <c r="AG207" i="6" s="1"/>
  <c r="AG208" i="6" s="1"/>
  <c r="AG209" i="6" s="1"/>
  <c r="AG210" i="6" s="1"/>
  <c r="AG211" i="6" s="1"/>
  <c r="AG212" i="6" s="1"/>
  <c r="AG213" i="6" s="1"/>
  <c r="AG214" i="6" s="1"/>
  <c r="AG215" i="6" s="1"/>
  <c r="AG216" i="6" s="1"/>
  <c r="AG217" i="6" s="1"/>
  <c r="AG218" i="6" s="1"/>
  <c r="AG219" i="6" s="1"/>
  <c r="AG220" i="6" s="1"/>
  <c r="AG221" i="6" s="1"/>
  <c r="AG222" i="6" s="1"/>
  <c r="AG223" i="6" s="1"/>
  <c r="AG224" i="6" s="1"/>
  <c r="AG225" i="6" s="1"/>
  <c r="AG226" i="6" s="1"/>
  <c r="AG227" i="6" s="1"/>
  <c r="AG228" i="6" s="1"/>
  <c r="AG229" i="6" s="1"/>
  <c r="AG230" i="6" s="1"/>
  <c r="AG231" i="6" s="1"/>
  <c r="AG232" i="6" s="1"/>
  <c r="AG233" i="6" s="1"/>
  <c r="AG234" i="6" s="1"/>
  <c r="AG235" i="6" s="1"/>
  <c r="AG236" i="6" s="1"/>
  <c r="AG237" i="6" s="1"/>
  <c r="AG238" i="6" s="1"/>
  <c r="AG239" i="6" s="1"/>
  <c r="AG240" i="6" s="1"/>
  <c r="AG241" i="6" s="1"/>
  <c r="AG242" i="6" s="1"/>
  <c r="AG243" i="6" s="1"/>
  <c r="AG244" i="6" s="1"/>
  <c r="AG245" i="6" s="1"/>
  <c r="AG246" i="6" s="1"/>
  <c r="AG247" i="6" s="1"/>
  <c r="AG248" i="6" s="1"/>
  <c r="AG249" i="6" s="1"/>
  <c r="AG250" i="6" s="1"/>
  <c r="AG251" i="6" s="1"/>
  <c r="AG252" i="6" s="1"/>
  <c r="AG253" i="6" s="1"/>
  <c r="AG254" i="6" s="1"/>
  <c r="AG255" i="6" s="1"/>
  <c r="AH4" i="6"/>
  <c r="AH5" i="6" s="1"/>
  <c r="AH6" i="6" s="1"/>
  <c r="AH7" i="6" s="1"/>
  <c r="AH8" i="6" s="1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H19" i="6" s="1"/>
  <c r="AH20" i="6" s="1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AH32" i="6" s="1"/>
  <c r="AH33" i="6" s="1"/>
  <c r="AH34" i="6" s="1"/>
  <c r="AH35" i="6" s="1"/>
  <c r="AH36" i="6" s="1"/>
  <c r="AH37" i="6" s="1"/>
  <c r="AH38" i="6" s="1"/>
  <c r="AH39" i="6" s="1"/>
  <c r="AH40" i="6" s="1"/>
  <c r="AH41" i="6" s="1"/>
  <c r="AH42" i="6" s="1"/>
  <c r="AH43" i="6" s="1"/>
  <c r="AH44" i="6" s="1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AH173" i="6" s="1"/>
  <c r="AH174" i="6" s="1"/>
  <c r="AH175" i="6" s="1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I4" i="6"/>
  <c r="AJ4" i="6"/>
  <c r="AK4" i="6"/>
  <c r="AK5" i="6" s="1"/>
  <c r="AK6" i="6" s="1"/>
  <c r="AK7" i="6" s="1"/>
  <c r="AK8" i="6" s="1"/>
  <c r="AK9" i="6" s="1"/>
  <c r="AK10" i="6" s="1"/>
  <c r="AK11" i="6" s="1"/>
  <c r="AK12" i="6" s="1"/>
  <c r="AK13" i="6" s="1"/>
  <c r="AK14" i="6" s="1"/>
  <c r="AK15" i="6" s="1"/>
  <c r="AK16" i="6" s="1"/>
  <c r="AK17" i="6" s="1"/>
  <c r="AK18" i="6" s="1"/>
  <c r="AK19" i="6" s="1"/>
  <c r="AK20" i="6" s="1"/>
  <c r="AK21" i="6" s="1"/>
  <c r="AK22" i="6" s="1"/>
  <c r="AK23" i="6" s="1"/>
  <c r="AK24" i="6" s="1"/>
  <c r="AK25" i="6" s="1"/>
  <c r="AK26" i="6" s="1"/>
  <c r="AK27" i="6" s="1"/>
  <c r="AK28" i="6" s="1"/>
  <c r="AK29" i="6" s="1"/>
  <c r="AK30" i="6" s="1"/>
  <c r="AK31" i="6" s="1"/>
  <c r="AK32" i="6" s="1"/>
  <c r="AK33" i="6" s="1"/>
  <c r="AK34" i="6" s="1"/>
  <c r="AK35" i="6" s="1"/>
  <c r="AK36" i="6" s="1"/>
  <c r="AK37" i="6" s="1"/>
  <c r="AK38" i="6" s="1"/>
  <c r="AK39" i="6" s="1"/>
  <c r="AK40" i="6" s="1"/>
  <c r="AK41" i="6" s="1"/>
  <c r="AK42" i="6" s="1"/>
  <c r="AK43" i="6" s="1"/>
  <c r="AK44" i="6" s="1"/>
  <c r="AK45" i="6" s="1"/>
  <c r="AK46" i="6" s="1"/>
  <c r="AK47" i="6" s="1"/>
  <c r="AK48" i="6" s="1"/>
  <c r="AK49" i="6" s="1"/>
  <c r="AK50" i="6" s="1"/>
  <c r="AK51" i="6" s="1"/>
  <c r="AK52" i="6" s="1"/>
  <c r="AK53" i="6" s="1"/>
  <c r="AK54" i="6" s="1"/>
  <c r="AK55" i="6" s="1"/>
  <c r="AK56" i="6" s="1"/>
  <c r="AK57" i="6" s="1"/>
  <c r="AK58" i="6" s="1"/>
  <c r="AK59" i="6" s="1"/>
  <c r="AK60" i="6" s="1"/>
  <c r="AK61" i="6" s="1"/>
  <c r="AK62" i="6" s="1"/>
  <c r="AK63" i="6" s="1"/>
  <c r="AK64" i="6" s="1"/>
  <c r="AK65" i="6" s="1"/>
  <c r="AK66" i="6" s="1"/>
  <c r="AK67" i="6" s="1"/>
  <c r="AK68" i="6" s="1"/>
  <c r="AK69" i="6" s="1"/>
  <c r="AK70" i="6" s="1"/>
  <c r="AK71" i="6" s="1"/>
  <c r="AK72" i="6" s="1"/>
  <c r="AK73" i="6" s="1"/>
  <c r="AK74" i="6" s="1"/>
  <c r="AK75" i="6" s="1"/>
  <c r="AK76" i="6" s="1"/>
  <c r="AK77" i="6" s="1"/>
  <c r="AK78" i="6" s="1"/>
  <c r="AK79" i="6" s="1"/>
  <c r="AK80" i="6" s="1"/>
  <c r="AK81" i="6" s="1"/>
  <c r="AK82" i="6" s="1"/>
  <c r="AK83" i="6" s="1"/>
  <c r="AK84" i="6" s="1"/>
  <c r="AK85" i="6" s="1"/>
  <c r="AK86" i="6" s="1"/>
  <c r="AK87" i="6" s="1"/>
  <c r="AK88" i="6" s="1"/>
  <c r="AK89" i="6" s="1"/>
  <c r="AK90" i="6" s="1"/>
  <c r="AK91" i="6" s="1"/>
  <c r="AK92" i="6" s="1"/>
  <c r="AK93" i="6" s="1"/>
  <c r="AK94" i="6" s="1"/>
  <c r="AK95" i="6" s="1"/>
  <c r="AK96" i="6" s="1"/>
  <c r="AK97" i="6" s="1"/>
  <c r="AK98" i="6" s="1"/>
  <c r="AK99" i="6" s="1"/>
  <c r="AK100" i="6" s="1"/>
  <c r="AK101" i="6" s="1"/>
  <c r="AK102" i="6" s="1"/>
  <c r="AK103" i="6" s="1"/>
  <c r="AK104" i="6" s="1"/>
  <c r="AK105" i="6" s="1"/>
  <c r="AK106" i="6" s="1"/>
  <c r="AK107" i="6" s="1"/>
  <c r="AK108" i="6" s="1"/>
  <c r="AK109" i="6" s="1"/>
  <c r="AK110" i="6" s="1"/>
  <c r="AK111" i="6" s="1"/>
  <c r="AK112" i="6" s="1"/>
  <c r="AK113" i="6" s="1"/>
  <c r="AK114" i="6" s="1"/>
  <c r="AK115" i="6" s="1"/>
  <c r="AK116" i="6" s="1"/>
  <c r="AK117" i="6" s="1"/>
  <c r="AK118" i="6" s="1"/>
  <c r="AK119" i="6" s="1"/>
  <c r="AK120" i="6" s="1"/>
  <c r="AK121" i="6" s="1"/>
  <c r="AK122" i="6" s="1"/>
  <c r="AK123" i="6" s="1"/>
  <c r="AK124" i="6" s="1"/>
  <c r="AK125" i="6" s="1"/>
  <c r="AK126" i="6" s="1"/>
  <c r="AK127" i="6" s="1"/>
  <c r="AK128" i="6" s="1"/>
  <c r="AK129" i="6" s="1"/>
  <c r="AK130" i="6" s="1"/>
  <c r="AK131" i="6" s="1"/>
  <c r="AK132" i="6" s="1"/>
  <c r="AK133" i="6" s="1"/>
  <c r="AK134" i="6" s="1"/>
  <c r="AK135" i="6" s="1"/>
  <c r="AK136" i="6" s="1"/>
  <c r="AK137" i="6" s="1"/>
  <c r="AK138" i="6" s="1"/>
  <c r="AK139" i="6" s="1"/>
  <c r="AK140" i="6" s="1"/>
  <c r="AK141" i="6" s="1"/>
  <c r="AK142" i="6" s="1"/>
  <c r="AK143" i="6" s="1"/>
  <c r="AK144" i="6" s="1"/>
  <c r="AK145" i="6" s="1"/>
  <c r="AK146" i="6" s="1"/>
  <c r="AK147" i="6" s="1"/>
  <c r="AK148" i="6" s="1"/>
  <c r="AK149" i="6" s="1"/>
  <c r="AK150" i="6" s="1"/>
  <c r="AK151" i="6" s="1"/>
  <c r="AK152" i="6" s="1"/>
  <c r="AK153" i="6" s="1"/>
  <c r="AK154" i="6" s="1"/>
  <c r="AK155" i="6" s="1"/>
  <c r="AK156" i="6" s="1"/>
  <c r="AK157" i="6" s="1"/>
  <c r="AK158" i="6" s="1"/>
  <c r="AK159" i="6" s="1"/>
  <c r="AK160" i="6" s="1"/>
  <c r="AK161" i="6" s="1"/>
  <c r="AK162" i="6" s="1"/>
  <c r="AK163" i="6" s="1"/>
  <c r="AK164" i="6" s="1"/>
  <c r="AK165" i="6" s="1"/>
  <c r="AK166" i="6" s="1"/>
  <c r="AK167" i="6" s="1"/>
  <c r="AK168" i="6" s="1"/>
  <c r="AK169" i="6" s="1"/>
  <c r="AK170" i="6" s="1"/>
  <c r="AK171" i="6" s="1"/>
  <c r="AK172" i="6" s="1"/>
  <c r="AK173" i="6" s="1"/>
  <c r="AK174" i="6" s="1"/>
  <c r="AK175" i="6" s="1"/>
  <c r="AK176" i="6" s="1"/>
  <c r="AK177" i="6" s="1"/>
  <c r="AK178" i="6" s="1"/>
  <c r="AK179" i="6" s="1"/>
  <c r="AK180" i="6" s="1"/>
  <c r="AK181" i="6" s="1"/>
  <c r="AK182" i="6" s="1"/>
  <c r="AK183" i="6" s="1"/>
  <c r="AK184" i="6" s="1"/>
  <c r="AK185" i="6" s="1"/>
  <c r="AK186" i="6" s="1"/>
  <c r="AK187" i="6" s="1"/>
  <c r="AK188" i="6" s="1"/>
  <c r="AK189" i="6" s="1"/>
  <c r="AK190" i="6" s="1"/>
  <c r="AK191" i="6" s="1"/>
  <c r="AK192" i="6" s="1"/>
  <c r="AK193" i="6" s="1"/>
  <c r="AK194" i="6" s="1"/>
  <c r="AK195" i="6" s="1"/>
  <c r="AK196" i="6" s="1"/>
  <c r="AK197" i="6" s="1"/>
  <c r="AK198" i="6" s="1"/>
  <c r="AK199" i="6" s="1"/>
  <c r="AK200" i="6" s="1"/>
  <c r="AK201" i="6" s="1"/>
  <c r="AK202" i="6" s="1"/>
  <c r="AK203" i="6" s="1"/>
  <c r="AK204" i="6" s="1"/>
  <c r="AK205" i="6" s="1"/>
  <c r="AK206" i="6" s="1"/>
  <c r="AK207" i="6" s="1"/>
  <c r="AK208" i="6" s="1"/>
  <c r="AK209" i="6" s="1"/>
  <c r="AK210" i="6" s="1"/>
  <c r="AK211" i="6" s="1"/>
  <c r="AK212" i="6" s="1"/>
  <c r="AK213" i="6" s="1"/>
  <c r="AK214" i="6" s="1"/>
  <c r="AK215" i="6" s="1"/>
  <c r="AK216" i="6" s="1"/>
  <c r="AK217" i="6" s="1"/>
  <c r="AK218" i="6" s="1"/>
  <c r="AK219" i="6" s="1"/>
  <c r="AK220" i="6" s="1"/>
  <c r="AK221" i="6" s="1"/>
  <c r="AK222" i="6" s="1"/>
  <c r="AK223" i="6" s="1"/>
  <c r="AK224" i="6" s="1"/>
  <c r="AK225" i="6" s="1"/>
  <c r="AK226" i="6" s="1"/>
  <c r="AK227" i="6" s="1"/>
  <c r="AK228" i="6" s="1"/>
  <c r="AK229" i="6" s="1"/>
  <c r="AK230" i="6" s="1"/>
  <c r="AK231" i="6" s="1"/>
  <c r="AK232" i="6" s="1"/>
  <c r="AK233" i="6" s="1"/>
  <c r="AK234" i="6" s="1"/>
  <c r="AK235" i="6" s="1"/>
  <c r="AK236" i="6" s="1"/>
  <c r="AK237" i="6" s="1"/>
  <c r="AK238" i="6" s="1"/>
  <c r="AK239" i="6" s="1"/>
  <c r="AK240" i="6" s="1"/>
  <c r="AK241" i="6" s="1"/>
  <c r="AK242" i="6" s="1"/>
  <c r="AK243" i="6" s="1"/>
  <c r="AK244" i="6" s="1"/>
  <c r="AK245" i="6" s="1"/>
  <c r="AK246" i="6" s="1"/>
  <c r="AK247" i="6" s="1"/>
  <c r="AK248" i="6" s="1"/>
  <c r="AK249" i="6" s="1"/>
  <c r="AK250" i="6" s="1"/>
  <c r="AK251" i="6" s="1"/>
  <c r="AK252" i="6" s="1"/>
  <c r="AK253" i="6" s="1"/>
  <c r="AK254" i="6" s="1"/>
  <c r="AK255" i="6" s="1"/>
  <c r="AL4" i="6"/>
  <c r="AL5" i="6" s="1"/>
  <c r="AL6" i="6" s="1"/>
  <c r="AL7" i="6" s="1"/>
  <c r="AL8" i="6" s="1"/>
  <c r="AL9" i="6" s="1"/>
  <c r="AL10" i="6" s="1"/>
  <c r="AL11" i="6" s="1"/>
  <c r="AL12" i="6" s="1"/>
  <c r="AL13" i="6" s="1"/>
  <c r="AL14" i="6" s="1"/>
  <c r="AL15" i="6" s="1"/>
  <c r="AL16" i="6" s="1"/>
  <c r="AL17" i="6" s="1"/>
  <c r="AL18" i="6" s="1"/>
  <c r="AL19" i="6" s="1"/>
  <c r="AL20" i="6" s="1"/>
  <c r="AL21" i="6" s="1"/>
  <c r="AL22" i="6" s="1"/>
  <c r="AL23" i="6" s="1"/>
  <c r="AL24" i="6" s="1"/>
  <c r="AL25" i="6" s="1"/>
  <c r="AL26" i="6" s="1"/>
  <c r="AL27" i="6" s="1"/>
  <c r="AL28" i="6" s="1"/>
  <c r="AL29" i="6" s="1"/>
  <c r="AL30" i="6" s="1"/>
  <c r="AL31" i="6" s="1"/>
  <c r="AL32" i="6" s="1"/>
  <c r="AL33" i="6" s="1"/>
  <c r="AL34" i="6" s="1"/>
  <c r="AL35" i="6" s="1"/>
  <c r="AL36" i="6" s="1"/>
  <c r="AL37" i="6" s="1"/>
  <c r="AL38" i="6" s="1"/>
  <c r="AL39" i="6" s="1"/>
  <c r="AL40" i="6" s="1"/>
  <c r="AL41" i="6" s="1"/>
  <c r="AL42" i="6" s="1"/>
  <c r="AL43" i="6" s="1"/>
  <c r="AL44" i="6" s="1"/>
  <c r="AL45" i="6" s="1"/>
  <c r="AL46" i="6" s="1"/>
  <c r="AL47" i="6" s="1"/>
  <c r="AL48" i="6" s="1"/>
  <c r="AL49" i="6" s="1"/>
  <c r="AL50" i="6" s="1"/>
  <c r="AL51" i="6" s="1"/>
  <c r="AL52" i="6" s="1"/>
  <c r="AL53" i="6" s="1"/>
  <c r="AL54" i="6" s="1"/>
  <c r="AL55" i="6" s="1"/>
  <c r="AL56" i="6" s="1"/>
  <c r="AL57" i="6" s="1"/>
  <c r="AL58" i="6" s="1"/>
  <c r="AL59" i="6" s="1"/>
  <c r="AL60" i="6" s="1"/>
  <c r="AL61" i="6" s="1"/>
  <c r="AL62" i="6" s="1"/>
  <c r="AL63" i="6" s="1"/>
  <c r="AL64" i="6" s="1"/>
  <c r="AL65" i="6" s="1"/>
  <c r="AL66" i="6" s="1"/>
  <c r="AL67" i="6" s="1"/>
  <c r="AL68" i="6" s="1"/>
  <c r="AL69" i="6" s="1"/>
  <c r="AL70" i="6" s="1"/>
  <c r="AL71" i="6" s="1"/>
  <c r="AL72" i="6" s="1"/>
  <c r="AL73" i="6" s="1"/>
  <c r="AL74" i="6" s="1"/>
  <c r="AL75" i="6" s="1"/>
  <c r="AL76" i="6" s="1"/>
  <c r="AL77" i="6" s="1"/>
  <c r="AL78" i="6" s="1"/>
  <c r="AL79" i="6" s="1"/>
  <c r="AL80" i="6" s="1"/>
  <c r="AL81" i="6" s="1"/>
  <c r="AL82" i="6" s="1"/>
  <c r="AL83" i="6" s="1"/>
  <c r="AL84" i="6" s="1"/>
  <c r="AL85" i="6" s="1"/>
  <c r="AL86" i="6" s="1"/>
  <c r="AL87" i="6" s="1"/>
  <c r="AL88" i="6" s="1"/>
  <c r="AL89" i="6" s="1"/>
  <c r="AL90" i="6" s="1"/>
  <c r="AL91" i="6" s="1"/>
  <c r="AL92" i="6" s="1"/>
  <c r="AL93" i="6" s="1"/>
  <c r="AL94" i="6" s="1"/>
  <c r="AL95" i="6" s="1"/>
  <c r="AL96" i="6" s="1"/>
  <c r="AL97" i="6" s="1"/>
  <c r="AL98" i="6" s="1"/>
  <c r="AL99" i="6" s="1"/>
  <c r="AL100" i="6" s="1"/>
  <c r="AL101" i="6" s="1"/>
  <c r="AL102" i="6" s="1"/>
  <c r="AL103" i="6" s="1"/>
  <c r="AL104" i="6" s="1"/>
  <c r="AL105" i="6" s="1"/>
  <c r="AL106" i="6" s="1"/>
  <c r="AL107" i="6" s="1"/>
  <c r="AL108" i="6" s="1"/>
  <c r="AL109" i="6" s="1"/>
  <c r="AL110" i="6" s="1"/>
  <c r="AL111" i="6" s="1"/>
  <c r="AL112" i="6" s="1"/>
  <c r="AL113" i="6" s="1"/>
  <c r="AL114" i="6" s="1"/>
  <c r="AL115" i="6" s="1"/>
  <c r="AL116" i="6" s="1"/>
  <c r="AL117" i="6" s="1"/>
  <c r="AL118" i="6" s="1"/>
  <c r="AL119" i="6" s="1"/>
  <c r="AL120" i="6" s="1"/>
  <c r="AL121" i="6" s="1"/>
  <c r="AL122" i="6" s="1"/>
  <c r="AL123" i="6" s="1"/>
  <c r="AL124" i="6" s="1"/>
  <c r="AL125" i="6" s="1"/>
  <c r="AL126" i="6" s="1"/>
  <c r="AL127" i="6" s="1"/>
  <c r="AL128" i="6" s="1"/>
  <c r="AL129" i="6" s="1"/>
  <c r="AL130" i="6" s="1"/>
  <c r="AL131" i="6" s="1"/>
  <c r="AL132" i="6" s="1"/>
  <c r="AL133" i="6" s="1"/>
  <c r="AL134" i="6" s="1"/>
  <c r="AL135" i="6" s="1"/>
  <c r="AL136" i="6" s="1"/>
  <c r="AL137" i="6" s="1"/>
  <c r="AL138" i="6" s="1"/>
  <c r="AL139" i="6" s="1"/>
  <c r="AL140" i="6" s="1"/>
  <c r="AL141" i="6" s="1"/>
  <c r="AL142" i="6" s="1"/>
  <c r="AL143" i="6" s="1"/>
  <c r="AL144" i="6" s="1"/>
  <c r="AL145" i="6" s="1"/>
  <c r="AL146" i="6" s="1"/>
  <c r="AL147" i="6" s="1"/>
  <c r="AL148" i="6" s="1"/>
  <c r="AL149" i="6" s="1"/>
  <c r="AL150" i="6" s="1"/>
  <c r="AL151" i="6" s="1"/>
  <c r="AL152" i="6" s="1"/>
  <c r="AL153" i="6" s="1"/>
  <c r="AL154" i="6" s="1"/>
  <c r="AL155" i="6" s="1"/>
  <c r="AL156" i="6" s="1"/>
  <c r="AL157" i="6" s="1"/>
  <c r="AL158" i="6" s="1"/>
  <c r="AL159" i="6" s="1"/>
  <c r="AL160" i="6" s="1"/>
  <c r="AL161" i="6" s="1"/>
  <c r="AL162" i="6" s="1"/>
  <c r="AL163" i="6" s="1"/>
  <c r="AL164" i="6" s="1"/>
  <c r="AL165" i="6" s="1"/>
  <c r="AL166" i="6" s="1"/>
  <c r="AL167" i="6" s="1"/>
  <c r="AL168" i="6" s="1"/>
  <c r="AL169" i="6" s="1"/>
  <c r="AL170" i="6" s="1"/>
  <c r="AL171" i="6" s="1"/>
  <c r="AL172" i="6" s="1"/>
  <c r="AL173" i="6" s="1"/>
  <c r="AL174" i="6" s="1"/>
  <c r="AL175" i="6" s="1"/>
  <c r="AL176" i="6" s="1"/>
  <c r="AL177" i="6" s="1"/>
  <c r="AL178" i="6" s="1"/>
  <c r="AL179" i="6" s="1"/>
  <c r="AL180" i="6" s="1"/>
  <c r="AL181" i="6" s="1"/>
  <c r="AL182" i="6" s="1"/>
  <c r="AL183" i="6" s="1"/>
  <c r="AL184" i="6" s="1"/>
  <c r="AL185" i="6" s="1"/>
  <c r="AL186" i="6" s="1"/>
  <c r="AL187" i="6" s="1"/>
  <c r="AL188" i="6" s="1"/>
  <c r="AL189" i="6" s="1"/>
  <c r="AL190" i="6" s="1"/>
  <c r="AL191" i="6" s="1"/>
  <c r="AL192" i="6" s="1"/>
  <c r="AL193" i="6" s="1"/>
  <c r="AL194" i="6" s="1"/>
  <c r="AL195" i="6" s="1"/>
  <c r="AL196" i="6" s="1"/>
  <c r="AL197" i="6" s="1"/>
  <c r="AL198" i="6" s="1"/>
  <c r="AL199" i="6" s="1"/>
  <c r="AL200" i="6" s="1"/>
  <c r="AL201" i="6" s="1"/>
  <c r="AL202" i="6" s="1"/>
  <c r="AL203" i="6" s="1"/>
  <c r="AL204" i="6" s="1"/>
  <c r="AL205" i="6" s="1"/>
  <c r="AL206" i="6" s="1"/>
  <c r="AL207" i="6" s="1"/>
  <c r="AL208" i="6" s="1"/>
  <c r="AL209" i="6" s="1"/>
  <c r="AL210" i="6" s="1"/>
  <c r="AL211" i="6" s="1"/>
  <c r="AL212" i="6" s="1"/>
  <c r="AL213" i="6" s="1"/>
  <c r="AL214" i="6" s="1"/>
  <c r="AL215" i="6" s="1"/>
  <c r="AL216" i="6" s="1"/>
  <c r="AL217" i="6" s="1"/>
  <c r="AL218" i="6" s="1"/>
  <c r="AL219" i="6" s="1"/>
  <c r="AL220" i="6" s="1"/>
  <c r="AL221" i="6" s="1"/>
  <c r="AL222" i="6" s="1"/>
  <c r="AL223" i="6" s="1"/>
  <c r="AL224" i="6" s="1"/>
  <c r="AL225" i="6" s="1"/>
  <c r="AL226" i="6" s="1"/>
  <c r="AL227" i="6" s="1"/>
  <c r="AL228" i="6" s="1"/>
  <c r="AL229" i="6" s="1"/>
  <c r="AL230" i="6" s="1"/>
  <c r="AL231" i="6" s="1"/>
  <c r="AL232" i="6" s="1"/>
  <c r="AL233" i="6" s="1"/>
  <c r="AL234" i="6" s="1"/>
  <c r="AL235" i="6" s="1"/>
  <c r="AL236" i="6" s="1"/>
  <c r="AL237" i="6" s="1"/>
  <c r="AL238" i="6" s="1"/>
  <c r="AL239" i="6" s="1"/>
  <c r="AL240" i="6" s="1"/>
  <c r="AL241" i="6" s="1"/>
  <c r="AL242" i="6" s="1"/>
  <c r="AL243" i="6" s="1"/>
  <c r="AL244" i="6" s="1"/>
  <c r="AL245" i="6" s="1"/>
  <c r="AL246" i="6" s="1"/>
  <c r="AL247" i="6" s="1"/>
  <c r="AL248" i="6" s="1"/>
  <c r="AL249" i="6" s="1"/>
  <c r="AL250" i="6" s="1"/>
  <c r="AL251" i="6" s="1"/>
  <c r="AL252" i="6" s="1"/>
  <c r="AL253" i="6" s="1"/>
  <c r="AL254" i="6" s="1"/>
  <c r="AL255" i="6" s="1"/>
  <c r="AM4" i="6"/>
  <c r="AM5" i="6" s="1"/>
  <c r="AM6" i="6" s="1"/>
  <c r="AM7" i="6" s="1"/>
  <c r="AM8" i="6" s="1"/>
  <c r="AM9" i="6" s="1"/>
  <c r="AM10" i="6" s="1"/>
  <c r="AM11" i="6" s="1"/>
  <c r="AM12" i="6" s="1"/>
  <c r="AM13" i="6" s="1"/>
  <c r="AM14" i="6" s="1"/>
  <c r="AM15" i="6" s="1"/>
  <c r="AM16" i="6" s="1"/>
  <c r="AM17" i="6" s="1"/>
  <c r="AM18" i="6" s="1"/>
  <c r="AM19" i="6" s="1"/>
  <c r="AM20" i="6" s="1"/>
  <c r="AM21" i="6" s="1"/>
  <c r="AM22" i="6" s="1"/>
  <c r="AM23" i="6" s="1"/>
  <c r="AM24" i="6" s="1"/>
  <c r="AM25" i="6" s="1"/>
  <c r="AM26" i="6" s="1"/>
  <c r="AM27" i="6" s="1"/>
  <c r="AM28" i="6" s="1"/>
  <c r="AM29" i="6" s="1"/>
  <c r="AM30" i="6" s="1"/>
  <c r="AM31" i="6" s="1"/>
  <c r="AM32" i="6" s="1"/>
  <c r="AM33" i="6" s="1"/>
  <c r="AM34" i="6" s="1"/>
  <c r="AM35" i="6" s="1"/>
  <c r="AM36" i="6" s="1"/>
  <c r="AM37" i="6" s="1"/>
  <c r="AM38" i="6" s="1"/>
  <c r="AM39" i="6" s="1"/>
  <c r="AM40" i="6" s="1"/>
  <c r="AM41" i="6" s="1"/>
  <c r="AM42" i="6" s="1"/>
  <c r="AM43" i="6" s="1"/>
  <c r="AM44" i="6" s="1"/>
  <c r="AM45" i="6" s="1"/>
  <c r="AM46" i="6" s="1"/>
  <c r="AM47" i="6" s="1"/>
  <c r="AM48" i="6" s="1"/>
  <c r="AM49" i="6" s="1"/>
  <c r="AM50" i="6" s="1"/>
  <c r="AM51" i="6" s="1"/>
  <c r="AM52" i="6" s="1"/>
  <c r="AM53" i="6" s="1"/>
  <c r="AM54" i="6" s="1"/>
  <c r="AM55" i="6" s="1"/>
  <c r="AM56" i="6" s="1"/>
  <c r="AM57" i="6" s="1"/>
  <c r="AM58" i="6" s="1"/>
  <c r="AM59" i="6" s="1"/>
  <c r="AM60" i="6" s="1"/>
  <c r="AM61" i="6" s="1"/>
  <c r="AM62" i="6" s="1"/>
  <c r="AM63" i="6" s="1"/>
  <c r="AM64" i="6" s="1"/>
  <c r="AM65" i="6" s="1"/>
  <c r="AM66" i="6" s="1"/>
  <c r="AM67" i="6" s="1"/>
  <c r="AM68" i="6" s="1"/>
  <c r="AM69" i="6" s="1"/>
  <c r="AM70" i="6" s="1"/>
  <c r="AM71" i="6" s="1"/>
  <c r="AM72" i="6" s="1"/>
  <c r="AM73" i="6" s="1"/>
  <c r="AM74" i="6" s="1"/>
  <c r="AM75" i="6" s="1"/>
  <c r="AM76" i="6" s="1"/>
  <c r="AM77" i="6" s="1"/>
  <c r="AM78" i="6" s="1"/>
  <c r="AM79" i="6" s="1"/>
  <c r="AM80" i="6" s="1"/>
  <c r="AM81" i="6" s="1"/>
  <c r="AM82" i="6" s="1"/>
  <c r="AM83" i="6" s="1"/>
  <c r="AM84" i="6" s="1"/>
  <c r="AM85" i="6" s="1"/>
  <c r="AM86" i="6" s="1"/>
  <c r="AM87" i="6" s="1"/>
  <c r="AM88" i="6" s="1"/>
  <c r="AM89" i="6" s="1"/>
  <c r="AM90" i="6" s="1"/>
  <c r="AM91" i="6" s="1"/>
  <c r="AM92" i="6" s="1"/>
  <c r="AM93" i="6" s="1"/>
  <c r="AM94" i="6" s="1"/>
  <c r="AM95" i="6" s="1"/>
  <c r="AM96" i="6" s="1"/>
  <c r="AM97" i="6" s="1"/>
  <c r="AM98" i="6" s="1"/>
  <c r="AM99" i="6" s="1"/>
  <c r="AM100" i="6" s="1"/>
  <c r="AM101" i="6" s="1"/>
  <c r="AM102" i="6" s="1"/>
  <c r="AM103" i="6" s="1"/>
  <c r="AM104" i="6" s="1"/>
  <c r="AM105" i="6" s="1"/>
  <c r="AM106" i="6" s="1"/>
  <c r="AM107" i="6" s="1"/>
  <c r="AM108" i="6" s="1"/>
  <c r="AM109" i="6" s="1"/>
  <c r="AM110" i="6" s="1"/>
  <c r="AM111" i="6" s="1"/>
  <c r="AM112" i="6" s="1"/>
  <c r="AM113" i="6" s="1"/>
  <c r="AM114" i="6" s="1"/>
  <c r="AM115" i="6" s="1"/>
  <c r="AM116" i="6" s="1"/>
  <c r="AM117" i="6" s="1"/>
  <c r="AM118" i="6" s="1"/>
  <c r="AM119" i="6" s="1"/>
  <c r="AM120" i="6" s="1"/>
  <c r="AM121" i="6" s="1"/>
  <c r="AM122" i="6" s="1"/>
  <c r="AM123" i="6" s="1"/>
  <c r="AM124" i="6" s="1"/>
  <c r="AM125" i="6" s="1"/>
  <c r="AM126" i="6" s="1"/>
  <c r="AM127" i="6" s="1"/>
  <c r="AM128" i="6" s="1"/>
  <c r="AM129" i="6" s="1"/>
  <c r="AM130" i="6" s="1"/>
  <c r="AM131" i="6" s="1"/>
  <c r="AM132" i="6" s="1"/>
  <c r="AM133" i="6" s="1"/>
  <c r="AM134" i="6" s="1"/>
  <c r="AM135" i="6" s="1"/>
  <c r="AM136" i="6" s="1"/>
  <c r="AM137" i="6" s="1"/>
  <c r="AM138" i="6" s="1"/>
  <c r="AM139" i="6" s="1"/>
  <c r="AM140" i="6" s="1"/>
  <c r="AM141" i="6" s="1"/>
  <c r="AM142" i="6" s="1"/>
  <c r="AM143" i="6" s="1"/>
  <c r="AM144" i="6" s="1"/>
  <c r="AM145" i="6" s="1"/>
  <c r="AM146" i="6" s="1"/>
  <c r="AM147" i="6" s="1"/>
  <c r="AM148" i="6" s="1"/>
  <c r="AM149" i="6" s="1"/>
  <c r="AM150" i="6" s="1"/>
  <c r="AM151" i="6" s="1"/>
  <c r="AM152" i="6" s="1"/>
  <c r="AM153" i="6" s="1"/>
  <c r="AM154" i="6" s="1"/>
  <c r="AM155" i="6" s="1"/>
  <c r="AM156" i="6" s="1"/>
  <c r="AM157" i="6" s="1"/>
  <c r="AM158" i="6" s="1"/>
  <c r="AM159" i="6" s="1"/>
  <c r="AM160" i="6" s="1"/>
  <c r="AM161" i="6" s="1"/>
  <c r="AM162" i="6" s="1"/>
  <c r="AM163" i="6" s="1"/>
  <c r="AM164" i="6" s="1"/>
  <c r="AM165" i="6" s="1"/>
  <c r="AM166" i="6" s="1"/>
  <c r="AM167" i="6" s="1"/>
  <c r="AM168" i="6" s="1"/>
  <c r="AM169" i="6" s="1"/>
  <c r="AM170" i="6" s="1"/>
  <c r="AM171" i="6" s="1"/>
  <c r="AM172" i="6" s="1"/>
  <c r="AM173" i="6" s="1"/>
  <c r="AM174" i="6" s="1"/>
  <c r="AM175" i="6" s="1"/>
  <c r="AM176" i="6" s="1"/>
  <c r="AM177" i="6" s="1"/>
  <c r="AM178" i="6" s="1"/>
  <c r="AM179" i="6" s="1"/>
  <c r="AM180" i="6" s="1"/>
  <c r="AM181" i="6" s="1"/>
  <c r="AM182" i="6" s="1"/>
  <c r="AM183" i="6" s="1"/>
  <c r="AM184" i="6" s="1"/>
  <c r="AM185" i="6" s="1"/>
  <c r="AM186" i="6" s="1"/>
  <c r="AM187" i="6" s="1"/>
  <c r="AM188" i="6" s="1"/>
  <c r="AM189" i="6" s="1"/>
  <c r="AM190" i="6" s="1"/>
  <c r="AM191" i="6" s="1"/>
  <c r="AM192" i="6" s="1"/>
  <c r="AM193" i="6" s="1"/>
  <c r="AM194" i="6" s="1"/>
  <c r="AM195" i="6" s="1"/>
  <c r="AM196" i="6" s="1"/>
  <c r="AM197" i="6" s="1"/>
  <c r="AM198" i="6" s="1"/>
  <c r="AM199" i="6" s="1"/>
  <c r="AM200" i="6" s="1"/>
  <c r="AM201" i="6" s="1"/>
  <c r="AM202" i="6" s="1"/>
  <c r="AM203" i="6" s="1"/>
  <c r="AM204" i="6" s="1"/>
  <c r="AM205" i="6" s="1"/>
  <c r="AM206" i="6" s="1"/>
  <c r="AM207" i="6" s="1"/>
  <c r="AM208" i="6" s="1"/>
  <c r="AM209" i="6" s="1"/>
  <c r="AM210" i="6" s="1"/>
  <c r="AM211" i="6" s="1"/>
  <c r="AM212" i="6" s="1"/>
  <c r="AM213" i="6" s="1"/>
  <c r="AM214" i="6" s="1"/>
  <c r="AM215" i="6" s="1"/>
  <c r="AM216" i="6" s="1"/>
  <c r="AM217" i="6" s="1"/>
  <c r="AM218" i="6" s="1"/>
  <c r="AM219" i="6" s="1"/>
  <c r="AM220" i="6" s="1"/>
  <c r="AM221" i="6" s="1"/>
  <c r="AM222" i="6" s="1"/>
  <c r="AM223" i="6" s="1"/>
  <c r="AM224" i="6" s="1"/>
  <c r="AM225" i="6" s="1"/>
  <c r="AM226" i="6" s="1"/>
  <c r="AM227" i="6" s="1"/>
  <c r="AM228" i="6" s="1"/>
  <c r="AM229" i="6" s="1"/>
  <c r="AM230" i="6" s="1"/>
  <c r="AM231" i="6" s="1"/>
  <c r="AM232" i="6" s="1"/>
  <c r="AM233" i="6" s="1"/>
  <c r="AM234" i="6" s="1"/>
  <c r="AM235" i="6" s="1"/>
  <c r="AM236" i="6" s="1"/>
  <c r="AM237" i="6" s="1"/>
  <c r="AM238" i="6" s="1"/>
  <c r="AM239" i="6" s="1"/>
  <c r="AM240" i="6" s="1"/>
  <c r="AM241" i="6" s="1"/>
  <c r="AM242" i="6" s="1"/>
  <c r="AM243" i="6" s="1"/>
  <c r="AM244" i="6" s="1"/>
  <c r="AM245" i="6" s="1"/>
  <c r="AM246" i="6" s="1"/>
  <c r="AM247" i="6" s="1"/>
  <c r="AM248" i="6" s="1"/>
  <c r="AM249" i="6" s="1"/>
  <c r="AM250" i="6" s="1"/>
  <c r="AM251" i="6" s="1"/>
  <c r="AM252" i="6" s="1"/>
  <c r="AM253" i="6" s="1"/>
  <c r="AM254" i="6" s="1"/>
  <c r="AM255" i="6" s="1"/>
  <c r="AN4" i="6"/>
  <c r="AO4" i="6"/>
  <c r="AO5" i="6" s="1"/>
  <c r="AO6" i="6" s="1"/>
  <c r="AO7" i="6" s="1"/>
  <c r="AO8" i="6" s="1"/>
  <c r="AO9" i="6" s="1"/>
  <c r="AO10" i="6" s="1"/>
  <c r="AO11" i="6" s="1"/>
  <c r="AO12" i="6" s="1"/>
  <c r="AO13" i="6" s="1"/>
  <c r="AO14" i="6" s="1"/>
  <c r="AO15" i="6" s="1"/>
  <c r="AO16" i="6" s="1"/>
  <c r="AO17" i="6" s="1"/>
  <c r="AO18" i="6" s="1"/>
  <c r="AO19" i="6" s="1"/>
  <c r="AO20" i="6" s="1"/>
  <c r="AO21" i="6" s="1"/>
  <c r="AO22" i="6" s="1"/>
  <c r="AO23" i="6" s="1"/>
  <c r="AO24" i="6" s="1"/>
  <c r="AO25" i="6" s="1"/>
  <c r="AO26" i="6" s="1"/>
  <c r="AO27" i="6" s="1"/>
  <c r="AO28" i="6" s="1"/>
  <c r="AO29" i="6" s="1"/>
  <c r="AO30" i="6" s="1"/>
  <c r="AO31" i="6" s="1"/>
  <c r="AO32" i="6" s="1"/>
  <c r="AO33" i="6" s="1"/>
  <c r="AO34" i="6" s="1"/>
  <c r="AO35" i="6" s="1"/>
  <c r="AO36" i="6" s="1"/>
  <c r="AO37" i="6" s="1"/>
  <c r="AO38" i="6" s="1"/>
  <c r="AO39" i="6" s="1"/>
  <c r="AO40" i="6" s="1"/>
  <c r="AO41" i="6" s="1"/>
  <c r="AO42" i="6" s="1"/>
  <c r="AO43" i="6" s="1"/>
  <c r="AO44" i="6" s="1"/>
  <c r="AO45" i="6" s="1"/>
  <c r="AO46" i="6" s="1"/>
  <c r="AO47" i="6" s="1"/>
  <c r="AO48" i="6" s="1"/>
  <c r="AO49" i="6" s="1"/>
  <c r="AO50" i="6" s="1"/>
  <c r="AO51" i="6" s="1"/>
  <c r="AO52" i="6" s="1"/>
  <c r="AO53" i="6" s="1"/>
  <c r="AO54" i="6" s="1"/>
  <c r="AO55" i="6" s="1"/>
  <c r="AO56" i="6" s="1"/>
  <c r="AO57" i="6" s="1"/>
  <c r="AO58" i="6" s="1"/>
  <c r="AO59" i="6" s="1"/>
  <c r="AO60" i="6" s="1"/>
  <c r="AO61" i="6" s="1"/>
  <c r="AO62" i="6" s="1"/>
  <c r="AO63" i="6" s="1"/>
  <c r="AO64" i="6" s="1"/>
  <c r="AO65" i="6" s="1"/>
  <c r="AO66" i="6" s="1"/>
  <c r="AO67" i="6" s="1"/>
  <c r="AO68" i="6" s="1"/>
  <c r="AO69" i="6" s="1"/>
  <c r="AO70" i="6" s="1"/>
  <c r="AO71" i="6" s="1"/>
  <c r="AO72" i="6" s="1"/>
  <c r="AO73" i="6" s="1"/>
  <c r="AO74" i="6" s="1"/>
  <c r="AO75" i="6" s="1"/>
  <c r="AO76" i="6" s="1"/>
  <c r="AO77" i="6" s="1"/>
  <c r="AO78" i="6" s="1"/>
  <c r="AO79" i="6" s="1"/>
  <c r="AO80" i="6" s="1"/>
  <c r="AO81" i="6" s="1"/>
  <c r="AO82" i="6" s="1"/>
  <c r="AO83" i="6" s="1"/>
  <c r="AO84" i="6" s="1"/>
  <c r="AO85" i="6" s="1"/>
  <c r="AO86" i="6" s="1"/>
  <c r="AO87" i="6" s="1"/>
  <c r="AO88" i="6" s="1"/>
  <c r="AO89" i="6" s="1"/>
  <c r="AO90" i="6" s="1"/>
  <c r="AO91" i="6" s="1"/>
  <c r="AO92" i="6" s="1"/>
  <c r="AO93" i="6" s="1"/>
  <c r="AO94" i="6" s="1"/>
  <c r="AO95" i="6" s="1"/>
  <c r="AO96" i="6" s="1"/>
  <c r="AO97" i="6" s="1"/>
  <c r="AO98" i="6" s="1"/>
  <c r="AO99" i="6" s="1"/>
  <c r="AO100" i="6" s="1"/>
  <c r="AO101" i="6" s="1"/>
  <c r="AO102" i="6" s="1"/>
  <c r="AO103" i="6" s="1"/>
  <c r="AO104" i="6" s="1"/>
  <c r="AO105" i="6" s="1"/>
  <c r="AO106" i="6" s="1"/>
  <c r="AO107" i="6" s="1"/>
  <c r="AO108" i="6" s="1"/>
  <c r="AO109" i="6" s="1"/>
  <c r="AO110" i="6" s="1"/>
  <c r="AO111" i="6" s="1"/>
  <c r="AO112" i="6" s="1"/>
  <c r="AO113" i="6" s="1"/>
  <c r="AO114" i="6" s="1"/>
  <c r="AO115" i="6" s="1"/>
  <c r="AO116" i="6" s="1"/>
  <c r="AO117" i="6" s="1"/>
  <c r="AO118" i="6" s="1"/>
  <c r="AO119" i="6" s="1"/>
  <c r="AO120" i="6" s="1"/>
  <c r="AO121" i="6" s="1"/>
  <c r="AO122" i="6" s="1"/>
  <c r="AO123" i="6" s="1"/>
  <c r="AO124" i="6" s="1"/>
  <c r="AO125" i="6" s="1"/>
  <c r="AO126" i="6" s="1"/>
  <c r="AO127" i="6" s="1"/>
  <c r="AO128" i="6" s="1"/>
  <c r="AO129" i="6" s="1"/>
  <c r="AO130" i="6" s="1"/>
  <c r="AO131" i="6" s="1"/>
  <c r="AO132" i="6" s="1"/>
  <c r="AO133" i="6" s="1"/>
  <c r="AO134" i="6" s="1"/>
  <c r="AO135" i="6" s="1"/>
  <c r="AO136" i="6" s="1"/>
  <c r="AO137" i="6" s="1"/>
  <c r="AO138" i="6" s="1"/>
  <c r="AO139" i="6" s="1"/>
  <c r="AO140" i="6" s="1"/>
  <c r="AO141" i="6" s="1"/>
  <c r="AO142" i="6" s="1"/>
  <c r="AO143" i="6" s="1"/>
  <c r="AO144" i="6" s="1"/>
  <c r="AO145" i="6" s="1"/>
  <c r="AO146" i="6" s="1"/>
  <c r="AO147" i="6" s="1"/>
  <c r="AO148" i="6" s="1"/>
  <c r="AO149" i="6" s="1"/>
  <c r="AO150" i="6" s="1"/>
  <c r="AO151" i="6" s="1"/>
  <c r="AO152" i="6" s="1"/>
  <c r="AO153" i="6" s="1"/>
  <c r="AO154" i="6" s="1"/>
  <c r="AO155" i="6" s="1"/>
  <c r="AO156" i="6" s="1"/>
  <c r="AO157" i="6" s="1"/>
  <c r="AO158" i="6" s="1"/>
  <c r="AO159" i="6" s="1"/>
  <c r="AO160" i="6" s="1"/>
  <c r="AO161" i="6" s="1"/>
  <c r="AO162" i="6" s="1"/>
  <c r="AO163" i="6" s="1"/>
  <c r="AO164" i="6" s="1"/>
  <c r="AO165" i="6" s="1"/>
  <c r="AO166" i="6" s="1"/>
  <c r="AO167" i="6" s="1"/>
  <c r="AO168" i="6" s="1"/>
  <c r="AO169" i="6" s="1"/>
  <c r="AO170" i="6" s="1"/>
  <c r="AO171" i="6" s="1"/>
  <c r="AO172" i="6" s="1"/>
  <c r="AO173" i="6" s="1"/>
  <c r="AO174" i="6" s="1"/>
  <c r="AO175" i="6" s="1"/>
  <c r="AO176" i="6" s="1"/>
  <c r="AO177" i="6" s="1"/>
  <c r="AO178" i="6" s="1"/>
  <c r="AO179" i="6" s="1"/>
  <c r="AO180" i="6" s="1"/>
  <c r="AO181" i="6" s="1"/>
  <c r="AO182" i="6" s="1"/>
  <c r="AO183" i="6" s="1"/>
  <c r="AO184" i="6" s="1"/>
  <c r="AO185" i="6" s="1"/>
  <c r="AO186" i="6" s="1"/>
  <c r="AO187" i="6" s="1"/>
  <c r="AO188" i="6" s="1"/>
  <c r="AO189" i="6" s="1"/>
  <c r="AO190" i="6" s="1"/>
  <c r="AO191" i="6" s="1"/>
  <c r="AO192" i="6" s="1"/>
  <c r="AO193" i="6" s="1"/>
  <c r="AO194" i="6" s="1"/>
  <c r="AO195" i="6" s="1"/>
  <c r="AO196" i="6" s="1"/>
  <c r="AO197" i="6" s="1"/>
  <c r="AO198" i="6" s="1"/>
  <c r="AO199" i="6" s="1"/>
  <c r="AO200" i="6" s="1"/>
  <c r="AO201" i="6" s="1"/>
  <c r="AO202" i="6" s="1"/>
  <c r="AO203" i="6" s="1"/>
  <c r="AO204" i="6" s="1"/>
  <c r="AO205" i="6" s="1"/>
  <c r="AO206" i="6" s="1"/>
  <c r="AO207" i="6" s="1"/>
  <c r="AO208" i="6" s="1"/>
  <c r="AO209" i="6" s="1"/>
  <c r="AO210" i="6" s="1"/>
  <c r="AO211" i="6" s="1"/>
  <c r="AO212" i="6" s="1"/>
  <c r="AO213" i="6" s="1"/>
  <c r="AO214" i="6" s="1"/>
  <c r="AO215" i="6" s="1"/>
  <c r="AO216" i="6" s="1"/>
  <c r="AO217" i="6" s="1"/>
  <c r="AO218" i="6" s="1"/>
  <c r="AO219" i="6" s="1"/>
  <c r="AO220" i="6" s="1"/>
  <c r="AO221" i="6" s="1"/>
  <c r="AO222" i="6" s="1"/>
  <c r="AO223" i="6" s="1"/>
  <c r="AO224" i="6" s="1"/>
  <c r="AO225" i="6" s="1"/>
  <c r="AO226" i="6" s="1"/>
  <c r="AO227" i="6" s="1"/>
  <c r="AO228" i="6" s="1"/>
  <c r="AO229" i="6" s="1"/>
  <c r="AO230" i="6" s="1"/>
  <c r="AO231" i="6" s="1"/>
  <c r="AO232" i="6" s="1"/>
  <c r="AO233" i="6" s="1"/>
  <c r="AO234" i="6" s="1"/>
  <c r="AO235" i="6" s="1"/>
  <c r="AO236" i="6" s="1"/>
  <c r="AO237" i="6" s="1"/>
  <c r="AO238" i="6" s="1"/>
  <c r="AO239" i="6" s="1"/>
  <c r="AO240" i="6" s="1"/>
  <c r="AO241" i="6" s="1"/>
  <c r="AO242" i="6" s="1"/>
  <c r="AO243" i="6" s="1"/>
  <c r="AO244" i="6" s="1"/>
  <c r="AO245" i="6" s="1"/>
  <c r="AO246" i="6" s="1"/>
  <c r="AO247" i="6" s="1"/>
  <c r="AO248" i="6" s="1"/>
  <c r="AO249" i="6" s="1"/>
  <c r="AO250" i="6" s="1"/>
  <c r="AO251" i="6" s="1"/>
  <c r="AO252" i="6" s="1"/>
  <c r="AO253" i="6" s="1"/>
  <c r="AO254" i="6" s="1"/>
  <c r="AO255" i="6" s="1"/>
  <c r="AP4" i="6"/>
  <c r="AP5" i="6" s="1"/>
  <c r="AP6" i="6" s="1"/>
  <c r="AP7" i="6" s="1"/>
  <c r="AP8" i="6" s="1"/>
  <c r="AP9" i="6" s="1"/>
  <c r="AP10" i="6" s="1"/>
  <c r="AP11" i="6" s="1"/>
  <c r="AP12" i="6" s="1"/>
  <c r="AP13" i="6" s="1"/>
  <c r="AP14" i="6" s="1"/>
  <c r="AP15" i="6" s="1"/>
  <c r="AP16" i="6" s="1"/>
  <c r="AP17" i="6" s="1"/>
  <c r="AP18" i="6" s="1"/>
  <c r="AP19" i="6" s="1"/>
  <c r="AP20" i="6" s="1"/>
  <c r="AP21" i="6" s="1"/>
  <c r="AP22" i="6" s="1"/>
  <c r="AP23" i="6" s="1"/>
  <c r="AQ4" i="6"/>
  <c r="AQ5" i="6" s="1"/>
  <c r="AQ6" i="6" s="1"/>
  <c r="AQ7" i="6" s="1"/>
  <c r="AQ8" i="6" s="1"/>
  <c r="AQ9" i="6" s="1"/>
  <c r="AQ10" i="6" s="1"/>
  <c r="AQ11" i="6" s="1"/>
  <c r="AQ12" i="6" s="1"/>
  <c r="AQ13" i="6" s="1"/>
  <c r="AQ14" i="6" s="1"/>
  <c r="AR4" i="6"/>
  <c r="AR5" i="6" s="1"/>
  <c r="AR6" i="6" s="1"/>
  <c r="AR7" i="6" s="1"/>
  <c r="AR8" i="6" s="1"/>
  <c r="AR9" i="6" s="1"/>
  <c r="AR10" i="6" s="1"/>
  <c r="AR11" i="6" s="1"/>
  <c r="AR12" i="6" s="1"/>
  <c r="AR13" i="6" s="1"/>
  <c r="AR14" i="6" s="1"/>
  <c r="AR15" i="6" s="1"/>
  <c r="AR16" i="6" s="1"/>
  <c r="AR17" i="6" s="1"/>
  <c r="AR18" i="6" s="1"/>
  <c r="AR19" i="6" s="1"/>
  <c r="AR20" i="6" s="1"/>
  <c r="AR21" i="6" s="1"/>
  <c r="AR22" i="6" s="1"/>
  <c r="AR23" i="6" s="1"/>
  <c r="AR24" i="6" s="1"/>
  <c r="AR25" i="6" s="1"/>
  <c r="AR26" i="6" s="1"/>
  <c r="AR27" i="6" s="1"/>
  <c r="AR28" i="6" s="1"/>
  <c r="AR29" i="6" s="1"/>
  <c r="AR30" i="6" s="1"/>
  <c r="AR31" i="6" s="1"/>
  <c r="AR32" i="6" s="1"/>
  <c r="AR33" i="6" s="1"/>
  <c r="AR34" i="6" s="1"/>
  <c r="AR35" i="6" s="1"/>
  <c r="AR36" i="6" s="1"/>
  <c r="AR37" i="6" s="1"/>
  <c r="AR38" i="6" s="1"/>
  <c r="AR39" i="6" s="1"/>
  <c r="AR40" i="6" s="1"/>
  <c r="AR41" i="6" s="1"/>
  <c r="AR42" i="6" s="1"/>
  <c r="AR43" i="6" s="1"/>
  <c r="AR44" i="6" s="1"/>
  <c r="AR45" i="6" s="1"/>
  <c r="AR46" i="6" s="1"/>
  <c r="AR47" i="6" s="1"/>
  <c r="AR48" i="6" s="1"/>
  <c r="AR49" i="6" s="1"/>
  <c r="AR50" i="6" s="1"/>
  <c r="AR51" i="6" s="1"/>
  <c r="AR52" i="6" s="1"/>
  <c r="AR53" i="6" s="1"/>
  <c r="AR54" i="6" s="1"/>
  <c r="AR55" i="6" s="1"/>
  <c r="AR56" i="6" s="1"/>
  <c r="AR57" i="6" s="1"/>
  <c r="AR58" i="6" s="1"/>
  <c r="AR59" i="6" s="1"/>
  <c r="AR60" i="6" s="1"/>
  <c r="AR61" i="6" s="1"/>
  <c r="AR62" i="6" s="1"/>
  <c r="AR63" i="6" s="1"/>
  <c r="AR64" i="6" s="1"/>
  <c r="AR65" i="6" s="1"/>
  <c r="AR66" i="6" s="1"/>
  <c r="AR67" i="6" s="1"/>
  <c r="AR68" i="6" s="1"/>
  <c r="AR69" i="6" s="1"/>
  <c r="AR70" i="6" s="1"/>
  <c r="AR71" i="6" s="1"/>
  <c r="AR72" i="6" s="1"/>
  <c r="AR73" i="6" s="1"/>
  <c r="AR74" i="6" s="1"/>
  <c r="AR75" i="6" s="1"/>
  <c r="AR76" i="6" s="1"/>
  <c r="AR77" i="6" s="1"/>
  <c r="AR78" i="6" s="1"/>
  <c r="AR79" i="6" s="1"/>
  <c r="AR80" i="6" s="1"/>
  <c r="AR81" i="6" s="1"/>
  <c r="AR82" i="6" s="1"/>
  <c r="AR83" i="6" s="1"/>
  <c r="AR84" i="6" s="1"/>
  <c r="AR85" i="6" s="1"/>
  <c r="AR86" i="6" s="1"/>
  <c r="AR87" i="6" s="1"/>
  <c r="AR88" i="6" s="1"/>
  <c r="AR89" i="6" s="1"/>
  <c r="AR90" i="6" s="1"/>
  <c r="AR91" i="6" s="1"/>
  <c r="AR92" i="6" s="1"/>
  <c r="AR93" i="6" s="1"/>
  <c r="AR94" i="6" s="1"/>
  <c r="AR95" i="6" s="1"/>
  <c r="AR96" i="6" s="1"/>
  <c r="AR97" i="6" s="1"/>
  <c r="AR98" i="6" s="1"/>
  <c r="AR99" i="6" s="1"/>
  <c r="AR100" i="6" s="1"/>
  <c r="AR101" i="6" s="1"/>
  <c r="AR102" i="6" s="1"/>
  <c r="AR103" i="6" s="1"/>
  <c r="AR104" i="6" s="1"/>
  <c r="AR105" i="6" s="1"/>
  <c r="AR106" i="6" s="1"/>
  <c r="AR107" i="6" s="1"/>
  <c r="AR108" i="6" s="1"/>
  <c r="AR109" i="6" s="1"/>
  <c r="AR110" i="6" s="1"/>
  <c r="AR111" i="6" s="1"/>
  <c r="AR112" i="6" s="1"/>
  <c r="AR113" i="6" s="1"/>
  <c r="AR114" i="6" s="1"/>
  <c r="AR115" i="6" s="1"/>
  <c r="AR116" i="6" s="1"/>
  <c r="AR117" i="6" s="1"/>
  <c r="AR118" i="6" s="1"/>
  <c r="AR119" i="6" s="1"/>
  <c r="AR120" i="6" s="1"/>
  <c r="AR121" i="6" s="1"/>
  <c r="AR122" i="6" s="1"/>
  <c r="AR123" i="6" s="1"/>
  <c r="AR124" i="6" s="1"/>
  <c r="AR125" i="6" s="1"/>
  <c r="AR126" i="6" s="1"/>
  <c r="AR127" i="6" s="1"/>
  <c r="AR128" i="6" s="1"/>
  <c r="AR129" i="6" s="1"/>
  <c r="AR130" i="6" s="1"/>
  <c r="AR131" i="6" s="1"/>
  <c r="AR132" i="6" s="1"/>
  <c r="AR133" i="6" s="1"/>
  <c r="AR134" i="6" s="1"/>
  <c r="AR135" i="6" s="1"/>
  <c r="AR136" i="6" s="1"/>
  <c r="AR137" i="6" s="1"/>
  <c r="AR138" i="6" s="1"/>
  <c r="AR139" i="6" s="1"/>
  <c r="AR140" i="6" s="1"/>
  <c r="AR141" i="6" s="1"/>
  <c r="AR142" i="6" s="1"/>
  <c r="AR143" i="6" s="1"/>
  <c r="AR144" i="6" s="1"/>
  <c r="AR145" i="6" s="1"/>
  <c r="AR146" i="6" s="1"/>
  <c r="AR147" i="6" s="1"/>
  <c r="AR148" i="6" s="1"/>
  <c r="AR149" i="6" s="1"/>
  <c r="AR150" i="6" s="1"/>
  <c r="AR151" i="6" s="1"/>
  <c r="AR152" i="6" s="1"/>
  <c r="AR153" i="6" s="1"/>
  <c r="AR154" i="6" s="1"/>
  <c r="AR155" i="6" s="1"/>
  <c r="AR156" i="6" s="1"/>
  <c r="AR157" i="6" s="1"/>
  <c r="AR158" i="6" s="1"/>
  <c r="AR159" i="6" s="1"/>
  <c r="AR160" i="6" s="1"/>
  <c r="AR161" i="6" s="1"/>
  <c r="AR162" i="6" s="1"/>
  <c r="AR163" i="6" s="1"/>
  <c r="AR164" i="6" s="1"/>
  <c r="AR165" i="6" s="1"/>
  <c r="AR166" i="6" s="1"/>
  <c r="AR167" i="6" s="1"/>
  <c r="AR168" i="6" s="1"/>
  <c r="AR169" i="6" s="1"/>
  <c r="AR170" i="6" s="1"/>
  <c r="AR171" i="6" s="1"/>
  <c r="AR172" i="6" s="1"/>
  <c r="AR173" i="6" s="1"/>
  <c r="AR174" i="6" s="1"/>
  <c r="AR175" i="6" s="1"/>
  <c r="AR176" i="6" s="1"/>
  <c r="AR177" i="6" s="1"/>
  <c r="AR178" i="6" s="1"/>
  <c r="AR179" i="6" s="1"/>
  <c r="AR180" i="6" s="1"/>
  <c r="AR181" i="6" s="1"/>
  <c r="AR182" i="6" s="1"/>
  <c r="AR183" i="6" s="1"/>
  <c r="AR184" i="6" s="1"/>
  <c r="AR185" i="6" s="1"/>
  <c r="AR186" i="6" s="1"/>
  <c r="AR187" i="6" s="1"/>
  <c r="AR188" i="6" s="1"/>
  <c r="AR189" i="6" s="1"/>
  <c r="AR190" i="6" s="1"/>
  <c r="AR191" i="6" s="1"/>
  <c r="AR192" i="6" s="1"/>
  <c r="AR193" i="6" s="1"/>
  <c r="AR194" i="6" s="1"/>
  <c r="AR195" i="6" s="1"/>
  <c r="AR196" i="6" s="1"/>
  <c r="AR197" i="6" s="1"/>
  <c r="AR198" i="6" s="1"/>
  <c r="AR199" i="6" s="1"/>
  <c r="AR200" i="6" s="1"/>
  <c r="AR201" i="6" s="1"/>
  <c r="AR202" i="6" s="1"/>
  <c r="AR203" i="6" s="1"/>
  <c r="AR204" i="6" s="1"/>
  <c r="AR205" i="6" s="1"/>
  <c r="AR206" i="6" s="1"/>
  <c r="AR207" i="6" s="1"/>
  <c r="AR208" i="6" s="1"/>
  <c r="AR209" i="6" s="1"/>
  <c r="AR210" i="6" s="1"/>
  <c r="AR211" i="6" s="1"/>
  <c r="AR212" i="6" s="1"/>
  <c r="AR213" i="6" s="1"/>
  <c r="AR214" i="6" s="1"/>
  <c r="AR215" i="6" s="1"/>
  <c r="AR216" i="6" s="1"/>
  <c r="AR217" i="6" s="1"/>
  <c r="AR218" i="6" s="1"/>
  <c r="AR219" i="6" s="1"/>
  <c r="AR220" i="6" s="1"/>
  <c r="AR221" i="6" s="1"/>
  <c r="AR222" i="6" s="1"/>
  <c r="AR223" i="6" s="1"/>
  <c r="AR224" i="6" s="1"/>
  <c r="AR225" i="6" s="1"/>
  <c r="AR226" i="6" s="1"/>
  <c r="AR227" i="6" s="1"/>
  <c r="AR228" i="6" s="1"/>
  <c r="AR229" i="6" s="1"/>
  <c r="AR230" i="6" s="1"/>
  <c r="AR231" i="6" s="1"/>
  <c r="AR232" i="6" s="1"/>
  <c r="AR233" i="6" s="1"/>
  <c r="AR234" i="6" s="1"/>
  <c r="AR235" i="6" s="1"/>
  <c r="AR236" i="6" s="1"/>
  <c r="AR237" i="6" s="1"/>
  <c r="AR238" i="6" s="1"/>
  <c r="AR239" i="6" s="1"/>
  <c r="AR240" i="6" s="1"/>
  <c r="AR241" i="6" s="1"/>
  <c r="AR242" i="6" s="1"/>
  <c r="AR243" i="6" s="1"/>
  <c r="AR244" i="6" s="1"/>
  <c r="AR245" i="6" s="1"/>
  <c r="AR246" i="6" s="1"/>
  <c r="AR247" i="6" s="1"/>
  <c r="AR248" i="6" s="1"/>
  <c r="AR249" i="6" s="1"/>
  <c r="AR250" i="6" s="1"/>
  <c r="AR251" i="6" s="1"/>
  <c r="AR252" i="6" s="1"/>
  <c r="AR253" i="6" s="1"/>
  <c r="AR254" i="6" s="1"/>
  <c r="AR255" i="6" s="1"/>
  <c r="AS4" i="6"/>
  <c r="AS5" i="6" s="1"/>
  <c r="AS6" i="6" s="1"/>
  <c r="AS7" i="6" s="1"/>
  <c r="AS8" i="6" s="1"/>
  <c r="AS9" i="6" s="1"/>
  <c r="AS10" i="6" s="1"/>
  <c r="AS11" i="6" s="1"/>
  <c r="AS12" i="6" s="1"/>
  <c r="AS13" i="6" s="1"/>
  <c r="AS14" i="6" s="1"/>
  <c r="AS15" i="6" s="1"/>
  <c r="AS16" i="6" s="1"/>
  <c r="AS17" i="6" s="1"/>
  <c r="AS18" i="6" s="1"/>
  <c r="AS19" i="6" s="1"/>
  <c r="AS20" i="6" s="1"/>
  <c r="AS21" i="6" s="1"/>
  <c r="AS22" i="6" s="1"/>
  <c r="AS23" i="6" s="1"/>
  <c r="AS24" i="6" s="1"/>
  <c r="AS25" i="6" s="1"/>
  <c r="AS26" i="6" s="1"/>
  <c r="AS27" i="6" s="1"/>
  <c r="AS28" i="6" s="1"/>
  <c r="AS29" i="6" s="1"/>
  <c r="AS30" i="6" s="1"/>
  <c r="AS31" i="6" s="1"/>
  <c r="AS32" i="6" s="1"/>
  <c r="AS33" i="6" s="1"/>
  <c r="AS34" i="6" s="1"/>
  <c r="AS35" i="6" s="1"/>
  <c r="AS36" i="6" s="1"/>
  <c r="AS37" i="6" s="1"/>
  <c r="AS38" i="6" s="1"/>
  <c r="AS39" i="6" s="1"/>
  <c r="AS40" i="6" s="1"/>
  <c r="AS41" i="6" s="1"/>
  <c r="AS42" i="6" s="1"/>
  <c r="AS43" i="6" s="1"/>
  <c r="AS44" i="6" s="1"/>
  <c r="AS45" i="6" s="1"/>
  <c r="AS46" i="6" s="1"/>
  <c r="AS47" i="6" s="1"/>
  <c r="AS48" i="6" s="1"/>
  <c r="AS49" i="6" s="1"/>
  <c r="AS50" i="6" s="1"/>
  <c r="AS51" i="6" s="1"/>
  <c r="AS52" i="6" s="1"/>
  <c r="AS53" i="6" s="1"/>
  <c r="AS54" i="6" s="1"/>
  <c r="AS55" i="6" s="1"/>
  <c r="AS56" i="6" s="1"/>
  <c r="AS57" i="6" s="1"/>
  <c r="AS58" i="6" s="1"/>
  <c r="AS59" i="6" s="1"/>
  <c r="AS60" i="6" s="1"/>
  <c r="AS61" i="6" s="1"/>
  <c r="AS62" i="6" s="1"/>
  <c r="AS63" i="6" s="1"/>
  <c r="AS64" i="6" s="1"/>
  <c r="AS65" i="6" s="1"/>
  <c r="AS66" i="6" s="1"/>
  <c r="AS67" i="6" s="1"/>
  <c r="AS68" i="6" s="1"/>
  <c r="AS69" i="6" s="1"/>
  <c r="AS70" i="6" s="1"/>
  <c r="AS71" i="6" s="1"/>
  <c r="AS72" i="6" s="1"/>
  <c r="AS73" i="6" s="1"/>
  <c r="AS74" i="6" s="1"/>
  <c r="AS75" i="6" s="1"/>
  <c r="AS76" i="6" s="1"/>
  <c r="AS77" i="6" s="1"/>
  <c r="AS78" i="6" s="1"/>
  <c r="AS79" i="6" s="1"/>
  <c r="AS80" i="6" s="1"/>
  <c r="AS81" i="6" s="1"/>
  <c r="AS82" i="6" s="1"/>
  <c r="AS83" i="6" s="1"/>
  <c r="AS84" i="6" s="1"/>
  <c r="AS85" i="6" s="1"/>
  <c r="AS86" i="6" s="1"/>
  <c r="AS87" i="6" s="1"/>
  <c r="AS88" i="6" s="1"/>
  <c r="AS89" i="6" s="1"/>
  <c r="AS90" i="6" s="1"/>
  <c r="AS91" i="6" s="1"/>
  <c r="AS92" i="6" s="1"/>
  <c r="AS93" i="6" s="1"/>
  <c r="AS94" i="6" s="1"/>
  <c r="AS95" i="6" s="1"/>
  <c r="AS96" i="6" s="1"/>
  <c r="AS97" i="6" s="1"/>
  <c r="AS98" i="6" s="1"/>
  <c r="AS99" i="6" s="1"/>
  <c r="AS100" i="6" s="1"/>
  <c r="AS101" i="6" s="1"/>
  <c r="AS102" i="6" s="1"/>
  <c r="AS103" i="6" s="1"/>
  <c r="AS104" i="6" s="1"/>
  <c r="AS105" i="6" s="1"/>
  <c r="AS106" i="6" s="1"/>
  <c r="AS107" i="6" s="1"/>
  <c r="AS108" i="6" s="1"/>
  <c r="AS109" i="6" s="1"/>
  <c r="AS110" i="6" s="1"/>
  <c r="AS111" i="6" s="1"/>
  <c r="AS112" i="6" s="1"/>
  <c r="AS113" i="6" s="1"/>
  <c r="AS114" i="6" s="1"/>
  <c r="AS115" i="6" s="1"/>
  <c r="AS116" i="6" s="1"/>
  <c r="AS117" i="6" s="1"/>
  <c r="AS118" i="6" s="1"/>
  <c r="AS119" i="6" s="1"/>
  <c r="AS120" i="6" s="1"/>
  <c r="AS121" i="6" s="1"/>
  <c r="AS122" i="6" s="1"/>
  <c r="AS123" i="6" s="1"/>
  <c r="AS124" i="6" s="1"/>
  <c r="AS125" i="6" s="1"/>
  <c r="AS126" i="6" s="1"/>
  <c r="AS127" i="6" s="1"/>
  <c r="AS128" i="6" s="1"/>
  <c r="AS129" i="6" s="1"/>
  <c r="AS130" i="6" s="1"/>
  <c r="AS131" i="6" s="1"/>
  <c r="AS132" i="6" s="1"/>
  <c r="AS133" i="6" s="1"/>
  <c r="AS134" i="6" s="1"/>
  <c r="AS135" i="6" s="1"/>
  <c r="AS136" i="6" s="1"/>
  <c r="AS137" i="6" s="1"/>
  <c r="AS138" i="6" s="1"/>
  <c r="AS139" i="6" s="1"/>
  <c r="AS140" i="6" s="1"/>
  <c r="AS141" i="6" s="1"/>
  <c r="AS142" i="6" s="1"/>
  <c r="AS143" i="6" s="1"/>
  <c r="AS144" i="6" s="1"/>
  <c r="AS145" i="6" s="1"/>
  <c r="AS146" i="6" s="1"/>
  <c r="AS147" i="6" s="1"/>
  <c r="AS148" i="6" s="1"/>
  <c r="AS149" i="6" s="1"/>
  <c r="AS150" i="6" s="1"/>
  <c r="AS151" i="6" s="1"/>
  <c r="AS152" i="6" s="1"/>
  <c r="AS153" i="6" s="1"/>
  <c r="AS154" i="6" s="1"/>
  <c r="AS155" i="6" s="1"/>
  <c r="AS156" i="6" s="1"/>
  <c r="AS157" i="6" s="1"/>
  <c r="AS158" i="6" s="1"/>
  <c r="AS159" i="6" s="1"/>
  <c r="AS160" i="6" s="1"/>
  <c r="AS161" i="6" s="1"/>
  <c r="AS162" i="6" s="1"/>
  <c r="AS163" i="6" s="1"/>
  <c r="AS164" i="6" s="1"/>
  <c r="AS165" i="6" s="1"/>
  <c r="AS166" i="6" s="1"/>
  <c r="AS167" i="6" s="1"/>
  <c r="AS168" i="6" s="1"/>
  <c r="AS169" i="6" s="1"/>
  <c r="AS170" i="6" s="1"/>
  <c r="AS171" i="6" s="1"/>
  <c r="AS172" i="6" s="1"/>
  <c r="AS173" i="6" s="1"/>
  <c r="AS174" i="6" s="1"/>
  <c r="AS175" i="6" s="1"/>
  <c r="AS176" i="6" s="1"/>
  <c r="AS177" i="6" s="1"/>
  <c r="AS178" i="6" s="1"/>
  <c r="AS179" i="6" s="1"/>
  <c r="AS180" i="6" s="1"/>
  <c r="AS181" i="6" s="1"/>
  <c r="AS182" i="6" s="1"/>
  <c r="AS183" i="6" s="1"/>
  <c r="AS184" i="6" s="1"/>
  <c r="AS185" i="6" s="1"/>
  <c r="AS186" i="6" s="1"/>
  <c r="AS187" i="6" s="1"/>
  <c r="AS188" i="6" s="1"/>
  <c r="AS189" i="6" s="1"/>
  <c r="AS190" i="6" s="1"/>
  <c r="AS191" i="6" s="1"/>
  <c r="AS192" i="6" s="1"/>
  <c r="AS193" i="6" s="1"/>
  <c r="AS194" i="6" s="1"/>
  <c r="AS195" i="6" s="1"/>
  <c r="AS196" i="6" s="1"/>
  <c r="AS197" i="6" s="1"/>
  <c r="AS198" i="6" s="1"/>
  <c r="AS199" i="6" s="1"/>
  <c r="AS200" i="6" s="1"/>
  <c r="AS201" i="6" s="1"/>
  <c r="AS202" i="6" s="1"/>
  <c r="AS203" i="6" s="1"/>
  <c r="AS204" i="6" s="1"/>
  <c r="AS205" i="6" s="1"/>
  <c r="AS206" i="6" s="1"/>
  <c r="AS207" i="6" s="1"/>
  <c r="AS208" i="6" s="1"/>
  <c r="AS209" i="6" s="1"/>
  <c r="AS210" i="6" s="1"/>
  <c r="AS211" i="6" s="1"/>
  <c r="AS212" i="6" s="1"/>
  <c r="AS213" i="6" s="1"/>
  <c r="AS214" i="6" s="1"/>
  <c r="AS215" i="6" s="1"/>
  <c r="AS216" i="6" s="1"/>
  <c r="AS217" i="6" s="1"/>
  <c r="AS218" i="6" s="1"/>
  <c r="AS219" i="6" s="1"/>
  <c r="AS220" i="6" s="1"/>
  <c r="AS221" i="6" s="1"/>
  <c r="AS222" i="6" s="1"/>
  <c r="AS223" i="6" s="1"/>
  <c r="AS224" i="6" s="1"/>
  <c r="AS225" i="6" s="1"/>
  <c r="AS226" i="6" s="1"/>
  <c r="AS227" i="6" s="1"/>
  <c r="AS228" i="6" s="1"/>
  <c r="AS229" i="6" s="1"/>
  <c r="AS230" i="6" s="1"/>
  <c r="AS231" i="6" s="1"/>
  <c r="AS232" i="6" s="1"/>
  <c r="AS233" i="6" s="1"/>
  <c r="AS234" i="6" s="1"/>
  <c r="AS235" i="6" s="1"/>
  <c r="AS236" i="6" s="1"/>
  <c r="AS237" i="6" s="1"/>
  <c r="AS238" i="6" s="1"/>
  <c r="AS239" i="6" s="1"/>
  <c r="AS240" i="6" s="1"/>
  <c r="AS241" i="6" s="1"/>
  <c r="AS242" i="6" s="1"/>
  <c r="AS243" i="6" s="1"/>
  <c r="AS244" i="6" s="1"/>
  <c r="AS245" i="6" s="1"/>
  <c r="AS246" i="6" s="1"/>
  <c r="AS247" i="6" s="1"/>
  <c r="AS248" i="6" s="1"/>
  <c r="AS249" i="6" s="1"/>
  <c r="AS250" i="6" s="1"/>
  <c r="AS251" i="6" s="1"/>
  <c r="AS252" i="6" s="1"/>
  <c r="AS253" i="6" s="1"/>
  <c r="AS254" i="6" s="1"/>
  <c r="AS255" i="6" s="1"/>
  <c r="AT4" i="6"/>
  <c r="AT5" i="6" s="1"/>
  <c r="AT6" i="6" s="1"/>
  <c r="AT7" i="6" s="1"/>
  <c r="AT8" i="6" s="1"/>
  <c r="AT9" i="6" s="1"/>
  <c r="AT10" i="6" s="1"/>
  <c r="AT11" i="6" s="1"/>
  <c r="AT12" i="6" s="1"/>
  <c r="AT13" i="6" s="1"/>
  <c r="AT14" i="6" s="1"/>
  <c r="AT15" i="6" s="1"/>
  <c r="AT16" i="6" s="1"/>
  <c r="AT17" i="6" s="1"/>
  <c r="AT18" i="6" s="1"/>
  <c r="AT19" i="6" s="1"/>
  <c r="AT20" i="6" s="1"/>
  <c r="AT21" i="6" s="1"/>
  <c r="AT22" i="6" s="1"/>
  <c r="AT23" i="6" s="1"/>
  <c r="AT24" i="6" s="1"/>
  <c r="AT25" i="6" s="1"/>
  <c r="AT26" i="6" s="1"/>
  <c r="AT27" i="6" s="1"/>
  <c r="AT28" i="6" s="1"/>
  <c r="AT29" i="6" s="1"/>
  <c r="AT30" i="6" s="1"/>
  <c r="AT31" i="6" s="1"/>
  <c r="AT32" i="6" s="1"/>
  <c r="AT33" i="6" s="1"/>
  <c r="AT34" i="6" s="1"/>
  <c r="AT35" i="6" s="1"/>
  <c r="AT36" i="6" s="1"/>
  <c r="AT37" i="6" s="1"/>
  <c r="AT38" i="6" s="1"/>
  <c r="AT39" i="6" s="1"/>
  <c r="AT40" i="6" s="1"/>
  <c r="AT41" i="6" s="1"/>
  <c r="AT42" i="6" s="1"/>
  <c r="AT43" i="6" s="1"/>
  <c r="AT44" i="6" s="1"/>
  <c r="AT45" i="6" s="1"/>
  <c r="AT46" i="6" s="1"/>
  <c r="AT47" i="6" s="1"/>
  <c r="AT48" i="6" s="1"/>
  <c r="AT49" i="6" s="1"/>
  <c r="AT50" i="6" s="1"/>
  <c r="AT51" i="6" s="1"/>
  <c r="AT52" i="6" s="1"/>
  <c r="AT53" i="6" s="1"/>
  <c r="AT54" i="6" s="1"/>
  <c r="AT55" i="6" s="1"/>
  <c r="AT56" i="6" s="1"/>
  <c r="AT57" i="6" s="1"/>
  <c r="AT58" i="6" s="1"/>
  <c r="AT59" i="6" s="1"/>
  <c r="AT60" i="6" s="1"/>
  <c r="AT61" i="6" s="1"/>
  <c r="AT62" i="6" s="1"/>
  <c r="AT63" i="6" s="1"/>
  <c r="AT64" i="6" s="1"/>
  <c r="AT65" i="6" s="1"/>
  <c r="AT66" i="6" s="1"/>
  <c r="AT67" i="6" s="1"/>
  <c r="AT68" i="6" s="1"/>
  <c r="AT69" i="6" s="1"/>
  <c r="AT70" i="6" s="1"/>
  <c r="AT71" i="6" s="1"/>
  <c r="AT72" i="6" s="1"/>
  <c r="AT73" i="6" s="1"/>
  <c r="AT74" i="6" s="1"/>
  <c r="AT75" i="6" s="1"/>
  <c r="AT76" i="6" s="1"/>
  <c r="AT77" i="6" s="1"/>
  <c r="AT78" i="6" s="1"/>
  <c r="AT79" i="6" s="1"/>
  <c r="AT80" i="6" s="1"/>
  <c r="AT81" i="6" s="1"/>
  <c r="AT82" i="6" s="1"/>
  <c r="AT83" i="6" s="1"/>
  <c r="AT84" i="6" s="1"/>
  <c r="AT85" i="6" s="1"/>
  <c r="AT86" i="6" s="1"/>
  <c r="AU4" i="6"/>
  <c r="AV4" i="6"/>
  <c r="AV5" i="6" s="1"/>
  <c r="AV6" i="6" s="1"/>
  <c r="AV7" i="6" s="1"/>
  <c r="AV8" i="6" s="1"/>
  <c r="AV9" i="6" s="1"/>
  <c r="AV10" i="6" s="1"/>
  <c r="AV11" i="6" s="1"/>
  <c r="AV12" i="6" s="1"/>
  <c r="AV13" i="6" s="1"/>
  <c r="AV14" i="6" s="1"/>
  <c r="AV15" i="6" s="1"/>
  <c r="AV16" i="6" s="1"/>
  <c r="AV17" i="6" s="1"/>
  <c r="AV18" i="6" s="1"/>
  <c r="AV19" i="6" s="1"/>
  <c r="AV20" i="6" s="1"/>
  <c r="AV21" i="6" s="1"/>
  <c r="AV22" i="6" s="1"/>
  <c r="AV23" i="6" s="1"/>
  <c r="AV24" i="6" s="1"/>
  <c r="AV25" i="6" s="1"/>
  <c r="AV26" i="6" s="1"/>
  <c r="AV27" i="6" s="1"/>
  <c r="AV28" i="6" s="1"/>
  <c r="AV29" i="6" s="1"/>
  <c r="AV30" i="6" s="1"/>
  <c r="AV31" i="6" s="1"/>
  <c r="AV32" i="6" s="1"/>
  <c r="AV33" i="6" s="1"/>
  <c r="AV34" i="6" s="1"/>
  <c r="AV35" i="6" s="1"/>
  <c r="AV36" i="6" s="1"/>
  <c r="AV37" i="6" s="1"/>
  <c r="AV38" i="6" s="1"/>
  <c r="AV39" i="6" s="1"/>
  <c r="AV40" i="6" s="1"/>
  <c r="AV41" i="6" s="1"/>
  <c r="AV42" i="6" s="1"/>
  <c r="AV43" i="6" s="1"/>
  <c r="AV44" i="6" s="1"/>
  <c r="AV45" i="6" s="1"/>
  <c r="AV46" i="6" s="1"/>
  <c r="AV47" i="6" s="1"/>
  <c r="AV48" i="6" s="1"/>
  <c r="AV49" i="6" s="1"/>
  <c r="AV50" i="6" s="1"/>
  <c r="AV51" i="6" s="1"/>
  <c r="AV52" i="6" s="1"/>
  <c r="AV53" i="6" s="1"/>
  <c r="AV54" i="6" s="1"/>
  <c r="AV55" i="6" s="1"/>
  <c r="AV56" i="6" s="1"/>
  <c r="AV57" i="6" s="1"/>
  <c r="AV58" i="6" s="1"/>
  <c r="AV59" i="6" s="1"/>
  <c r="AV60" i="6" s="1"/>
  <c r="AV61" i="6" s="1"/>
  <c r="AV62" i="6" s="1"/>
  <c r="AV63" i="6" s="1"/>
  <c r="AV64" i="6" s="1"/>
  <c r="AV65" i="6" s="1"/>
  <c r="AV66" i="6" s="1"/>
  <c r="AV67" i="6" s="1"/>
  <c r="AV68" i="6" s="1"/>
  <c r="AV69" i="6" s="1"/>
  <c r="AV70" i="6" s="1"/>
  <c r="AV71" i="6" s="1"/>
  <c r="AV72" i="6" s="1"/>
  <c r="AV73" i="6" s="1"/>
  <c r="AV74" i="6" s="1"/>
  <c r="AV75" i="6" s="1"/>
  <c r="AV76" i="6" s="1"/>
  <c r="AV77" i="6" s="1"/>
  <c r="AV78" i="6" s="1"/>
  <c r="AV79" i="6" s="1"/>
  <c r="AV80" i="6" s="1"/>
  <c r="AV81" i="6" s="1"/>
  <c r="AV82" i="6" s="1"/>
  <c r="AV83" i="6" s="1"/>
  <c r="AV84" i="6" s="1"/>
  <c r="AV85" i="6" s="1"/>
  <c r="AV86" i="6" s="1"/>
  <c r="AV87" i="6" s="1"/>
  <c r="AV88" i="6" s="1"/>
  <c r="AV89" i="6" s="1"/>
  <c r="AV90" i="6" s="1"/>
  <c r="AV91" i="6" s="1"/>
  <c r="AV92" i="6" s="1"/>
  <c r="AV93" i="6" s="1"/>
  <c r="AV94" i="6" s="1"/>
  <c r="AV95" i="6" s="1"/>
  <c r="AV96" i="6" s="1"/>
  <c r="AV97" i="6" s="1"/>
  <c r="AV98" i="6" s="1"/>
  <c r="AV99" i="6" s="1"/>
  <c r="AV100" i="6" s="1"/>
  <c r="AV101" i="6" s="1"/>
  <c r="AV102" i="6" s="1"/>
  <c r="AV103" i="6" s="1"/>
  <c r="AV104" i="6" s="1"/>
  <c r="AV105" i="6" s="1"/>
  <c r="AV106" i="6" s="1"/>
  <c r="AV107" i="6" s="1"/>
  <c r="AV108" i="6" s="1"/>
  <c r="AV109" i="6" s="1"/>
  <c r="AV110" i="6" s="1"/>
  <c r="AV111" i="6" s="1"/>
  <c r="AV112" i="6" s="1"/>
  <c r="AV113" i="6" s="1"/>
  <c r="AV114" i="6" s="1"/>
  <c r="AV115" i="6" s="1"/>
  <c r="AV116" i="6" s="1"/>
  <c r="AV117" i="6" s="1"/>
  <c r="AV118" i="6" s="1"/>
  <c r="AV119" i="6" s="1"/>
  <c r="AV120" i="6" s="1"/>
  <c r="AV121" i="6" s="1"/>
  <c r="AV122" i="6" s="1"/>
  <c r="AV123" i="6" s="1"/>
  <c r="AV124" i="6" s="1"/>
  <c r="AV125" i="6" s="1"/>
  <c r="AV126" i="6" s="1"/>
  <c r="AV127" i="6" s="1"/>
  <c r="AV128" i="6" s="1"/>
  <c r="AV129" i="6" s="1"/>
  <c r="AV130" i="6" s="1"/>
  <c r="AV131" i="6" s="1"/>
  <c r="AV132" i="6" s="1"/>
  <c r="AV133" i="6" s="1"/>
  <c r="AV134" i="6" s="1"/>
  <c r="AV135" i="6" s="1"/>
  <c r="AV136" i="6" s="1"/>
  <c r="AV137" i="6" s="1"/>
  <c r="AV138" i="6" s="1"/>
  <c r="AV139" i="6" s="1"/>
  <c r="AV140" i="6" s="1"/>
  <c r="AV141" i="6" s="1"/>
  <c r="AV142" i="6" s="1"/>
  <c r="AV143" i="6" s="1"/>
  <c r="AV144" i="6" s="1"/>
  <c r="AV145" i="6" s="1"/>
  <c r="AV146" i="6" s="1"/>
  <c r="AV147" i="6" s="1"/>
  <c r="AV148" i="6" s="1"/>
  <c r="AV149" i="6" s="1"/>
  <c r="AV150" i="6" s="1"/>
  <c r="AV151" i="6" s="1"/>
  <c r="AV152" i="6" s="1"/>
  <c r="AV153" i="6" s="1"/>
  <c r="AV154" i="6" s="1"/>
  <c r="AV155" i="6" s="1"/>
  <c r="AV156" i="6" s="1"/>
  <c r="AV157" i="6" s="1"/>
  <c r="AV158" i="6" s="1"/>
  <c r="AV159" i="6" s="1"/>
  <c r="AV160" i="6" s="1"/>
  <c r="AV161" i="6" s="1"/>
  <c r="AV162" i="6" s="1"/>
  <c r="AV163" i="6" s="1"/>
  <c r="AV164" i="6" s="1"/>
  <c r="AV165" i="6" s="1"/>
  <c r="AV166" i="6" s="1"/>
  <c r="AV167" i="6" s="1"/>
  <c r="AV168" i="6" s="1"/>
  <c r="AV169" i="6" s="1"/>
  <c r="AV170" i="6" s="1"/>
  <c r="AV171" i="6" s="1"/>
  <c r="AV172" i="6" s="1"/>
  <c r="AV173" i="6" s="1"/>
  <c r="AV174" i="6" s="1"/>
  <c r="AV175" i="6" s="1"/>
  <c r="AV176" i="6" s="1"/>
  <c r="AV177" i="6" s="1"/>
  <c r="AV178" i="6" s="1"/>
  <c r="AV179" i="6" s="1"/>
  <c r="AV180" i="6" s="1"/>
  <c r="AV181" i="6" s="1"/>
  <c r="AV182" i="6" s="1"/>
  <c r="AV183" i="6" s="1"/>
  <c r="AV184" i="6" s="1"/>
  <c r="AV185" i="6" s="1"/>
  <c r="AV186" i="6" s="1"/>
  <c r="AV187" i="6" s="1"/>
  <c r="AV188" i="6" s="1"/>
  <c r="AV189" i="6" s="1"/>
  <c r="AV190" i="6" s="1"/>
  <c r="AV191" i="6" s="1"/>
  <c r="AV192" i="6" s="1"/>
  <c r="AV193" i="6" s="1"/>
  <c r="AV194" i="6" s="1"/>
  <c r="AV195" i="6" s="1"/>
  <c r="AV196" i="6" s="1"/>
  <c r="AV197" i="6" s="1"/>
  <c r="AV198" i="6" s="1"/>
  <c r="AV199" i="6" s="1"/>
  <c r="AV200" i="6" s="1"/>
  <c r="AV201" i="6" s="1"/>
  <c r="AV202" i="6" s="1"/>
  <c r="AV203" i="6" s="1"/>
  <c r="AV204" i="6" s="1"/>
  <c r="AV205" i="6" s="1"/>
  <c r="AV206" i="6" s="1"/>
  <c r="AV207" i="6" s="1"/>
  <c r="AV208" i="6" s="1"/>
  <c r="AV209" i="6" s="1"/>
  <c r="AV210" i="6" s="1"/>
  <c r="AV211" i="6" s="1"/>
  <c r="AV212" i="6" s="1"/>
  <c r="AV213" i="6" s="1"/>
  <c r="AV214" i="6" s="1"/>
  <c r="AV215" i="6" s="1"/>
  <c r="AV216" i="6" s="1"/>
  <c r="AV217" i="6" s="1"/>
  <c r="AV218" i="6" s="1"/>
  <c r="AV219" i="6" s="1"/>
  <c r="AV220" i="6" s="1"/>
  <c r="AV221" i="6" s="1"/>
  <c r="AV222" i="6" s="1"/>
  <c r="AV223" i="6" s="1"/>
  <c r="AV224" i="6" s="1"/>
  <c r="AV225" i="6" s="1"/>
  <c r="AV226" i="6" s="1"/>
  <c r="AV227" i="6" s="1"/>
  <c r="AV228" i="6" s="1"/>
  <c r="AV229" i="6" s="1"/>
  <c r="AV230" i="6" s="1"/>
  <c r="AV231" i="6" s="1"/>
  <c r="AV232" i="6" s="1"/>
  <c r="AV233" i="6" s="1"/>
  <c r="AV234" i="6" s="1"/>
  <c r="AV235" i="6" s="1"/>
  <c r="AV236" i="6" s="1"/>
  <c r="AV237" i="6" s="1"/>
  <c r="AV238" i="6" s="1"/>
  <c r="AV239" i="6" s="1"/>
  <c r="AV240" i="6" s="1"/>
  <c r="AV241" i="6" s="1"/>
  <c r="AV242" i="6" s="1"/>
  <c r="AV243" i="6" s="1"/>
  <c r="AV244" i="6" s="1"/>
  <c r="AV245" i="6" s="1"/>
  <c r="AV246" i="6" s="1"/>
  <c r="AV247" i="6" s="1"/>
  <c r="AV248" i="6" s="1"/>
  <c r="AV249" i="6" s="1"/>
  <c r="AV250" i="6" s="1"/>
  <c r="AV251" i="6" s="1"/>
  <c r="AV252" i="6" s="1"/>
  <c r="AV253" i="6" s="1"/>
  <c r="AV254" i="6" s="1"/>
  <c r="AV255" i="6" s="1"/>
  <c r="AW4" i="6"/>
  <c r="AW5" i="6" s="1"/>
  <c r="AW6" i="6" s="1"/>
  <c r="AW7" i="6" s="1"/>
  <c r="AW8" i="6" s="1"/>
  <c r="AW9" i="6" s="1"/>
  <c r="AW10" i="6" s="1"/>
  <c r="AW11" i="6" s="1"/>
  <c r="AW12" i="6" s="1"/>
  <c r="AW13" i="6" s="1"/>
  <c r="AW14" i="6" s="1"/>
  <c r="AW15" i="6" s="1"/>
  <c r="AW16" i="6" s="1"/>
  <c r="AW17" i="6" s="1"/>
  <c r="AW18" i="6" s="1"/>
  <c r="AW19" i="6" s="1"/>
  <c r="AW20" i="6" s="1"/>
  <c r="AW21" i="6" s="1"/>
  <c r="AW22" i="6" s="1"/>
  <c r="AW23" i="6" s="1"/>
  <c r="AW24" i="6" s="1"/>
  <c r="AW25" i="6" s="1"/>
  <c r="AW26" i="6" s="1"/>
  <c r="AW27" i="6" s="1"/>
  <c r="AW28" i="6" s="1"/>
  <c r="AW29" i="6" s="1"/>
  <c r="AW30" i="6" s="1"/>
  <c r="AW31" i="6" s="1"/>
  <c r="AW32" i="6" s="1"/>
  <c r="AW33" i="6" s="1"/>
  <c r="AW34" i="6" s="1"/>
  <c r="AW35" i="6" s="1"/>
  <c r="AW36" i="6" s="1"/>
  <c r="AW37" i="6" s="1"/>
  <c r="AW38" i="6" s="1"/>
  <c r="AW39" i="6" s="1"/>
  <c r="AW40" i="6" s="1"/>
  <c r="AW41" i="6" s="1"/>
  <c r="AW42" i="6" s="1"/>
  <c r="AW43" i="6" s="1"/>
  <c r="AW44" i="6" s="1"/>
  <c r="AW45" i="6" s="1"/>
  <c r="AW46" i="6" s="1"/>
  <c r="AW47" i="6" s="1"/>
  <c r="AW48" i="6" s="1"/>
  <c r="AW49" i="6" s="1"/>
  <c r="AW50" i="6" s="1"/>
  <c r="AW51" i="6" s="1"/>
  <c r="AW52" i="6" s="1"/>
  <c r="AW53" i="6" s="1"/>
  <c r="AW54" i="6" s="1"/>
  <c r="AW55" i="6" s="1"/>
  <c r="AW56" i="6" s="1"/>
  <c r="AW57" i="6" s="1"/>
  <c r="AW58" i="6" s="1"/>
  <c r="AW59" i="6" s="1"/>
  <c r="AW60" i="6" s="1"/>
  <c r="AW61" i="6" s="1"/>
  <c r="AW62" i="6" s="1"/>
  <c r="AW63" i="6" s="1"/>
  <c r="AW64" i="6" s="1"/>
  <c r="AW65" i="6" s="1"/>
  <c r="AW66" i="6" s="1"/>
  <c r="AW67" i="6" s="1"/>
  <c r="AW68" i="6" s="1"/>
  <c r="AW69" i="6" s="1"/>
  <c r="AW70" i="6" s="1"/>
  <c r="AW71" i="6" s="1"/>
  <c r="AW72" i="6" s="1"/>
  <c r="AW73" i="6" s="1"/>
  <c r="AW74" i="6" s="1"/>
  <c r="AW75" i="6" s="1"/>
  <c r="AW76" i="6" s="1"/>
  <c r="AW77" i="6" s="1"/>
  <c r="AW78" i="6" s="1"/>
  <c r="AW79" i="6" s="1"/>
  <c r="AW80" i="6" s="1"/>
  <c r="AW81" i="6" s="1"/>
  <c r="AW82" i="6" s="1"/>
  <c r="AW83" i="6" s="1"/>
  <c r="AW84" i="6" s="1"/>
  <c r="AW85" i="6" s="1"/>
  <c r="AW86" i="6" s="1"/>
  <c r="AW87" i="6" s="1"/>
  <c r="AW88" i="6" s="1"/>
  <c r="AW89" i="6" s="1"/>
  <c r="AW90" i="6" s="1"/>
  <c r="AW91" i="6" s="1"/>
  <c r="AW92" i="6" s="1"/>
  <c r="AW93" i="6" s="1"/>
  <c r="AW94" i="6" s="1"/>
  <c r="AW95" i="6" s="1"/>
  <c r="AW96" i="6" s="1"/>
  <c r="AW97" i="6" s="1"/>
  <c r="AW98" i="6" s="1"/>
  <c r="AW99" i="6" s="1"/>
  <c r="AW100" i="6" s="1"/>
  <c r="AW101" i="6" s="1"/>
  <c r="AW102" i="6" s="1"/>
  <c r="AW103" i="6" s="1"/>
  <c r="AW104" i="6" s="1"/>
  <c r="AW105" i="6" s="1"/>
  <c r="AW106" i="6" s="1"/>
  <c r="AW107" i="6" s="1"/>
  <c r="AW108" i="6" s="1"/>
  <c r="AW109" i="6" s="1"/>
  <c r="AW110" i="6" s="1"/>
  <c r="AW111" i="6" s="1"/>
  <c r="AW112" i="6" s="1"/>
  <c r="AW113" i="6" s="1"/>
  <c r="AW114" i="6" s="1"/>
  <c r="AW115" i="6" s="1"/>
  <c r="AW116" i="6" s="1"/>
  <c r="AW117" i="6" s="1"/>
  <c r="AW118" i="6" s="1"/>
  <c r="AW119" i="6" s="1"/>
  <c r="AW120" i="6" s="1"/>
  <c r="AW121" i="6" s="1"/>
  <c r="AW122" i="6" s="1"/>
  <c r="AW123" i="6" s="1"/>
  <c r="AW124" i="6" s="1"/>
  <c r="AW125" i="6" s="1"/>
  <c r="AW126" i="6" s="1"/>
  <c r="AW127" i="6" s="1"/>
  <c r="AW128" i="6" s="1"/>
  <c r="AW129" i="6" s="1"/>
  <c r="AW130" i="6" s="1"/>
  <c r="AW131" i="6" s="1"/>
  <c r="AW132" i="6" s="1"/>
  <c r="AW133" i="6" s="1"/>
  <c r="AW134" i="6" s="1"/>
  <c r="AW135" i="6" s="1"/>
  <c r="AW136" i="6" s="1"/>
  <c r="AW137" i="6" s="1"/>
  <c r="AW138" i="6" s="1"/>
  <c r="AW139" i="6" s="1"/>
  <c r="AW140" i="6" s="1"/>
  <c r="AW141" i="6" s="1"/>
  <c r="AW142" i="6" s="1"/>
  <c r="AW143" i="6" s="1"/>
  <c r="AW144" i="6" s="1"/>
  <c r="AW145" i="6" s="1"/>
  <c r="AW146" i="6" s="1"/>
  <c r="AW147" i="6" s="1"/>
  <c r="AW148" i="6" s="1"/>
  <c r="AW149" i="6" s="1"/>
  <c r="AW150" i="6" s="1"/>
  <c r="AW151" i="6" s="1"/>
  <c r="AW152" i="6" s="1"/>
  <c r="AW153" i="6" s="1"/>
  <c r="AW154" i="6" s="1"/>
  <c r="AW155" i="6" s="1"/>
  <c r="AW156" i="6" s="1"/>
  <c r="AW157" i="6" s="1"/>
  <c r="AW158" i="6" s="1"/>
  <c r="AW159" i="6" s="1"/>
  <c r="AW160" i="6" s="1"/>
  <c r="AW161" i="6" s="1"/>
  <c r="AW162" i="6" s="1"/>
  <c r="AW163" i="6" s="1"/>
  <c r="AW164" i="6" s="1"/>
  <c r="AW165" i="6" s="1"/>
  <c r="AW166" i="6" s="1"/>
  <c r="AW167" i="6" s="1"/>
  <c r="AW168" i="6" s="1"/>
  <c r="AW169" i="6" s="1"/>
  <c r="AW170" i="6" s="1"/>
  <c r="AW171" i="6" s="1"/>
  <c r="AW172" i="6" s="1"/>
  <c r="AW173" i="6" s="1"/>
  <c r="AW174" i="6" s="1"/>
  <c r="AW175" i="6" s="1"/>
  <c r="AW176" i="6" s="1"/>
  <c r="AW177" i="6" s="1"/>
  <c r="AW178" i="6" s="1"/>
  <c r="AW179" i="6" s="1"/>
  <c r="AW180" i="6" s="1"/>
  <c r="AW181" i="6" s="1"/>
  <c r="AW182" i="6" s="1"/>
  <c r="AW183" i="6" s="1"/>
  <c r="AW184" i="6" s="1"/>
  <c r="AW185" i="6" s="1"/>
  <c r="AW186" i="6" s="1"/>
  <c r="AW187" i="6" s="1"/>
  <c r="AW188" i="6" s="1"/>
  <c r="AW189" i="6" s="1"/>
  <c r="AW190" i="6" s="1"/>
  <c r="AW191" i="6" s="1"/>
  <c r="AW192" i="6" s="1"/>
  <c r="AW193" i="6" s="1"/>
  <c r="AW194" i="6" s="1"/>
  <c r="AW195" i="6" s="1"/>
  <c r="AW196" i="6" s="1"/>
  <c r="AW197" i="6" s="1"/>
  <c r="AW198" i="6" s="1"/>
  <c r="AW199" i="6" s="1"/>
  <c r="AW200" i="6" s="1"/>
  <c r="AW201" i="6" s="1"/>
  <c r="AW202" i="6" s="1"/>
  <c r="AW203" i="6" s="1"/>
  <c r="AW204" i="6" s="1"/>
  <c r="AW205" i="6" s="1"/>
  <c r="AW206" i="6" s="1"/>
  <c r="AW207" i="6" s="1"/>
  <c r="AW208" i="6" s="1"/>
  <c r="AW209" i="6" s="1"/>
  <c r="AW210" i="6" s="1"/>
  <c r="AW211" i="6" s="1"/>
  <c r="AW212" i="6" s="1"/>
  <c r="AW213" i="6" s="1"/>
  <c r="AW214" i="6" s="1"/>
  <c r="AW215" i="6" s="1"/>
  <c r="AW216" i="6" s="1"/>
  <c r="AW217" i="6" s="1"/>
  <c r="AW218" i="6" s="1"/>
  <c r="AW219" i="6" s="1"/>
  <c r="AW220" i="6" s="1"/>
  <c r="AW221" i="6" s="1"/>
  <c r="AW222" i="6" s="1"/>
  <c r="AW223" i="6" s="1"/>
  <c r="AW224" i="6" s="1"/>
  <c r="AW225" i="6" s="1"/>
  <c r="AW226" i="6" s="1"/>
  <c r="AW227" i="6" s="1"/>
  <c r="AW228" i="6" s="1"/>
  <c r="AW229" i="6" s="1"/>
  <c r="AW230" i="6" s="1"/>
  <c r="AW231" i="6" s="1"/>
  <c r="AW232" i="6" s="1"/>
  <c r="AW233" i="6" s="1"/>
  <c r="AW234" i="6" s="1"/>
  <c r="AW235" i="6" s="1"/>
  <c r="AW236" i="6" s="1"/>
  <c r="AW237" i="6" s="1"/>
  <c r="AW238" i="6" s="1"/>
  <c r="AW239" i="6" s="1"/>
  <c r="AW240" i="6" s="1"/>
  <c r="AW241" i="6" s="1"/>
  <c r="AW242" i="6" s="1"/>
  <c r="AW243" i="6" s="1"/>
  <c r="AW244" i="6" s="1"/>
  <c r="AW245" i="6" s="1"/>
  <c r="AW246" i="6" s="1"/>
  <c r="AW247" i="6" s="1"/>
  <c r="AW248" i="6" s="1"/>
  <c r="AW249" i="6" s="1"/>
  <c r="AW250" i="6" s="1"/>
  <c r="AW251" i="6" s="1"/>
  <c r="AW252" i="6" s="1"/>
  <c r="AW253" i="6" s="1"/>
  <c r="AW254" i="6" s="1"/>
  <c r="AW255" i="6" s="1"/>
  <c r="AX4" i="6"/>
  <c r="AX5" i="6" s="1"/>
  <c r="AX6" i="6" s="1"/>
  <c r="AX7" i="6" s="1"/>
  <c r="AX8" i="6" s="1"/>
  <c r="AX9" i="6" s="1"/>
  <c r="AX10" i="6" s="1"/>
  <c r="AX11" i="6" s="1"/>
  <c r="AX12" i="6" s="1"/>
  <c r="AX13" i="6" s="1"/>
  <c r="AX14" i="6" s="1"/>
  <c r="AX15" i="6" s="1"/>
  <c r="AX16" i="6" s="1"/>
  <c r="AX17" i="6" s="1"/>
  <c r="AX18" i="6" s="1"/>
  <c r="AX19" i="6" s="1"/>
  <c r="AX20" i="6" s="1"/>
  <c r="AX21" i="6" s="1"/>
  <c r="AX22" i="6" s="1"/>
  <c r="AX23" i="6" s="1"/>
  <c r="AX24" i="6" s="1"/>
  <c r="AX25" i="6" s="1"/>
  <c r="AX26" i="6" s="1"/>
  <c r="AX27" i="6" s="1"/>
  <c r="AX28" i="6" s="1"/>
  <c r="AX29" i="6" s="1"/>
  <c r="AX30" i="6" s="1"/>
  <c r="AX31" i="6" s="1"/>
  <c r="AX32" i="6" s="1"/>
  <c r="AX33" i="6" s="1"/>
  <c r="AX34" i="6" s="1"/>
  <c r="AX35" i="6" s="1"/>
  <c r="AX36" i="6" s="1"/>
  <c r="AX37" i="6" s="1"/>
  <c r="AX38" i="6" s="1"/>
  <c r="AX39" i="6" s="1"/>
  <c r="AX40" i="6" s="1"/>
  <c r="AX41" i="6" s="1"/>
  <c r="AX42" i="6" s="1"/>
  <c r="AX43" i="6" s="1"/>
  <c r="AX44" i="6" s="1"/>
  <c r="AX45" i="6" s="1"/>
  <c r="AX46" i="6" s="1"/>
  <c r="AX47" i="6" s="1"/>
  <c r="AX48" i="6" s="1"/>
  <c r="AX49" i="6" s="1"/>
  <c r="AX50" i="6" s="1"/>
  <c r="AX51" i="6" s="1"/>
  <c r="AX52" i="6" s="1"/>
  <c r="AX53" i="6" s="1"/>
  <c r="AX54" i="6" s="1"/>
  <c r="AX55" i="6" s="1"/>
  <c r="AX56" i="6" s="1"/>
  <c r="AX57" i="6" s="1"/>
  <c r="AX58" i="6" s="1"/>
  <c r="AX59" i="6" s="1"/>
  <c r="AX60" i="6" s="1"/>
  <c r="AX61" i="6" s="1"/>
  <c r="AX62" i="6" s="1"/>
  <c r="AX63" i="6" s="1"/>
  <c r="AX64" i="6" s="1"/>
  <c r="AX65" i="6" s="1"/>
  <c r="AX66" i="6" s="1"/>
  <c r="AX67" i="6" s="1"/>
  <c r="AX68" i="6" s="1"/>
  <c r="AX69" i="6" s="1"/>
  <c r="AX70" i="6" s="1"/>
  <c r="AX71" i="6" s="1"/>
  <c r="AX72" i="6" s="1"/>
  <c r="AX73" i="6" s="1"/>
  <c r="AX74" i="6" s="1"/>
  <c r="AX75" i="6" s="1"/>
  <c r="AX76" i="6" s="1"/>
  <c r="AX77" i="6" s="1"/>
  <c r="AX78" i="6" s="1"/>
  <c r="AX79" i="6" s="1"/>
  <c r="AX80" i="6" s="1"/>
  <c r="AX81" i="6" s="1"/>
  <c r="AX82" i="6" s="1"/>
  <c r="AX83" i="6" s="1"/>
  <c r="AX84" i="6" s="1"/>
  <c r="AX85" i="6" s="1"/>
  <c r="AX86" i="6" s="1"/>
  <c r="AX87" i="6" s="1"/>
  <c r="AX88" i="6" s="1"/>
  <c r="AX89" i="6" s="1"/>
  <c r="AX90" i="6" s="1"/>
  <c r="AX91" i="6" s="1"/>
  <c r="AX92" i="6" s="1"/>
  <c r="AX93" i="6" s="1"/>
  <c r="AX94" i="6" s="1"/>
  <c r="AX95" i="6" s="1"/>
  <c r="AX96" i="6" s="1"/>
  <c r="AX97" i="6" s="1"/>
  <c r="AX98" i="6" s="1"/>
  <c r="AX99" i="6" s="1"/>
  <c r="AX100" i="6" s="1"/>
  <c r="AX101" i="6" s="1"/>
  <c r="AX102" i="6" s="1"/>
  <c r="AX103" i="6" s="1"/>
  <c r="AX104" i="6" s="1"/>
  <c r="AX105" i="6" s="1"/>
  <c r="AX106" i="6" s="1"/>
  <c r="AX107" i="6" s="1"/>
  <c r="AX108" i="6" s="1"/>
  <c r="AX109" i="6" s="1"/>
  <c r="AX110" i="6" s="1"/>
  <c r="AX111" i="6" s="1"/>
  <c r="AX112" i="6" s="1"/>
  <c r="AX113" i="6" s="1"/>
  <c r="AX114" i="6" s="1"/>
  <c r="AX115" i="6" s="1"/>
  <c r="AX116" i="6" s="1"/>
  <c r="AX117" i="6" s="1"/>
  <c r="AX118" i="6" s="1"/>
  <c r="AX119" i="6" s="1"/>
  <c r="AX120" i="6" s="1"/>
  <c r="AX121" i="6" s="1"/>
  <c r="AX122" i="6" s="1"/>
  <c r="AX123" i="6" s="1"/>
  <c r="AX124" i="6" s="1"/>
  <c r="AX125" i="6" s="1"/>
  <c r="AX126" i="6" s="1"/>
  <c r="AX127" i="6" s="1"/>
  <c r="AX128" i="6" s="1"/>
  <c r="AX129" i="6" s="1"/>
  <c r="AX130" i="6" s="1"/>
  <c r="AX131" i="6" s="1"/>
  <c r="AX132" i="6" s="1"/>
  <c r="AX133" i="6" s="1"/>
  <c r="AX134" i="6" s="1"/>
  <c r="AX135" i="6" s="1"/>
  <c r="AX136" i="6" s="1"/>
  <c r="AX137" i="6" s="1"/>
  <c r="AX138" i="6" s="1"/>
  <c r="AX139" i="6" s="1"/>
  <c r="AX140" i="6" s="1"/>
  <c r="AX141" i="6" s="1"/>
  <c r="AX142" i="6" s="1"/>
  <c r="AX143" i="6" s="1"/>
  <c r="AX144" i="6" s="1"/>
  <c r="AX145" i="6" s="1"/>
  <c r="AX146" i="6" s="1"/>
  <c r="AX147" i="6" s="1"/>
  <c r="AX148" i="6" s="1"/>
  <c r="AX149" i="6" s="1"/>
  <c r="AX150" i="6" s="1"/>
  <c r="AX151" i="6" s="1"/>
  <c r="AX152" i="6" s="1"/>
  <c r="AX153" i="6" s="1"/>
  <c r="AX154" i="6" s="1"/>
  <c r="AX155" i="6" s="1"/>
  <c r="AX156" i="6" s="1"/>
  <c r="AX157" i="6" s="1"/>
  <c r="AX158" i="6" s="1"/>
  <c r="AX159" i="6" s="1"/>
  <c r="AX160" i="6" s="1"/>
  <c r="AX161" i="6" s="1"/>
  <c r="AX162" i="6" s="1"/>
  <c r="AX163" i="6" s="1"/>
  <c r="AX164" i="6" s="1"/>
  <c r="AX165" i="6" s="1"/>
  <c r="AX166" i="6" s="1"/>
  <c r="AX167" i="6" s="1"/>
  <c r="AX168" i="6" s="1"/>
  <c r="AX169" i="6" s="1"/>
  <c r="AX170" i="6" s="1"/>
  <c r="AX171" i="6" s="1"/>
  <c r="AX172" i="6" s="1"/>
  <c r="AX173" i="6" s="1"/>
  <c r="AX174" i="6" s="1"/>
  <c r="AX175" i="6" s="1"/>
  <c r="AX176" i="6" s="1"/>
  <c r="AX177" i="6" s="1"/>
  <c r="AX178" i="6" s="1"/>
  <c r="AX179" i="6" s="1"/>
  <c r="AX180" i="6" s="1"/>
  <c r="AX181" i="6" s="1"/>
  <c r="AX182" i="6" s="1"/>
  <c r="AX183" i="6" s="1"/>
  <c r="AX184" i="6" s="1"/>
  <c r="AX185" i="6" s="1"/>
  <c r="AX186" i="6" s="1"/>
  <c r="AX187" i="6" s="1"/>
  <c r="AX188" i="6" s="1"/>
  <c r="AX189" i="6" s="1"/>
  <c r="AX190" i="6" s="1"/>
  <c r="AX191" i="6" s="1"/>
  <c r="AX192" i="6" s="1"/>
  <c r="AX193" i="6" s="1"/>
  <c r="AX194" i="6" s="1"/>
  <c r="AX195" i="6" s="1"/>
  <c r="AX196" i="6" s="1"/>
  <c r="AX197" i="6" s="1"/>
  <c r="AX198" i="6" s="1"/>
  <c r="AX199" i="6" s="1"/>
  <c r="AX200" i="6" s="1"/>
  <c r="AX201" i="6" s="1"/>
  <c r="AX202" i="6" s="1"/>
  <c r="AX203" i="6" s="1"/>
  <c r="AX204" i="6" s="1"/>
  <c r="AX205" i="6" s="1"/>
  <c r="AX206" i="6" s="1"/>
  <c r="AX207" i="6" s="1"/>
  <c r="AX208" i="6" s="1"/>
  <c r="AX209" i="6" s="1"/>
  <c r="AX210" i="6" s="1"/>
  <c r="AX211" i="6" s="1"/>
  <c r="AX212" i="6" s="1"/>
  <c r="AX213" i="6" s="1"/>
  <c r="AX214" i="6" s="1"/>
  <c r="AX215" i="6" s="1"/>
  <c r="AX216" i="6" s="1"/>
  <c r="AX217" i="6" s="1"/>
  <c r="AX218" i="6" s="1"/>
  <c r="AX219" i="6" s="1"/>
  <c r="AX220" i="6" s="1"/>
  <c r="AX221" i="6" s="1"/>
  <c r="AX222" i="6" s="1"/>
  <c r="AX223" i="6" s="1"/>
  <c r="AX224" i="6" s="1"/>
  <c r="AX225" i="6" s="1"/>
  <c r="AX226" i="6" s="1"/>
  <c r="AX227" i="6" s="1"/>
  <c r="AX228" i="6" s="1"/>
  <c r="AX229" i="6" s="1"/>
  <c r="AX230" i="6" s="1"/>
  <c r="AX231" i="6" s="1"/>
  <c r="AX232" i="6" s="1"/>
  <c r="AX233" i="6" s="1"/>
  <c r="AX234" i="6" s="1"/>
  <c r="AX235" i="6" s="1"/>
  <c r="AX236" i="6" s="1"/>
  <c r="AX237" i="6" s="1"/>
  <c r="AX238" i="6" s="1"/>
  <c r="AX239" i="6" s="1"/>
  <c r="AX240" i="6" s="1"/>
  <c r="AX241" i="6" s="1"/>
  <c r="AX242" i="6" s="1"/>
  <c r="AX243" i="6" s="1"/>
  <c r="AX244" i="6" s="1"/>
  <c r="AX245" i="6" s="1"/>
  <c r="AX246" i="6" s="1"/>
  <c r="AX247" i="6" s="1"/>
  <c r="AX248" i="6" s="1"/>
  <c r="AX249" i="6" s="1"/>
  <c r="AX250" i="6" s="1"/>
  <c r="AX251" i="6" s="1"/>
  <c r="AX252" i="6" s="1"/>
  <c r="AX253" i="6" s="1"/>
  <c r="AX254" i="6" s="1"/>
  <c r="AX255" i="6" s="1"/>
  <c r="AY4" i="6"/>
  <c r="AZ4" i="6"/>
  <c r="BA4" i="6"/>
  <c r="BA5" i="6" s="1"/>
  <c r="BA6" i="6" s="1"/>
  <c r="BA7" i="6" s="1"/>
  <c r="BA8" i="6" s="1"/>
  <c r="BA9" i="6" s="1"/>
  <c r="BA10" i="6" s="1"/>
  <c r="BA11" i="6" s="1"/>
  <c r="BA12" i="6" s="1"/>
  <c r="BA13" i="6" s="1"/>
  <c r="BA14" i="6" s="1"/>
  <c r="BA15" i="6" s="1"/>
  <c r="BA16" i="6" s="1"/>
  <c r="BA17" i="6" s="1"/>
  <c r="BA18" i="6" s="1"/>
  <c r="BA19" i="6" s="1"/>
  <c r="BA20" i="6" s="1"/>
  <c r="BA21" i="6" s="1"/>
  <c r="BA22" i="6" s="1"/>
  <c r="BA23" i="6" s="1"/>
  <c r="BA24" i="6" s="1"/>
  <c r="BA25" i="6" s="1"/>
  <c r="BA26" i="6" s="1"/>
  <c r="BA27" i="6" s="1"/>
  <c r="BA28" i="6" s="1"/>
  <c r="BA29" i="6" s="1"/>
  <c r="BA30" i="6" s="1"/>
  <c r="BA31" i="6" s="1"/>
  <c r="BA32" i="6" s="1"/>
  <c r="BA33" i="6" s="1"/>
  <c r="BA34" i="6" s="1"/>
  <c r="BA35" i="6" s="1"/>
  <c r="BA36" i="6" s="1"/>
  <c r="BA37" i="6" s="1"/>
  <c r="BA38" i="6" s="1"/>
  <c r="BA39" i="6" s="1"/>
  <c r="BA40" i="6" s="1"/>
  <c r="BA41" i="6" s="1"/>
  <c r="BA42" i="6" s="1"/>
  <c r="BA43" i="6" s="1"/>
  <c r="BA44" i="6" s="1"/>
  <c r="BA45" i="6" s="1"/>
  <c r="BA46" i="6" s="1"/>
  <c r="BA47" i="6" s="1"/>
  <c r="BA48" i="6" s="1"/>
  <c r="BA49" i="6" s="1"/>
  <c r="BA50" i="6" s="1"/>
  <c r="BA51" i="6" s="1"/>
  <c r="BA52" i="6" s="1"/>
  <c r="BA53" i="6" s="1"/>
  <c r="BA54" i="6" s="1"/>
  <c r="BA55" i="6" s="1"/>
  <c r="BA56" i="6" s="1"/>
  <c r="BA57" i="6" s="1"/>
  <c r="BA58" i="6" s="1"/>
  <c r="BA59" i="6" s="1"/>
  <c r="BA60" i="6" s="1"/>
  <c r="BA61" i="6" s="1"/>
  <c r="BA62" i="6" s="1"/>
  <c r="BA63" i="6" s="1"/>
  <c r="BA64" i="6" s="1"/>
  <c r="BA65" i="6" s="1"/>
  <c r="BA66" i="6" s="1"/>
  <c r="BA67" i="6" s="1"/>
  <c r="BA68" i="6" s="1"/>
  <c r="BA69" i="6" s="1"/>
  <c r="BA70" i="6" s="1"/>
  <c r="BA71" i="6" s="1"/>
  <c r="BA72" i="6" s="1"/>
  <c r="BA73" i="6" s="1"/>
  <c r="BA74" i="6" s="1"/>
  <c r="BA75" i="6" s="1"/>
  <c r="BA76" i="6" s="1"/>
  <c r="BA77" i="6" s="1"/>
  <c r="BA78" i="6" s="1"/>
  <c r="BA79" i="6" s="1"/>
  <c r="BA80" i="6" s="1"/>
  <c r="BA81" i="6" s="1"/>
  <c r="BA82" i="6" s="1"/>
  <c r="BA83" i="6" s="1"/>
  <c r="BA84" i="6" s="1"/>
  <c r="BA85" i="6" s="1"/>
  <c r="BA86" i="6" s="1"/>
  <c r="BA87" i="6" s="1"/>
  <c r="BA88" i="6" s="1"/>
  <c r="BA89" i="6" s="1"/>
  <c r="BA90" i="6" s="1"/>
  <c r="BA91" i="6" s="1"/>
  <c r="BA92" i="6" s="1"/>
  <c r="BA93" i="6" s="1"/>
  <c r="BA94" i="6" s="1"/>
  <c r="BA95" i="6" s="1"/>
  <c r="BA96" i="6" s="1"/>
  <c r="BA97" i="6" s="1"/>
  <c r="BA98" i="6" s="1"/>
  <c r="BA99" i="6" s="1"/>
  <c r="BA100" i="6" s="1"/>
  <c r="BA101" i="6" s="1"/>
  <c r="BA102" i="6" s="1"/>
  <c r="BA103" i="6" s="1"/>
  <c r="BA104" i="6" s="1"/>
  <c r="BA105" i="6" s="1"/>
  <c r="BA106" i="6" s="1"/>
  <c r="BA107" i="6" s="1"/>
  <c r="BA108" i="6" s="1"/>
  <c r="BA109" i="6" s="1"/>
  <c r="BA110" i="6" s="1"/>
  <c r="BA111" i="6" s="1"/>
  <c r="BA112" i="6" s="1"/>
  <c r="BA113" i="6" s="1"/>
  <c r="BA114" i="6" s="1"/>
  <c r="BA115" i="6" s="1"/>
  <c r="BA116" i="6" s="1"/>
  <c r="BA117" i="6" s="1"/>
  <c r="BA118" i="6" s="1"/>
  <c r="BA119" i="6" s="1"/>
  <c r="BA120" i="6" s="1"/>
  <c r="BA121" i="6" s="1"/>
  <c r="BA122" i="6" s="1"/>
  <c r="BA123" i="6" s="1"/>
  <c r="BA124" i="6" s="1"/>
  <c r="BA125" i="6" s="1"/>
  <c r="BA126" i="6" s="1"/>
  <c r="BA127" i="6" s="1"/>
  <c r="BA128" i="6" s="1"/>
  <c r="BA129" i="6" s="1"/>
  <c r="BA130" i="6" s="1"/>
  <c r="BA131" i="6" s="1"/>
  <c r="BA132" i="6" s="1"/>
  <c r="BA133" i="6" s="1"/>
  <c r="BA134" i="6" s="1"/>
  <c r="BA135" i="6" s="1"/>
  <c r="BA136" i="6" s="1"/>
  <c r="BA137" i="6" s="1"/>
  <c r="BA138" i="6" s="1"/>
  <c r="BA139" i="6" s="1"/>
  <c r="BA140" i="6" s="1"/>
  <c r="BA141" i="6" s="1"/>
  <c r="BA142" i="6" s="1"/>
  <c r="BA143" i="6" s="1"/>
  <c r="BA144" i="6" s="1"/>
  <c r="BA145" i="6" s="1"/>
  <c r="BA146" i="6" s="1"/>
  <c r="BA147" i="6" s="1"/>
  <c r="BA148" i="6" s="1"/>
  <c r="BA149" i="6" s="1"/>
  <c r="BA150" i="6" s="1"/>
  <c r="BA151" i="6" s="1"/>
  <c r="BA152" i="6" s="1"/>
  <c r="BA153" i="6" s="1"/>
  <c r="BA154" i="6" s="1"/>
  <c r="BA155" i="6" s="1"/>
  <c r="BA156" i="6" s="1"/>
  <c r="BA157" i="6" s="1"/>
  <c r="BA158" i="6" s="1"/>
  <c r="BA159" i="6" s="1"/>
  <c r="BA160" i="6" s="1"/>
  <c r="BA161" i="6" s="1"/>
  <c r="BA162" i="6" s="1"/>
  <c r="BA163" i="6" s="1"/>
  <c r="BA164" i="6" s="1"/>
  <c r="BA165" i="6" s="1"/>
  <c r="BA166" i="6" s="1"/>
  <c r="BA167" i="6" s="1"/>
  <c r="BA168" i="6" s="1"/>
  <c r="BA169" i="6" s="1"/>
  <c r="BA170" i="6" s="1"/>
  <c r="BA171" i="6" s="1"/>
  <c r="BA172" i="6" s="1"/>
  <c r="BA173" i="6" s="1"/>
  <c r="BA174" i="6" s="1"/>
  <c r="BA175" i="6" s="1"/>
  <c r="BA176" i="6" s="1"/>
  <c r="BA177" i="6" s="1"/>
  <c r="BA178" i="6" s="1"/>
  <c r="BA179" i="6" s="1"/>
  <c r="BA180" i="6" s="1"/>
  <c r="BA181" i="6" s="1"/>
  <c r="BA182" i="6" s="1"/>
  <c r="BA183" i="6" s="1"/>
  <c r="BA184" i="6" s="1"/>
  <c r="BA185" i="6" s="1"/>
  <c r="BA186" i="6" s="1"/>
  <c r="BA187" i="6" s="1"/>
  <c r="BA188" i="6" s="1"/>
  <c r="BA189" i="6" s="1"/>
  <c r="BA190" i="6" s="1"/>
  <c r="BA191" i="6" s="1"/>
  <c r="BA192" i="6" s="1"/>
  <c r="BA193" i="6" s="1"/>
  <c r="BA194" i="6" s="1"/>
  <c r="BA195" i="6" s="1"/>
  <c r="BA196" i="6" s="1"/>
  <c r="BA197" i="6" s="1"/>
  <c r="BA198" i="6" s="1"/>
  <c r="BA199" i="6" s="1"/>
  <c r="BA200" i="6" s="1"/>
  <c r="BA201" i="6" s="1"/>
  <c r="BA202" i="6" s="1"/>
  <c r="BA203" i="6" s="1"/>
  <c r="BA204" i="6" s="1"/>
  <c r="BA205" i="6" s="1"/>
  <c r="BA206" i="6" s="1"/>
  <c r="BA207" i="6" s="1"/>
  <c r="BA208" i="6" s="1"/>
  <c r="BA209" i="6" s="1"/>
  <c r="BA210" i="6" s="1"/>
  <c r="BA211" i="6" s="1"/>
  <c r="BA212" i="6" s="1"/>
  <c r="BA213" i="6" s="1"/>
  <c r="BA214" i="6" s="1"/>
  <c r="BA215" i="6" s="1"/>
  <c r="BA216" i="6" s="1"/>
  <c r="BA217" i="6" s="1"/>
  <c r="BA218" i="6" s="1"/>
  <c r="BA219" i="6" s="1"/>
  <c r="BA220" i="6" s="1"/>
  <c r="BA221" i="6" s="1"/>
  <c r="BA222" i="6" s="1"/>
  <c r="BA223" i="6" s="1"/>
  <c r="BA224" i="6" s="1"/>
  <c r="BA225" i="6" s="1"/>
  <c r="BA226" i="6" s="1"/>
  <c r="BA227" i="6" s="1"/>
  <c r="BA228" i="6" s="1"/>
  <c r="BA229" i="6" s="1"/>
  <c r="BA230" i="6" s="1"/>
  <c r="BA231" i="6" s="1"/>
  <c r="BA232" i="6" s="1"/>
  <c r="BA233" i="6" s="1"/>
  <c r="BA234" i="6" s="1"/>
  <c r="BA235" i="6" s="1"/>
  <c r="BA236" i="6" s="1"/>
  <c r="BA237" i="6" s="1"/>
  <c r="BA238" i="6" s="1"/>
  <c r="BA239" i="6" s="1"/>
  <c r="BA240" i="6" s="1"/>
  <c r="BA241" i="6" s="1"/>
  <c r="BA242" i="6" s="1"/>
  <c r="BA243" i="6" s="1"/>
  <c r="BA244" i="6" s="1"/>
  <c r="BA245" i="6" s="1"/>
  <c r="BA246" i="6" s="1"/>
  <c r="BA247" i="6" s="1"/>
  <c r="BA248" i="6" s="1"/>
  <c r="BA249" i="6" s="1"/>
  <c r="BA250" i="6" s="1"/>
  <c r="BA251" i="6" s="1"/>
  <c r="BA252" i="6" s="1"/>
  <c r="BA253" i="6" s="1"/>
  <c r="BA254" i="6" s="1"/>
  <c r="BA255" i="6" s="1"/>
  <c r="BB4" i="6"/>
  <c r="BB5" i="6" s="1"/>
  <c r="BB6" i="6" s="1"/>
  <c r="BB7" i="6" s="1"/>
  <c r="BB8" i="6" s="1"/>
  <c r="BB9" i="6" s="1"/>
  <c r="BB10" i="6" s="1"/>
  <c r="BB11" i="6" s="1"/>
  <c r="BB12" i="6" s="1"/>
  <c r="BB13" i="6" s="1"/>
  <c r="BB14" i="6" s="1"/>
  <c r="BB15" i="6" s="1"/>
  <c r="BB16" i="6" s="1"/>
  <c r="BB17" i="6" s="1"/>
  <c r="BB18" i="6" s="1"/>
  <c r="BB19" i="6" s="1"/>
  <c r="BB20" i="6" s="1"/>
  <c r="BB21" i="6" s="1"/>
  <c r="BB22" i="6" s="1"/>
  <c r="BB23" i="6" s="1"/>
  <c r="BB24" i="6" s="1"/>
  <c r="BB25" i="6" s="1"/>
  <c r="BB26" i="6" s="1"/>
  <c r="BB27" i="6" s="1"/>
  <c r="BB28" i="6" s="1"/>
  <c r="BB29" i="6" s="1"/>
  <c r="BB30" i="6" s="1"/>
  <c r="BB31" i="6" s="1"/>
  <c r="BB32" i="6" s="1"/>
  <c r="BB33" i="6" s="1"/>
  <c r="BB34" i="6" s="1"/>
  <c r="BB35" i="6" s="1"/>
  <c r="BB36" i="6" s="1"/>
  <c r="BB37" i="6" s="1"/>
  <c r="BB38" i="6" s="1"/>
  <c r="BB39" i="6" s="1"/>
  <c r="BB40" i="6" s="1"/>
  <c r="BB41" i="6" s="1"/>
  <c r="BB42" i="6" s="1"/>
  <c r="BB43" i="6" s="1"/>
  <c r="BB44" i="6" s="1"/>
  <c r="BB45" i="6" s="1"/>
  <c r="BB46" i="6" s="1"/>
  <c r="BB47" i="6" s="1"/>
  <c r="BB48" i="6" s="1"/>
  <c r="BB49" i="6" s="1"/>
  <c r="BB50" i="6" s="1"/>
  <c r="BB51" i="6" s="1"/>
  <c r="BB52" i="6" s="1"/>
  <c r="BB53" i="6" s="1"/>
  <c r="BB54" i="6" s="1"/>
  <c r="BB55" i="6" s="1"/>
  <c r="BB56" i="6" s="1"/>
  <c r="BB57" i="6" s="1"/>
  <c r="BB58" i="6" s="1"/>
  <c r="BB59" i="6" s="1"/>
  <c r="BB60" i="6" s="1"/>
  <c r="BB61" i="6" s="1"/>
  <c r="BB62" i="6" s="1"/>
  <c r="BB63" i="6" s="1"/>
  <c r="BB64" i="6" s="1"/>
  <c r="BB65" i="6" s="1"/>
  <c r="BB66" i="6" s="1"/>
  <c r="BB67" i="6" s="1"/>
  <c r="BB68" i="6" s="1"/>
  <c r="BB69" i="6" s="1"/>
  <c r="BB70" i="6" s="1"/>
  <c r="BB71" i="6" s="1"/>
  <c r="BB72" i="6" s="1"/>
  <c r="BB73" i="6" s="1"/>
  <c r="BB74" i="6" s="1"/>
  <c r="BB75" i="6" s="1"/>
  <c r="BB76" i="6" s="1"/>
  <c r="BB77" i="6" s="1"/>
  <c r="BB78" i="6" s="1"/>
  <c r="BB79" i="6" s="1"/>
  <c r="BB80" i="6" s="1"/>
  <c r="BB81" i="6" s="1"/>
  <c r="BB82" i="6" s="1"/>
  <c r="BB83" i="6" s="1"/>
  <c r="BB84" i="6" s="1"/>
  <c r="BB85" i="6" s="1"/>
  <c r="BB86" i="6" s="1"/>
  <c r="BB87" i="6" s="1"/>
  <c r="BB88" i="6" s="1"/>
  <c r="BB89" i="6" s="1"/>
  <c r="BB90" i="6" s="1"/>
  <c r="BB91" i="6" s="1"/>
  <c r="BB92" i="6" s="1"/>
  <c r="BB93" i="6" s="1"/>
  <c r="BB94" i="6" s="1"/>
  <c r="BB95" i="6" s="1"/>
  <c r="BB96" i="6" s="1"/>
  <c r="BB97" i="6" s="1"/>
  <c r="BB98" i="6" s="1"/>
  <c r="BB99" i="6" s="1"/>
  <c r="BB100" i="6" s="1"/>
  <c r="BB101" i="6" s="1"/>
  <c r="BB102" i="6" s="1"/>
  <c r="BB103" i="6" s="1"/>
  <c r="BB104" i="6" s="1"/>
  <c r="BB105" i="6" s="1"/>
  <c r="BB106" i="6" s="1"/>
  <c r="BB107" i="6" s="1"/>
  <c r="BB108" i="6" s="1"/>
  <c r="BB109" i="6" s="1"/>
  <c r="BB110" i="6" s="1"/>
  <c r="BB111" i="6" s="1"/>
  <c r="BB112" i="6" s="1"/>
  <c r="BB113" i="6" s="1"/>
  <c r="BB114" i="6" s="1"/>
  <c r="BB115" i="6" s="1"/>
  <c r="BB116" i="6" s="1"/>
  <c r="BB117" i="6" s="1"/>
  <c r="BB118" i="6" s="1"/>
  <c r="BB119" i="6" s="1"/>
  <c r="BB120" i="6" s="1"/>
  <c r="BB121" i="6" s="1"/>
  <c r="BB122" i="6" s="1"/>
  <c r="BB123" i="6" s="1"/>
  <c r="BB124" i="6" s="1"/>
  <c r="BB125" i="6" s="1"/>
  <c r="BB126" i="6" s="1"/>
  <c r="BB127" i="6" s="1"/>
  <c r="BB128" i="6" s="1"/>
  <c r="BB129" i="6" s="1"/>
  <c r="BB130" i="6" s="1"/>
  <c r="BB131" i="6" s="1"/>
  <c r="BB132" i="6" s="1"/>
  <c r="BB133" i="6" s="1"/>
  <c r="BB134" i="6" s="1"/>
  <c r="BB135" i="6" s="1"/>
  <c r="BB136" i="6" s="1"/>
  <c r="BB137" i="6" s="1"/>
  <c r="BB138" i="6" s="1"/>
  <c r="BB139" i="6" s="1"/>
  <c r="BB140" i="6" s="1"/>
  <c r="BB141" i="6" s="1"/>
  <c r="BB142" i="6" s="1"/>
  <c r="BB143" i="6" s="1"/>
  <c r="BB144" i="6" s="1"/>
  <c r="BB145" i="6" s="1"/>
  <c r="BB146" i="6" s="1"/>
  <c r="BB147" i="6" s="1"/>
  <c r="BB148" i="6" s="1"/>
  <c r="BB149" i="6" s="1"/>
  <c r="BB150" i="6" s="1"/>
  <c r="BB151" i="6" s="1"/>
  <c r="BB152" i="6" s="1"/>
  <c r="BB153" i="6" s="1"/>
  <c r="BB154" i="6" s="1"/>
  <c r="BB155" i="6" s="1"/>
  <c r="BB156" i="6" s="1"/>
  <c r="BB157" i="6" s="1"/>
  <c r="BB158" i="6" s="1"/>
  <c r="BB159" i="6" s="1"/>
  <c r="BB160" i="6" s="1"/>
  <c r="BB161" i="6" s="1"/>
  <c r="BB162" i="6" s="1"/>
  <c r="BB163" i="6" s="1"/>
  <c r="BB164" i="6" s="1"/>
  <c r="BB165" i="6" s="1"/>
  <c r="BB166" i="6" s="1"/>
  <c r="BB167" i="6" s="1"/>
  <c r="BB168" i="6" s="1"/>
  <c r="BB169" i="6" s="1"/>
  <c r="BB170" i="6" s="1"/>
  <c r="BB171" i="6" s="1"/>
  <c r="BB172" i="6" s="1"/>
  <c r="BB173" i="6" s="1"/>
  <c r="BB174" i="6" s="1"/>
  <c r="BB175" i="6" s="1"/>
  <c r="BB176" i="6" s="1"/>
  <c r="BB177" i="6" s="1"/>
  <c r="BB178" i="6" s="1"/>
  <c r="BB179" i="6" s="1"/>
  <c r="BB180" i="6" s="1"/>
  <c r="BB181" i="6" s="1"/>
  <c r="BB182" i="6" s="1"/>
  <c r="BB183" i="6" s="1"/>
  <c r="BB184" i="6" s="1"/>
  <c r="BB185" i="6" s="1"/>
  <c r="BB186" i="6" s="1"/>
  <c r="BB187" i="6" s="1"/>
  <c r="BB188" i="6" s="1"/>
  <c r="BB189" i="6" s="1"/>
  <c r="BB190" i="6" s="1"/>
  <c r="BB191" i="6" s="1"/>
  <c r="BB192" i="6" s="1"/>
  <c r="BB193" i="6" s="1"/>
  <c r="BB194" i="6" s="1"/>
  <c r="BB195" i="6" s="1"/>
  <c r="BB196" i="6" s="1"/>
  <c r="BB197" i="6" s="1"/>
  <c r="BB198" i="6" s="1"/>
  <c r="BB199" i="6" s="1"/>
  <c r="BB200" i="6" s="1"/>
  <c r="BB201" i="6" s="1"/>
  <c r="BB202" i="6" s="1"/>
  <c r="BB203" i="6" s="1"/>
  <c r="BB204" i="6" s="1"/>
  <c r="BB205" i="6" s="1"/>
  <c r="BB206" i="6" s="1"/>
  <c r="BB207" i="6" s="1"/>
  <c r="BB208" i="6" s="1"/>
  <c r="BB209" i="6" s="1"/>
  <c r="BB210" i="6" s="1"/>
  <c r="BB211" i="6" s="1"/>
  <c r="BB212" i="6" s="1"/>
  <c r="BB213" i="6" s="1"/>
  <c r="BB214" i="6" s="1"/>
  <c r="BB215" i="6" s="1"/>
  <c r="BB216" i="6" s="1"/>
  <c r="BB217" i="6" s="1"/>
  <c r="BB218" i="6" s="1"/>
  <c r="BB219" i="6" s="1"/>
  <c r="BB220" i="6" s="1"/>
  <c r="BB221" i="6" s="1"/>
  <c r="BB222" i="6" s="1"/>
  <c r="BB223" i="6" s="1"/>
  <c r="BB224" i="6" s="1"/>
  <c r="BB225" i="6" s="1"/>
  <c r="BB226" i="6" s="1"/>
  <c r="BB227" i="6" s="1"/>
  <c r="BB228" i="6" s="1"/>
  <c r="BB229" i="6" s="1"/>
  <c r="BB230" i="6" s="1"/>
  <c r="BB231" i="6" s="1"/>
  <c r="BB232" i="6" s="1"/>
  <c r="BB233" i="6" s="1"/>
  <c r="BB234" i="6" s="1"/>
  <c r="BB235" i="6" s="1"/>
  <c r="BB236" i="6" s="1"/>
  <c r="BB237" i="6" s="1"/>
  <c r="BB238" i="6" s="1"/>
  <c r="BB239" i="6" s="1"/>
  <c r="BB240" i="6" s="1"/>
  <c r="BB241" i="6" s="1"/>
  <c r="BB242" i="6" s="1"/>
  <c r="BB243" i="6" s="1"/>
  <c r="BB244" i="6" s="1"/>
  <c r="BB245" i="6" s="1"/>
  <c r="BB246" i="6" s="1"/>
  <c r="BB247" i="6" s="1"/>
  <c r="BB248" i="6" s="1"/>
  <c r="BB249" i="6" s="1"/>
  <c r="BB250" i="6" s="1"/>
  <c r="BB251" i="6" s="1"/>
  <c r="BB252" i="6" s="1"/>
  <c r="BB253" i="6" s="1"/>
  <c r="BB254" i="6" s="1"/>
  <c r="BB255" i="6" s="1"/>
  <c r="BC4" i="6"/>
  <c r="BD4" i="6"/>
  <c r="BE4" i="6"/>
  <c r="BE5" i="6" s="1"/>
  <c r="BE6" i="6" s="1"/>
  <c r="BE7" i="6" s="1"/>
  <c r="BE8" i="6" s="1"/>
  <c r="BE9" i="6" s="1"/>
  <c r="BE10" i="6" s="1"/>
  <c r="BE11" i="6" s="1"/>
  <c r="BE12" i="6" s="1"/>
  <c r="BE13" i="6" s="1"/>
  <c r="BE14" i="6" s="1"/>
  <c r="BE15" i="6" s="1"/>
  <c r="BE16" i="6" s="1"/>
  <c r="BE17" i="6" s="1"/>
  <c r="BE18" i="6" s="1"/>
  <c r="BE19" i="6" s="1"/>
  <c r="BE20" i="6" s="1"/>
  <c r="BE21" i="6" s="1"/>
  <c r="BE22" i="6" s="1"/>
  <c r="BE23" i="6" s="1"/>
  <c r="BE24" i="6" s="1"/>
  <c r="BE25" i="6" s="1"/>
  <c r="BE26" i="6" s="1"/>
  <c r="BE27" i="6" s="1"/>
  <c r="BE28" i="6" s="1"/>
  <c r="BE29" i="6" s="1"/>
  <c r="BE30" i="6" s="1"/>
  <c r="BE31" i="6" s="1"/>
  <c r="BE32" i="6" s="1"/>
  <c r="BE33" i="6" s="1"/>
  <c r="BE34" i="6" s="1"/>
  <c r="BE35" i="6" s="1"/>
  <c r="BE36" i="6" s="1"/>
  <c r="BE37" i="6" s="1"/>
  <c r="BE38" i="6" s="1"/>
  <c r="BE39" i="6" s="1"/>
  <c r="BE40" i="6" s="1"/>
  <c r="BE41" i="6" s="1"/>
  <c r="BE42" i="6" s="1"/>
  <c r="BE43" i="6" s="1"/>
  <c r="BE44" i="6" s="1"/>
  <c r="BE45" i="6" s="1"/>
  <c r="BE46" i="6" s="1"/>
  <c r="BE47" i="6" s="1"/>
  <c r="BE48" i="6" s="1"/>
  <c r="BE49" i="6" s="1"/>
  <c r="BE50" i="6" s="1"/>
  <c r="BE51" i="6" s="1"/>
  <c r="BE52" i="6" s="1"/>
  <c r="BE53" i="6" s="1"/>
  <c r="BE54" i="6" s="1"/>
  <c r="BE55" i="6" s="1"/>
  <c r="BE56" i="6" s="1"/>
  <c r="BE57" i="6" s="1"/>
  <c r="BE58" i="6" s="1"/>
  <c r="BE59" i="6" s="1"/>
  <c r="BE60" i="6" s="1"/>
  <c r="BE61" i="6" s="1"/>
  <c r="BE62" i="6" s="1"/>
  <c r="BE63" i="6" s="1"/>
  <c r="BE64" i="6" s="1"/>
  <c r="BE65" i="6" s="1"/>
  <c r="BE66" i="6" s="1"/>
  <c r="BE67" i="6" s="1"/>
  <c r="BE68" i="6" s="1"/>
  <c r="BE69" i="6" s="1"/>
  <c r="BE70" i="6" s="1"/>
  <c r="BE71" i="6" s="1"/>
  <c r="BE72" i="6" s="1"/>
  <c r="BE73" i="6" s="1"/>
  <c r="BE74" i="6" s="1"/>
  <c r="BE75" i="6" s="1"/>
  <c r="BE76" i="6" s="1"/>
  <c r="BE77" i="6" s="1"/>
  <c r="BE78" i="6" s="1"/>
  <c r="BE79" i="6" s="1"/>
  <c r="BE80" i="6" s="1"/>
  <c r="BE81" i="6" s="1"/>
  <c r="BE82" i="6" s="1"/>
  <c r="BE83" i="6" s="1"/>
  <c r="BE84" i="6" s="1"/>
  <c r="BE85" i="6" s="1"/>
  <c r="BE86" i="6" s="1"/>
  <c r="BE87" i="6" s="1"/>
  <c r="BE88" i="6" s="1"/>
  <c r="BE89" i="6" s="1"/>
  <c r="BE90" i="6" s="1"/>
  <c r="BE91" i="6" s="1"/>
  <c r="BE92" i="6" s="1"/>
  <c r="BE93" i="6" s="1"/>
  <c r="BE94" i="6" s="1"/>
  <c r="BE95" i="6" s="1"/>
  <c r="BE96" i="6" s="1"/>
  <c r="BE97" i="6" s="1"/>
  <c r="BE98" i="6" s="1"/>
  <c r="BE99" i="6" s="1"/>
  <c r="BE100" i="6" s="1"/>
  <c r="BE101" i="6" s="1"/>
  <c r="BE102" i="6" s="1"/>
  <c r="BE103" i="6" s="1"/>
  <c r="BE104" i="6" s="1"/>
  <c r="BE105" i="6" s="1"/>
  <c r="BE106" i="6" s="1"/>
  <c r="BE107" i="6" s="1"/>
  <c r="BE108" i="6" s="1"/>
  <c r="BE109" i="6" s="1"/>
  <c r="BE110" i="6" s="1"/>
  <c r="BE111" i="6" s="1"/>
  <c r="BE112" i="6" s="1"/>
  <c r="BE113" i="6" s="1"/>
  <c r="BE114" i="6" s="1"/>
  <c r="BE115" i="6" s="1"/>
  <c r="BE116" i="6" s="1"/>
  <c r="BE117" i="6" s="1"/>
  <c r="BE118" i="6" s="1"/>
  <c r="BE119" i="6" s="1"/>
  <c r="BE120" i="6" s="1"/>
  <c r="BE121" i="6" s="1"/>
  <c r="BE122" i="6" s="1"/>
  <c r="BE123" i="6" s="1"/>
  <c r="BE124" i="6" s="1"/>
  <c r="BE125" i="6" s="1"/>
  <c r="BE126" i="6" s="1"/>
  <c r="BE127" i="6" s="1"/>
  <c r="BE128" i="6" s="1"/>
  <c r="BE129" i="6" s="1"/>
  <c r="BE130" i="6" s="1"/>
  <c r="BE131" i="6" s="1"/>
  <c r="BE132" i="6" s="1"/>
  <c r="BE133" i="6" s="1"/>
  <c r="BE134" i="6" s="1"/>
  <c r="BE135" i="6" s="1"/>
  <c r="BE136" i="6" s="1"/>
  <c r="BE137" i="6" s="1"/>
  <c r="BE138" i="6" s="1"/>
  <c r="BE139" i="6" s="1"/>
  <c r="BE140" i="6" s="1"/>
  <c r="BE141" i="6" s="1"/>
  <c r="BE142" i="6" s="1"/>
  <c r="BE143" i="6" s="1"/>
  <c r="BE144" i="6" s="1"/>
  <c r="BE145" i="6" s="1"/>
  <c r="BE146" i="6" s="1"/>
  <c r="BE147" i="6" s="1"/>
  <c r="BE148" i="6" s="1"/>
  <c r="BE149" i="6" s="1"/>
  <c r="BE150" i="6" s="1"/>
  <c r="BE151" i="6" s="1"/>
  <c r="BE152" i="6" s="1"/>
  <c r="BE153" i="6" s="1"/>
  <c r="BE154" i="6" s="1"/>
  <c r="BE155" i="6" s="1"/>
  <c r="BE156" i="6" s="1"/>
  <c r="BE157" i="6" s="1"/>
  <c r="BE158" i="6" s="1"/>
  <c r="BE159" i="6" s="1"/>
  <c r="BE160" i="6" s="1"/>
  <c r="BE161" i="6" s="1"/>
  <c r="BE162" i="6" s="1"/>
  <c r="BE163" i="6" s="1"/>
  <c r="BE164" i="6" s="1"/>
  <c r="BE165" i="6" s="1"/>
  <c r="BE166" i="6" s="1"/>
  <c r="BE167" i="6" s="1"/>
  <c r="BE168" i="6" s="1"/>
  <c r="BE169" i="6" s="1"/>
  <c r="BE170" i="6" s="1"/>
  <c r="BE171" i="6" s="1"/>
  <c r="BE172" i="6" s="1"/>
  <c r="BE173" i="6" s="1"/>
  <c r="BE174" i="6" s="1"/>
  <c r="BE175" i="6" s="1"/>
  <c r="BE176" i="6" s="1"/>
  <c r="BE177" i="6" s="1"/>
  <c r="BE178" i="6" s="1"/>
  <c r="BE179" i="6" s="1"/>
  <c r="BE180" i="6" s="1"/>
  <c r="BE181" i="6" s="1"/>
  <c r="BE182" i="6" s="1"/>
  <c r="BE183" i="6" s="1"/>
  <c r="BE184" i="6" s="1"/>
  <c r="BE185" i="6" s="1"/>
  <c r="BE186" i="6" s="1"/>
  <c r="BE187" i="6" s="1"/>
  <c r="BE188" i="6" s="1"/>
  <c r="BE189" i="6" s="1"/>
  <c r="BE190" i="6" s="1"/>
  <c r="BE191" i="6" s="1"/>
  <c r="BE192" i="6" s="1"/>
  <c r="BE193" i="6" s="1"/>
  <c r="BE194" i="6" s="1"/>
  <c r="BE195" i="6" s="1"/>
  <c r="BE196" i="6" s="1"/>
  <c r="BE197" i="6" s="1"/>
  <c r="BE198" i="6" s="1"/>
  <c r="BE199" i="6" s="1"/>
  <c r="BE200" i="6" s="1"/>
  <c r="BE201" i="6" s="1"/>
  <c r="BE202" i="6" s="1"/>
  <c r="BE203" i="6" s="1"/>
  <c r="BE204" i="6" s="1"/>
  <c r="BE205" i="6" s="1"/>
  <c r="BE206" i="6" s="1"/>
  <c r="BE207" i="6" s="1"/>
  <c r="BE208" i="6" s="1"/>
  <c r="BE209" i="6" s="1"/>
  <c r="BE210" i="6" s="1"/>
  <c r="BE211" i="6" s="1"/>
  <c r="BE212" i="6" s="1"/>
  <c r="BE213" i="6" s="1"/>
  <c r="BE214" i="6" s="1"/>
  <c r="BE215" i="6" s="1"/>
  <c r="BE216" i="6" s="1"/>
  <c r="BE217" i="6" s="1"/>
  <c r="BE218" i="6" s="1"/>
  <c r="BE219" i="6" s="1"/>
  <c r="BE220" i="6" s="1"/>
  <c r="BE221" i="6" s="1"/>
  <c r="BE222" i="6" s="1"/>
  <c r="BE223" i="6" s="1"/>
  <c r="BE224" i="6" s="1"/>
  <c r="BE225" i="6" s="1"/>
  <c r="BE226" i="6" s="1"/>
  <c r="BE227" i="6" s="1"/>
  <c r="BE228" i="6" s="1"/>
  <c r="BE229" i="6" s="1"/>
  <c r="BE230" i="6" s="1"/>
  <c r="BE231" i="6" s="1"/>
  <c r="BE232" i="6" s="1"/>
  <c r="BE233" i="6" s="1"/>
  <c r="BE234" i="6" s="1"/>
  <c r="BE235" i="6" s="1"/>
  <c r="BE236" i="6" s="1"/>
  <c r="BE237" i="6" s="1"/>
  <c r="BE238" i="6" s="1"/>
  <c r="BE239" i="6" s="1"/>
  <c r="BE240" i="6" s="1"/>
  <c r="BE241" i="6" s="1"/>
  <c r="BE242" i="6" s="1"/>
  <c r="BE243" i="6" s="1"/>
  <c r="BE244" i="6" s="1"/>
  <c r="BE245" i="6" s="1"/>
  <c r="BE246" i="6" s="1"/>
  <c r="BE247" i="6" s="1"/>
  <c r="BE248" i="6" s="1"/>
  <c r="BE249" i="6" s="1"/>
  <c r="BE250" i="6" s="1"/>
  <c r="BE251" i="6" s="1"/>
  <c r="BE252" i="6" s="1"/>
  <c r="BE253" i="6" s="1"/>
  <c r="BE254" i="6" s="1"/>
  <c r="BE255" i="6" s="1"/>
  <c r="BF4" i="6"/>
  <c r="BF5" i="6" s="1"/>
  <c r="BF6" i="6" s="1"/>
  <c r="BF7" i="6" s="1"/>
  <c r="BF8" i="6" s="1"/>
  <c r="BF9" i="6" s="1"/>
  <c r="BF10" i="6" s="1"/>
  <c r="BF11" i="6" s="1"/>
  <c r="BF12" i="6" s="1"/>
  <c r="BF13" i="6" s="1"/>
  <c r="BF14" i="6" s="1"/>
  <c r="BF15" i="6" s="1"/>
  <c r="BF16" i="6" s="1"/>
  <c r="BF17" i="6" s="1"/>
  <c r="BF18" i="6" s="1"/>
  <c r="BF19" i="6" s="1"/>
  <c r="BF20" i="6" s="1"/>
  <c r="BF21" i="6" s="1"/>
  <c r="BF22" i="6" s="1"/>
  <c r="BF23" i="6" s="1"/>
  <c r="BF24" i="6" s="1"/>
  <c r="BG4" i="6"/>
  <c r="BG5" i="6" s="1"/>
  <c r="BG6" i="6" s="1"/>
  <c r="BG7" i="6" s="1"/>
  <c r="BG8" i="6" s="1"/>
  <c r="BG9" i="6" s="1"/>
  <c r="BG10" i="6" s="1"/>
  <c r="BG11" i="6" s="1"/>
  <c r="BG12" i="6" s="1"/>
  <c r="BG13" i="6" s="1"/>
  <c r="BG14" i="6" s="1"/>
  <c r="BG15" i="6" s="1"/>
  <c r="BG16" i="6" s="1"/>
  <c r="BG17" i="6" s="1"/>
  <c r="BG18" i="6" s="1"/>
  <c r="BG19" i="6" s="1"/>
  <c r="BG20" i="6" s="1"/>
  <c r="BG21" i="6" s="1"/>
  <c r="BG22" i="6" s="1"/>
  <c r="BG23" i="6" s="1"/>
  <c r="BG24" i="6" s="1"/>
  <c r="BG25" i="6" s="1"/>
  <c r="BG26" i="6" s="1"/>
  <c r="BG27" i="6" s="1"/>
  <c r="BG28" i="6" s="1"/>
  <c r="BG29" i="6" s="1"/>
  <c r="BG30" i="6" s="1"/>
  <c r="BG31" i="6" s="1"/>
  <c r="BG32" i="6" s="1"/>
  <c r="BG33" i="6" s="1"/>
  <c r="BG34" i="6" s="1"/>
  <c r="BG35" i="6" s="1"/>
  <c r="BG36" i="6" s="1"/>
  <c r="BG37" i="6" s="1"/>
  <c r="BG38" i="6" s="1"/>
  <c r="BG39" i="6" s="1"/>
  <c r="BG40" i="6" s="1"/>
  <c r="BG41" i="6" s="1"/>
  <c r="BG42" i="6" s="1"/>
  <c r="BG43" i="6" s="1"/>
  <c r="BG44" i="6" s="1"/>
  <c r="BG45" i="6" s="1"/>
  <c r="BG46" i="6" s="1"/>
  <c r="BG47" i="6" s="1"/>
  <c r="BG48" i="6" s="1"/>
  <c r="BG49" i="6" s="1"/>
  <c r="BG50" i="6" s="1"/>
  <c r="BG51" i="6" s="1"/>
  <c r="BG52" i="6" s="1"/>
  <c r="BG53" i="6" s="1"/>
  <c r="BG54" i="6" s="1"/>
  <c r="BG55" i="6" s="1"/>
  <c r="BG56" i="6" s="1"/>
  <c r="BG57" i="6" s="1"/>
  <c r="BG58" i="6" s="1"/>
  <c r="BG59" i="6" s="1"/>
  <c r="BG60" i="6" s="1"/>
  <c r="BG61" i="6" s="1"/>
  <c r="BG62" i="6" s="1"/>
  <c r="BG63" i="6" s="1"/>
  <c r="BG64" i="6" s="1"/>
  <c r="BG65" i="6" s="1"/>
  <c r="BG66" i="6" s="1"/>
  <c r="BG67" i="6" s="1"/>
  <c r="BG68" i="6" s="1"/>
  <c r="BG69" i="6" s="1"/>
  <c r="BG70" i="6" s="1"/>
  <c r="BG71" i="6" s="1"/>
  <c r="BG72" i="6" s="1"/>
  <c r="BG73" i="6" s="1"/>
  <c r="BG74" i="6" s="1"/>
  <c r="BG75" i="6" s="1"/>
  <c r="BG76" i="6" s="1"/>
  <c r="BG77" i="6" s="1"/>
  <c r="BG78" i="6" s="1"/>
  <c r="BG79" i="6" s="1"/>
  <c r="BG80" i="6" s="1"/>
  <c r="BG81" i="6" s="1"/>
  <c r="BG82" i="6" s="1"/>
  <c r="BG83" i="6" s="1"/>
  <c r="BG84" i="6" s="1"/>
  <c r="BG85" i="6" s="1"/>
  <c r="BG86" i="6" s="1"/>
  <c r="BG87" i="6" s="1"/>
  <c r="BG88" i="6" s="1"/>
  <c r="BG89" i="6" s="1"/>
  <c r="BG90" i="6" s="1"/>
  <c r="BG91" i="6" s="1"/>
  <c r="BG92" i="6" s="1"/>
  <c r="BG93" i="6" s="1"/>
  <c r="BG94" i="6" s="1"/>
  <c r="BG95" i="6" s="1"/>
  <c r="BG96" i="6" s="1"/>
  <c r="BG97" i="6" s="1"/>
  <c r="BG98" i="6" s="1"/>
  <c r="BG99" i="6" s="1"/>
  <c r="BG100" i="6" s="1"/>
  <c r="BG101" i="6" s="1"/>
  <c r="BG102" i="6" s="1"/>
  <c r="BG103" i="6" s="1"/>
  <c r="BG104" i="6" s="1"/>
  <c r="BG105" i="6" s="1"/>
  <c r="BG106" i="6" s="1"/>
  <c r="BG107" i="6" s="1"/>
  <c r="BG108" i="6" s="1"/>
  <c r="BG109" i="6" s="1"/>
  <c r="BG110" i="6" s="1"/>
  <c r="BG111" i="6" s="1"/>
  <c r="BG112" i="6" s="1"/>
  <c r="BG113" i="6" s="1"/>
  <c r="BG114" i="6" s="1"/>
  <c r="BG115" i="6" s="1"/>
  <c r="BG116" i="6" s="1"/>
  <c r="BG117" i="6" s="1"/>
  <c r="BG118" i="6" s="1"/>
  <c r="BG119" i="6" s="1"/>
  <c r="BG120" i="6" s="1"/>
  <c r="BG121" i="6" s="1"/>
  <c r="BG122" i="6" s="1"/>
  <c r="BG123" i="6" s="1"/>
  <c r="BG124" i="6" s="1"/>
  <c r="BG125" i="6" s="1"/>
  <c r="BG126" i="6" s="1"/>
  <c r="BG127" i="6" s="1"/>
  <c r="BG128" i="6" s="1"/>
  <c r="BG129" i="6" s="1"/>
  <c r="BG130" i="6" s="1"/>
  <c r="BG131" i="6" s="1"/>
  <c r="BG132" i="6" s="1"/>
  <c r="BG133" i="6" s="1"/>
  <c r="BG134" i="6" s="1"/>
  <c r="BG135" i="6" s="1"/>
  <c r="BG136" i="6" s="1"/>
  <c r="BG137" i="6" s="1"/>
  <c r="BG138" i="6" s="1"/>
  <c r="BG139" i="6" s="1"/>
  <c r="BG140" i="6" s="1"/>
  <c r="BG141" i="6" s="1"/>
  <c r="BG142" i="6" s="1"/>
  <c r="BG143" i="6" s="1"/>
  <c r="BG144" i="6" s="1"/>
  <c r="BG145" i="6" s="1"/>
  <c r="BG146" i="6" s="1"/>
  <c r="BG147" i="6" s="1"/>
  <c r="BG148" i="6" s="1"/>
  <c r="BG149" i="6" s="1"/>
  <c r="BG150" i="6" s="1"/>
  <c r="BG151" i="6" s="1"/>
  <c r="BG152" i="6" s="1"/>
  <c r="BG153" i="6" s="1"/>
  <c r="BG154" i="6" s="1"/>
  <c r="BG155" i="6" s="1"/>
  <c r="BG156" i="6" s="1"/>
  <c r="BG157" i="6" s="1"/>
  <c r="BG158" i="6" s="1"/>
  <c r="BG159" i="6" s="1"/>
  <c r="BG160" i="6" s="1"/>
  <c r="BG161" i="6" s="1"/>
  <c r="BG162" i="6" s="1"/>
  <c r="BG163" i="6" s="1"/>
  <c r="BG164" i="6" s="1"/>
  <c r="BG165" i="6" s="1"/>
  <c r="BG166" i="6" s="1"/>
  <c r="BG167" i="6" s="1"/>
  <c r="BG168" i="6" s="1"/>
  <c r="BG169" i="6" s="1"/>
  <c r="BG170" i="6" s="1"/>
  <c r="BG171" i="6" s="1"/>
  <c r="BG172" i="6" s="1"/>
  <c r="BG173" i="6" s="1"/>
  <c r="BG174" i="6" s="1"/>
  <c r="BG175" i="6" s="1"/>
  <c r="BG176" i="6" s="1"/>
  <c r="BG177" i="6" s="1"/>
  <c r="BG178" i="6" s="1"/>
  <c r="BG179" i="6" s="1"/>
  <c r="BG180" i="6" s="1"/>
  <c r="BG181" i="6" s="1"/>
  <c r="BG182" i="6" s="1"/>
  <c r="BG183" i="6" s="1"/>
  <c r="BG184" i="6" s="1"/>
  <c r="BG185" i="6" s="1"/>
  <c r="BG186" i="6" s="1"/>
  <c r="BG187" i="6" s="1"/>
  <c r="BG188" i="6" s="1"/>
  <c r="BG189" i="6" s="1"/>
  <c r="BG190" i="6" s="1"/>
  <c r="BG191" i="6" s="1"/>
  <c r="BG192" i="6" s="1"/>
  <c r="BG193" i="6" s="1"/>
  <c r="BG194" i="6" s="1"/>
  <c r="BG195" i="6" s="1"/>
  <c r="BG196" i="6" s="1"/>
  <c r="BG197" i="6" s="1"/>
  <c r="BG198" i="6" s="1"/>
  <c r="BG199" i="6" s="1"/>
  <c r="BG200" i="6" s="1"/>
  <c r="BG201" i="6" s="1"/>
  <c r="BG202" i="6" s="1"/>
  <c r="BG203" i="6" s="1"/>
  <c r="BG204" i="6" s="1"/>
  <c r="BG205" i="6" s="1"/>
  <c r="BG206" i="6" s="1"/>
  <c r="BG207" i="6" s="1"/>
  <c r="BG208" i="6" s="1"/>
  <c r="BG209" i="6" s="1"/>
  <c r="BG210" i="6" s="1"/>
  <c r="BG211" i="6" s="1"/>
  <c r="BG212" i="6" s="1"/>
  <c r="BG213" i="6" s="1"/>
  <c r="BG214" i="6" s="1"/>
  <c r="BG215" i="6" s="1"/>
  <c r="BG216" i="6" s="1"/>
  <c r="BG217" i="6" s="1"/>
  <c r="BG218" i="6" s="1"/>
  <c r="BG219" i="6" s="1"/>
  <c r="BG220" i="6" s="1"/>
  <c r="BG221" i="6" s="1"/>
  <c r="BG222" i="6" s="1"/>
  <c r="BG223" i="6" s="1"/>
  <c r="BG224" i="6" s="1"/>
  <c r="BG225" i="6" s="1"/>
  <c r="BG226" i="6" s="1"/>
  <c r="BG227" i="6" s="1"/>
  <c r="BG228" i="6" s="1"/>
  <c r="BG229" i="6" s="1"/>
  <c r="BG230" i="6" s="1"/>
  <c r="BG231" i="6" s="1"/>
  <c r="BG232" i="6" s="1"/>
  <c r="BG233" i="6" s="1"/>
  <c r="BG234" i="6" s="1"/>
  <c r="BG235" i="6" s="1"/>
  <c r="BG236" i="6" s="1"/>
  <c r="BG237" i="6" s="1"/>
  <c r="BG238" i="6" s="1"/>
  <c r="BG239" i="6" s="1"/>
  <c r="BG240" i="6" s="1"/>
  <c r="BG241" i="6" s="1"/>
  <c r="BG242" i="6" s="1"/>
  <c r="BG243" i="6" s="1"/>
  <c r="BG244" i="6" s="1"/>
  <c r="BG245" i="6" s="1"/>
  <c r="BG246" i="6" s="1"/>
  <c r="BG247" i="6" s="1"/>
  <c r="BG248" i="6" s="1"/>
  <c r="BG249" i="6" s="1"/>
  <c r="BG250" i="6" s="1"/>
  <c r="BG251" i="6" s="1"/>
  <c r="BG252" i="6" s="1"/>
  <c r="BG253" i="6" s="1"/>
  <c r="BG254" i="6" s="1"/>
  <c r="BG255" i="6" s="1"/>
  <c r="BH4" i="6"/>
  <c r="BH5" i="6" s="1"/>
  <c r="BH6" i="6" s="1"/>
  <c r="BH7" i="6" s="1"/>
  <c r="BH8" i="6" s="1"/>
  <c r="BH9" i="6" s="1"/>
  <c r="BH10" i="6" s="1"/>
  <c r="BH11" i="6" s="1"/>
  <c r="BH12" i="6" s="1"/>
  <c r="BH13" i="6" s="1"/>
  <c r="BH14" i="6" s="1"/>
  <c r="BH15" i="6" s="1"/>
  <c r="BH16" i="6" s="1"/>
  <c r="BH17" i="6" s="1"/>
  <c r="BH18" i="6" s="1"/>
  <c r="BH19" i="6" s="1"/>
  <c r="BH20" i="6" s="1"/>
  <c r="BH21" i="6" s="1"/>
  <c r="BH22" i="6" s="1"/>
  <c r="BH23" i="6" s="1"/>
  <c r="BH24" i="6" s="1"/>
  <c r="BH25" i="6" s="1"/>
  <c r="BH26" i="6" s="1"/>
  <c r="BH27" i="6" s="1"/>
  <c r="BH28" i="6" s="1"/>
  <c r="BH29" i="6" s="1"/>
  <c r="BH30" i="6" s="1"/>
  <c r="BH31" i="6" s="1"/>
  <c r="BH32" i="6" s="1"/>
  <c r="BH33" i="6" s="1"/>
  <c r="BH34" i="6" s="1"/>
  <c r="BH35" i="6" s="1"/>
  <c r="BH36" i="6" s="1"/>
  <c r="BH37" i="6" s="1"/>
  <c r="BH38" i="6" s="1"/>
  <c r="BH39" i="6" s="1"/>
  <c r="BH40" i="6" s="1"/>
  <c r="BH41" i="6" s="1"/>
  <c r="BH42" i="6" s="1"/>
  <c r="BH43" i="6" s="1"/>
  <c r="BH44" i="6" s="1"/>
  <c r="BH45" i="6" s="1"/>
  <c r="BH46" i="6" s="1"/>
  <c r="BH47" i="6" s="1"/>
  <c r="BH48" i="6" s="1"/>
  <c r="BH49" i="6" s="1"/>
  <c r="BH50" i="6" s="1"/>
  <c r="BH51" i="6" s="1"/>
  <c r="BH52" i="6" s="1"/>
  <c r="BH53" i="6" s="1"/>
  <c r="BH54" i="6" s="1"/>
  <c r="BH55" i="6" s="1"/>
  <c r="BH56" i="6" s="1"/>
  <c r="BH57" i="6" s="1"/>
  <c r="BH58" i="6" s="1"/>
  <c r="BH59" i="6" s="1"/>
  <c r="BH60" i="6" s="1"/>
  <c r="BH61" i="6" s="1"/>
  <c r="BH62" i="6" s="1"/>
  <c r="BH63" i="6" s="1"/>
  <c r="BH64" i="6" s="1"/>
  <c r="BH65" i="6" s="1"/>
  <c r="BH66" i="6" s="1"/>
  <c r="BH67" i="6" s="1"/>
  <c r="BH68" i="6" s="1"/>
  <c r="BH69" i="6" s="1"/>
  <c r="BH70" i="6" s="1"/>
  <c r="BH71" i="6" s="1"/>
  <c r="BH72" i="6" s="1"/>
  <c r="BH73" i="6" s="1"/>
  <c r="BH74" i="6" s="1"/>
  <c r="BH75" i="6" s="1"/>
  <c r="BH76" i="6" s="1"/>
  <c r="BH77" i="6" s="1"/>
  <c r="BH78" i="6" s="1"/>
  <c r="BH79" i="6" s="1"/>
  <c r="BH80" i="6" s="1"/>
  <c r="BH81" i="6" s="1"/>
  <c r="BH82" i="6" s="1"/>
  <c r="BH83" i="6" s="1"/>
  <c r="BH84" i="6" s="1"/>
  <c r="BH85" i="6" s="1"/>
  <c r="BH86" i="6" s="1"/>
  <c r="BH87" i="6" s="1"/>
  <c r="BH88" i="6" s="1"/>
  <c r="BH89" i="6" s="1"/>
  <c r="BH90" i="6" s="1"/>
  <c r="BH91" i="6" s="1"/>
  <c r="BH92" i="6" s="1"/>
  <c r="BH93" i="6" s="1"/>
  <c r="BH94" i="6" s="1"/>
  <c r="BH95" i="6" s="1"/>
  <c r="BH96" i="6" s="1"/>
  <c r="BH97" i="6" s="1"/>
  <c r="BH98" i="6" s="1"/>
  <c r="BH99" i="6" s="1"/>
  <c r="BH100" i="6" s="1"/>
  <c r="BH101" i="6" s="1"/>
  <c r="BH102" i="6" s="1"/>
  <c r="BH103" i="6" s="1"/>
  <c r="BH104" i="6" s="1"/>
  <c r="BH105" i="6" s="1"/>
  <c r="BH106" i="6" s="1"/>
  <c r="BH107" i="6" s="1"/>
  <c r="BH108" i="6" s="1"/>
  <c r="BH109" i="6" s="1"/>
  <c r="BH110" i="6" s="1"/>
  <c r="BH111" i="6" s="1"/>
  <c r="BH112" i="6" s="1"/>
  <c r="BH113" i="6" s="1"/>
  <c r="BH114" i="6" s="1"/>
  <c r="BH115" i="6" s="1"/>
  <c r="BH116" i="6" s="1"/>
  <c r="BH117" i="6" s="1"/>
  <c r="BH118" i="6" s="1"/>
  <c r="BH119" i="6" s="1"/>
  <c r="BH120" i="6" s="1"/>
  <c r="BH121" i="6" s="1"/>
  <c r="BH122" i="6" s="1"/>
  <c r="BH123" i="6" s="1"/>
  <c r="BH124" i="6" s="1"/>
  <c r="BH125" i="6" s="1"/>
  <c r="BH126" i="6" s="1"/>
  <c r="BH127" i="6" s="1"/>
  <c r="BH128" i="6" s="1"/>
  <c r="BH129" i="6" s="1"/>
  <c r="BH130" i="6" s="1"/>
  <c r="BH131" i="6" s="1"/>
  <c r="BH132" i="6" s="1"/>
  <c r="BH133" i="6" s="1"/>
  <c r="BH134" i="6" s="1"/>
  <c r="BH135" i="6" s="1"/>
  <c r="BH136" i="6" s="1"/>
  <c r="BH137" i="6" s="1"/>
  <c r="BH138" i="6" s="1"/>
  <c r="BH139" i="6" s="1"/>
  <c r="BH140" i="6" s="1"/>
  <c r="BH141" i="6" s="1"/>
  <c r="BH142" i="6" s="1"/>
  <c r="BH143" i="6" s="1"/>
  <c r="BH144" i="6" s="1"/>
  <c r="BH145" i="6" s="1"/>
  <c r="BH146" i="6" s="1"/>
  <c r="BH147" i="6" s="1"/>
  <c r="BH148" i="6" s="1"/>
  <c r="BH149" i="6" s="1"/>
  <c r="BH150" i="6" s="1"/>
  <c r="BH151" i="6" s="1"/>
  <c r="BH152" i="6" s="1"/>
  <c r="BH153" i="6" s="1"/>
  <c r="BH154" i="6" s="1"/>
  <c r="BH155" i="6" s="1"/>
  <c r="BH156" i="6" s="1"/>
  <c r="BH157" i="6" s="1"/>
  <c r="BH158" i="6" s="1"/>
  <c r="BH159" i="6" s="1"/>
  <c r="BH160" i="6" s="1"/>
  <c r="BH161" i="6" s="1"/>
  <c r="BH162" i="6" s="1"/>
  <c r="BH163" i="6" s="1"/>
  <c r="BH164" i="6" s="1"/>
  <c r="BH165" i="6" s="1"/>
  <c r="BH166" i="6" s="1"/>
  <c r="BH167" i="6" s="1"/>
  <c r="BH168" i="6" s="1"/>
  <c r="BH169" i="6" s="1"/>
  <c r="BH170" i="6" s="1"/>
  <c r="BH171" i="6" s="1"/>
  <c r="BH172" i="6" s="1"/>
  <c r="BH173" i="6" s="1"/>
  <c r="BH174" i="6" s="1"/>
  <c r="BH175" i="6" s="1"/>
  <c r="BH176" i="6" s="1"/>
  <c r="BH177" i="6" s="1"/>
  <c r="BH178" i="6" s="1"/>
  <c r="BH179" i="6" s="1"/>
  <c r="BH180" i="6" s="1"/>
  <c r="BH181" i="6" s="1"/>
  <c r="BH182" i="6" s="1"/>
  <c r="BH183" i="6" s="1"/>
  <c r="BH184" i="6" s="1"/>
  <c r="BH185" i="6" s="1"/>
  <c r="BH186" i="6" s="1"/>
  <c r="BH187" i="6" s="1"/>
  <c r="BH188" i="6" s="1"/>
  <c r="BH189" i="6" s="1"/>
  <c r="BH190" i="6" s="1"/>
  <c r="BH191" i="6" s="1"/>
  <c r="BH192" i="6" s="1"/>
  <c r="BH193" i="6" s="1"/>
  <c r="BH194" i="6" s="1"/>
  <c r="BH195" i="6" s="1"/>
  <c r="BH196" i="6" s="1"/>
  <c r="BH197" i="6" s="1"/>
  <c r="BH198" i="6" s="1"/>
  <c r="BH199" i="6" s="1"/>
  <c r="BH200" i="6" s="1"/>
  <c r="BH201" i="6" s="1"/>
  <c r="BH202" i="6" s="1"/>
  <c r="BH203" i="6" s="1"/>
  <c r="BH204" i="6" s="1"/>
  <c r="BH205" i="6" s="1"/>
  <c r="BH206" i="6" s="1"/>
  <c r="BH207" i="6" s="1"/>
  <c r="BH208" i="6" s="1"/>
  <c r="BH209" i="6" s="1"/>
  <c r="BH210" i="6" s="1"/>
  <c r="BH211" i="6" s="1"/>
  <c r="BH212" i="6" s="1"/>
  <c r="BH213" i="6" s="1"/>
  <c r="BH214" i="6" s="1"/>
  <c r="BH215" i="6" s="1"/>
  <c r="BH216" i="6" s="1"/>
  <c r="BH217" i="6" s="1"/>
  <c r="BH218" i="6" s="1"/>
  <c r="BH219" i="6" s="1"/>
  <c r="BH220" i="6" s="1"/>
  <c r="BH221" i="6" s="1"/>
  <c r="BH222" i="6" s="1"/>
  <c r="BH223" i="6" s="1"/>
  <c r="BH224" i="6" s="1"/>
  <c r="BH225" i="6" s="1"/>
  <c r="BH226" i="6" s="1"/>
  <c r="BH227" i="6" s="1"/>
  <c r="BH228" i="6" s="1"/>
  <c r="BH229" i="6" s="1"/>
  <c r="BH230" i="6" s="1"/>
  <c r="BH231" i="6" s="1"/>
  <c r="BH232" i="6" s="1"/>
  <c r="BH233" i="6" s="1"/>
  <c r="BH234" i="6" s="1"/>
  <c r="BH235" i="6" s="1"/>
  <c r="BH236" i="6" s="1"/>
  <c r="BH237" i="6" s="1"/>
  <c r="BH238" i="6" s="1"/>
  <c r="BH239" i="6" s="1"/>
  <c r="BH240" i="6" s="1"/>
  <c r="BH241" i="6" s="1"/>
  <c r="BH242" i="6" s="1"/>
  <c r="BH243" i="6" s="1"/>
  <c r="BH244" i="6" s="1"/>
  <c r="BH245" i="6" s="1"/>
  <c r="BH246" i="6" s="1"/>
  <c r="BH247" i="6" s="1"/>
  <c r="BH248" i="6" s="1"/>
  <c r="BH249" i="6" s="1"/>
  <c r="BH250" i="6" s="1"/>
  <c r="BH251" i="6" s="1"/>
  <c r="BH252" i="6" s="1"/>
  <c r="BH253" i="6" s="1"/>
  <c r="BH254" i="6" s="1"/>
  <c r="BH255" i="6" s="1"/>
  <c r="BI4" i="6"/>
  <c r="BI5" i="6" s="1"/>
  <c r="BI6" i="6" s="1"/>
  <c r="BI7" i="6" s="1"/>
  <c r="BI8" i="6" s="1"/>
  <c r="BI9" i="6" s="1"/>
  <c r="BI10" i="6" s="1"/>
  <c r="BI11" i="6" s="1"/>
  <c r="BI12" i="6" s="1"/>
  <c r="BI13" i="6" s="1"/>
  <c r="BI14" i="6" s="1"/>
  <c r="BI15" i="6" s="1"/>
  <c r="BI16" i="6" s="1"/>
  <c r="BI17" i="6" s="1"/>
  <c r="BI18" i="6" s="1"/>
  <c r="BI19" i="6" s="1"/>
  <c r="BI20" i="6" s="1"/>
  <c r="BI21" i="6" s="1"/>
  <c r="BI22" i="6" s="1"/>
  <c r="BI23" i="6" s="1"/>
  <c r="BI24" i="6" s="1"/>
  <c r="BI25" i="6" s="1"/>
  <c r="BI26" i="6" s="1"/>
  <c r="BI27" i="6" s="1"/>
  <c r="BI28" i="6" s="1"/>
  <c r="BI29" i="6" s="1"/>
  <c r="BI30" i="6" s="1"/>
  <c r="BI31" i="6" s="1"/>
  <c r="BI32" i="6" s="1"/>
  <c r="BI33" i="6" s="1"/>
  <c r="BI34" i="6" s="1"/>
  <c r="BI35" i="6" s="1"/>
  <c r="BI36" i="6" s="1"/>
  <c r="BI37" i="6" s="1"/>
  <c r="BI38" i="6" s="1"/>
  <c r="BI39" i="6" s="1"/>
  <c r="BI40" i="6" s="1"/>
  <c r="BI41" i="6" s="1"/>
  <c r="BI42" i="6" s="1"/>
  <c r="BI43" i="6" s="1"/>
  <c r="BI44" i="6" s="1"/>
  <c r="BI45" i="6" s="1"/>
  <c r="BI46" i="6" s="1"/>
  <c r="BI47" i="6" s="1"/>
  <c r="BI48" i="6" s="1"/>
  <c r="BI49" i="6" s="1"/>
  <c r="BI50" i="6" s="1"/>
  <c r="BI51" i="6" s="1"/>
  <c r="BI52" i="6" s="1"/>
  <c r="BI53" i="6" s="1"/>
  <c r="BI54" i="6" s="1"/>
  <c r="BI55" i="6" s="1"/>
  <c r="BI56" i="6" s="1"/>
  <c r="BI57" i="6" s="1"/>
  <c r="BI58" i="6" s="1"/>
  <c r="BI59" i="6" s="1"/>
  <c r="BI60" i="6" s="1"/>
  <c r="BI61" i="6" s="1"/>
  <c r="BI62" i="6" s="1"/>
  <c r="BI63" i="6" s="1"/>
  <c r="BI64" i="6" s="1"/>
  <c r="BI65" i="6" s="1"/>
  <c r="BI66" i="6" s="1"/>
  <c r="BI67" i="6" s="1"/>
  <c r="BI68" i="6" s="1"/>
  <c r="BI69" i="6" s="1"/>
  <c r="BI70" i="6" s="1"/>
  <c r="BI71" i="6" s="1"/>
  <c r="BI72" i="6" s="1"/>
  <c r="BI73" i="6" s="1"/>
  <c r="BI74" i="6" s="1"/>
  <c r="BI75" i="6" s="1"/>
  <c r="BI76" i="6" s="1"/>
  <c r="BI77" i="6" s="1"/>
  <c r="BI78" i="6" s="1"/>
  <c r="BI79" i="6" s="1"/>
  <c r="BI80" i="6" s="1"/>
  <c r="BI81" i="6" s="1"/>
  <c r="BI82" i="6" s="1"/>
  <c r="BI83" i="6" s="1"/>
  <c r="BI84" i="6" s="1"/>
  <c r="BI85" i="6" s="1"/>
  <c r="BI86" i="6" s="1"/>
  <c r="BI87" i="6" s="1"/>
  <c r="BI88" i="6" s="1"/>
  <c r="BI89" i="6" s="1"/>
  <c r="BI90" i="6" s="1"/>
  <c r="BI91" i="6" s="1"/>
  <c r="BI92" i="6" s="1"/>
  <c r="BI93" i="6" s="1"/>
  <c r="BI94" i="6" s="1"/>
  <c r="BI95" i="6" s="1"/>
  <c r="BI96" i="6" s="1"/>
  <c r="BI97" i="6" s="1"/>
  <c r="BI98" i="6" s="1"/>
  <c r="BI99" i="6" s="1"/>
  <c r="BI100" i="6" s="1"/>
  <c r="BI101" i="6" s="1"/>
  <c r="BI102" i="6" s="1"/>
  <c r="BI103" i="6" s="1"/>
  <c r="BI104" i="6" s="1"/>
  <c r="BI105" i="6" s="1"/>
  <c r="BI106" i="6" s="1"/>
  <c r="BI107" i="6" s="1"/>
  <c r="BI108" i="6" s="1"/>
  <c r="BI109" i="6" s="1"/>
  <c r="BI110" i="6" s="1"/>
  <c r="BI111" i="6" s="1"/>
  <c r="BI112" i="6" s="1"/>
  <c r="BI113" i="6" s="1"/>
  <c r="BI114" i="6" s="1"/>
  <c r="BI115" i="6" s="1"/>
  <c r="BI116" i="6" s="1"/>
  <c r="BI117" i="6" s="1"/>
  <c r="BI118" i="6" s="1"/>
  <c r="BI119" i="6" s="1"/>
  <c r="BI120" i="6" s="1"/>
  <c r="BI121" i="6" s="1"/>
  <c r="BI122" i="6" s="1"/>
  <c r="BI123" i="6" s="1"/>
  <c r="BI124" i="6" s="1"/>
  <c r="BI125" i="6" s="1"/>
  <c r="BI126" i="6" s="1"/>
  <c r="BI127" i="6" s="1"/>
  <c r="BI128" i="6" s="1"/>
  <c r="BI129" i="6" s="1"/>
  <c r="BI130" i="6" s="1"/>
  <c r="BI131" i="6" s="1"/>
  <c r="BI132" i="6" s="1"/>
  <c r="BI133" i="6" s="1"/>
  <c r="BI134" i="6" s="1"/>
  <c r="BI135" i="6" s="1"/>
  <c r="BI136" i="6" s="1"/>
  <c r="BI137" i="6" s="1"/>
  <c r="BI138" i="6" s="1"/>
  <c r="BI139" i="6" s="1"/>
  <c r="BI140" i="6" s="1"/>
  <c r="BI141" i="6" s="1"/>
  <c r="BI142" i="6" s="1"/>
  <c r="BI143" i="6" s="1"/>
  <c r="BI144" i="6" s="1"/>
  <c r="BI145" i="6" s="1"/>
  <c r="BI146" i="6" s="1"/>
  <c r="BI147" i="6" s="1"/>
  <c r="BI148" i="6" s="1"/>
  <c r="BI149" i="6" s="1"/>
  <c r="BI150" i="6" s="1"/>
  <c r="BI151" i="6" s="1"/>
  <c r="BI152" i="6" s="1"/>
  <c r="BI153" i="6" s="1"/>
  <c r="BI154" i="6" s="1"/>
  <c r="BI155" i="6" s="1"/>
  <c r="BI156" i="6" s="1"/>
  <c r="BI157" i="6" s="1"/>
  <c r="BI158" i="6" s="1"/>
  <c r="BI159" i="6" s="1"/>
  <c r="BI160" i="6" s="1"/>
  <c r="BI161" i="6" s="1"/>
  <c r="BI162" i="6" s="1"/>
  <c r="BI163" i="6" s="1"/>
  <c r="BI164" i="6" s="1"/>
  <c r="BI165" i="6" s="1"/>
  <c r="BI166" i="6" s="1"/>
  <c r="BI167" i="6" s="1"/>
  <c r="BI168" i="6" s="1"/>
  <c r="BI169" i="6" s="1"/>
  <c r="BI170" i="6" s="1"/>
  <c r="BI171" i="6" s="1"/>
  <c r="BI172" i="6" s="1"/>
  <c r="BI173" i="6" s="1"/>
  <c r="BI174" i="6" s="1"/>
  <c r="BI175" i="6" s="1"/>
  <c r="BI176" i="6" s="1"/>
  <c r="BI177" i="6" s="1"/>
  <c r="BI178" i="6" s="1"/>
  <c r="BI179" i="6" s="1"/>
  <c r="BI180" i="6" s="1"/>
  <c r="BI181" i="6" s="1"/>
  <c r="BI182" i="6" s="1"/>
  <c r="BI183" i="6" s="1"/>
  <c r="BI184" i="6" s="1"/>
  <c r="BI185" i="6" s="1"/>
  <c r="BI186" i="6" s="1"/>
  <c r="BI187" i="6" s="1"/>
  <c r="BI188" i="6" s="1"/>
  <c r="BI189" i="6" s="1"/>
  <c r="BI190" i="6" s="1"/>
  <c r="BI191" i="6" s="1"/>
  <c r="BI192" i="6" s="1"/>
  <c r="BI193" i="6" s="1"/>
  <c r="BI194" i="6" s="1"/>
  <c r="BI195" i="6" s="1"/>
  <c r="BI196" i="6" s="1"/>
  <c r="BI197" i="6" s="1"/>
  <c r="BI198" i="6" s="1"/>
  <c r="BI199" i="6" s="1"/>
  <c r="BI200" i="6" s="1"/>
  <c r="BI201" i="6" s="1"/>
  <c r="BI202" i="6" s="1"/>
  <c r="BI203" i="6" s="1"/>
  <c r="BI204" i="6" s="1"/>
  <c r="BI205" i="6" s="1"/>
  <c r="BI206" i="6" s="1"/>
  <c r="BI207" i="6" s="1"/>
  <c r="BI208" i="6" s="1"/>
  <c r="BI209" i="6" s="1"/>
  <c r="BI210" i="6" s="1"/>
  <c r="BI211" i="6" s="1"/>
  <c r="BI212" i="6" s="1"/>
  <c r="BI213" i="6" s="1"/>
  <c r="BI214" i="6" s="1"/>
  <c r="BI215" i="6" s="1"/>
  <c r="BI216" i="6" s="1"/>
  <c r="BI217" i="6" s="1"/>
  <c r="BI218" i="6" s="1"/>
  <c r="BI219" i="6" s="1"/>
  <c r="BI220" i="6" s="1"/>
  <c r="BI221" i="6" s="1"/>
  <c r="BI222" i="6" s="1"/>
  <c r="BI223" i="6" s="1"/>
  <c r="BI224" i="6" s="1"/>
  <c r="BI225" i="6" s="1"/>
  <c r="BI226" i="6" s="1"/>
  <c r="BI227" i="6" s="1"/>
  <c r="BI228" i="6" s="1"/>
  <c r="BI229" i="6" s="1"/>
  <c r="BI230" i="6" s="1"/>
  <c r="BI231" i="6" s="1"/>
  <c r="BI232" i="6" s="1"/>
  <c r="BI233" i="6" s="1"/>
  <c r="BI234" i="6" s="1"/>
  <c r="BI235" i="6" s="1"/>
  <c r="BI236" i="6" s="1"/>
  <c r="BI237" i="6" s="1"/>
  <c r="BI238" i="6" s="1"/>
  <c r="BI239" i="6" s="1"/>
  <c r="BI240" i="6" s="1"/>
  <c r="BI241" i="6" s="1"/>
  <c r="BI242" i="6" s="1"/>
  <c r="BI243" i="6" s="1"/>
  <c r="BI244" i="6" s="1"/>
  <c r="BI245" i="6" s="1"/>
  <c r="BI246" i="6" s="1"/>
  <c r="BI247" i="6" s="1"/>
  <c r="BI248" i="6" s="1"/>
  <c r="BI249" i="6" s="1"/>
  <c r="BI250" i="6" s="1"/>
  <c r="BI251" i="6" s="1"/>
  <c r="BI252" i="6" s="1"/>
  <c r="BI253" i="6" s="1"/>
  <c r="BI254" i="6" s="1"/>
  <c r="BI255" i="6" s="1"/>
  <c r="BJ4" i="6"/>
  <c r="BJ5" i="6" s="1"/>
  <c r="BJ6" i="6" s="1"/>
  <c r="BJ7" i="6" s="1"/>
  <c r="BJ8" i="6" s="1"/>
  <c r="BJ9" i="6" s="1"/>
  <c r="BK4" i="6"/>
  <c r="BK5" i="6" s="1"/>
  <c r="BK6" i="6" s="1"/>
  <c r="BK7" i="6" s="1"/>
  <c r="BK8" i="6" s="1"/>
  <c r="BK9" i="6" s="1"/>
  <c r="BL4" i="6"/>
  <c r="BL5" i="6" s="1"/>
  <c r="BL6" i="6" s="1"/>
  <c r="BL7" i="6" s="1"/>
  <c r="BL8" i="6" s="1"/>
  <c r="BL9" i="6" s="1"/>
  <c r="BL10" i="6" s="1"/>
  <c r="BL11" i="6" s="1"/>
  <c r="BL12" i="6" s="1"/>
  <c r="BL13" i="6" s="1"/>
  <c r="BL14" i="6" s="1"/>
  <c r="BL15" i="6" s="1"/>
  <c r="BL16" i="6" s="1"/>
  <c r="BL17" i="6" s="1"/>
  <c r="BL18" i="6" s="1"/>
  <c r="BL19" i="6" s="1"/>
  <c r="BL20" i="6" s="1"/>
  <c r="BL21" i="6" s="1"/>
  <c r="BL22" i="6" s="1"/>
  <c r="BL23" i="6" s="1"/>
  <c r="BL24" i="6" s="1"/>
  <c r="BL25" i="6" s="1"/>
  <c r="BL26" i="6" s="1"/>
  <c r="BL27" i="6" s="1"/>
  <c r="BL28" i="6" s="1"/>
  <c r="BL29" i="6" s="1"/>
  <c r="BL30" i="6" s="1"/>
  <c r="BL31" i="6" s="1"/>
  <c r="BL32" i="6" s="1"/>
  <c r="BL33" i="6" s="1"/>
  <c r="BL34" i="6" s="1"/>
  <c r="BL35" i="6" s="1"/>
  <c r="BL36" i="6" s="1"/>
  <c r="BL37" i="6" s="1"/>
  <c r="BL38" i="6" s="1"/>
  <c r="BL39" i="6" s="1"/>
  <c r="BL40" i="6" s="1"/>
  <c r="BL41" i="6" s="1"/>
  <c r="BL42" i="6" s="1"/>
  <c r="BL43" i="6" s="1"/>
  <c r="BL44" i="6" s="1"/>
  <c r="BL45" i="6" s="1"/>
  <c r="BL46" i="6" s="1"/>
  <c r="BL47" i="6" s="1"/>
  <c r="BL48" i="6" s="1"/>
  <c r="BL49" i="6" s="1"/>
  <c r="BL50" i="6" s="1"/>
  <c r="BL51" i="6" s="1"/>
  <c r="BL52" i="6" s="1"/>
  <c r="BL53" i="6" s="1"/>
  <c r="BL54" i="6" s="1"/>
  <c r="BL55" i="6" s="1"/>
  <c r="BL56" i="6" s="1"/>
  <c r="BL57" i="6" s="1"/>
  <c r="BL58" i="6" s="1"/>
  <c r="BL59" i="6" s="1"/>
  <c r="BL60" i="6" s="1"/>
  <c r="BL61" i="6" s="1"/>
  <c r="BL62" i="6" s="1"/>
  <c r="BL63" i="6" s="1"/>
  <c r="BL64" i="6" s="1"/>
  <c r="BL65" i="6" s="1"/>
  <c r="BL66" i="6" s="1"/>
  <c r="BL67" i="6" s="1"/>
  <c r="BL68" i="6" s="1"/>
  <c r="BL69" i="6" s="1"/>
  <c r="BL70" i="6" s="1"/>
  <c r="BL71" i="6" s="1"/>
  <c r="BL72" i="6" s="1"/>
  <c r="BL73" i="6" s="1"/>
  <c r="BL74" i="6" s="1"/>
  <c r="BL75" i="6" s="1"/>
  <c r="BL76" i="6" s="1"/>
  <c r="BL77" i="6" s="1"/>
  <c r="BL78" i="6" s="1"/>
  <c r="BL79" i="6" s="1"/>
  <c r="BL80" i="6" s="1"/>
  <c r="BL81" i="6" s="1"/>
  <c r="BL82" i="6" s="1"/>
  <c r="BL83" i="6" s="1"/>
  <c r="BL84" i="6" s="1"/>
  <c r="BL85" i="6" s="1"/>
  <c r="BL86" i="6" s="1"/>
  <c r="BL87" i="6" s="1"/>
  <c r="BL88" i="6" s="1"/>
  <c r="BL89" i="6" s="1"/>
  <c r="BL90" i="6" s="1"/>
  <c r="BL91" i="6" s="1"/>
  <c r="BL92" i="6" s="1"/>
  <c r="BL93" i="6" s="1"/>
  <c r="BL94" i="6" s="1"/>
  <c r="BL95" i="6" s="1"/>
  <c r="BL96" i="6" s="1"/>
  <c r="BL97" i="6" s="1"/>
  <c r="BL98" i="6" s="1"/>
  <c r="BL99" i="6" s="1"/>
  <c r="BL100" i="6" s="1"/>
  <c r="BL101" i="6" s="1"/>
  <c r="BL102" i="6" s="1"/>
  <c r="BL103" i="6" s="1"/>
  <c r="BL104" i="6" s="1"/>
  <c r="BL105" i="6" s="1"/>
  <c r="BL106" i="6" s="1"/>
  <c r="BL107" i="6" s="1"/>
  <c r="BL108" i="6" s="1"/>
  <c r="BL109" i="6" s="1"/>
  <c r="BL110" i="6" s="1"/>
  <c r="BL111" i="6" s="1"/>
  <c r="BL112" i="6" s="1"/>
  <c r="BL113" i="6" s="1"/>
  <c r="BL114" i="6" s="1"/>
  <c r="BL115" i="6" s="1"/>
  <c r="BL116" i="6" s="1"/>
  <c r="BL117" i="6" s="1"/>
  <c r="BL118" i="6" s="1"/>
  <c r="BL119" i="6" s="1"/>
  <c r="BL120" i="6" s="1"/>
  <c r="BL121" i="6" s="1"/>
  <c r="BL122" i="6" s="1"/>
  <c r="BL123" i="6" s="1"/>
  <c r="BL124" i="6" s="1"/>
  <c r="BL125" i="6" s="1"/>
  <c r="BL126" i="6" s="1"/>
  <c r="BL127" i="6" s="1"/>
  <c r="BL128" i="6" s="1"/>
  <c r="BL129" i="6" s="1"/>
  <c r="BL130" i="6" s="1"/>
  <c r="BL131" i="6" s="1"/>
  <c r="BL132" i="6" s="1"/>
  <c r="BL133" i="6" s="1"/>
  <c r="BL134" i="6" s="1"/>
  <c r="BL135" i="6" s="1"/>
  <c r="BL136" i="6" s="1"/>
  <c r="BL137" i="6" s="1"/>
  <c r="BL138" i="6" s="1"/>
  <c r="BL139" i="6" s="1"/>
  <c r="BL140" i="6" s="1"/>
  <c r="BL141" i="6" s="1"/>
  <c r="BL142" i="6" s="1"/>
  <c r="BL143" i="6" s="1"/>
  <c r="BL144" i="6" s="1"/>
  <c r="BL145" i="6" s="1"/>
  <c r="BL146" i="6" s="1"/>
  <c r="BL147" i="6" s="1"/>
  <c r="BL148" i="6" s="1"/>
  <c r="BL149" i="6" s="1"/>
  <c r="BL150" i="6" s="1"/>
  <c r="BL151" i="6" s="1"/>
  <c r="BL152" i="6" s="1"/>
  <c r="BL153" i="6" s="1"/>
  <c r="BL154" i="6" s="1"/>
  <c r="BL155" i="6" s="1"/>
  <c r="BL156" i="6" s="1"/>
  <c r="BL157" i="6" s="1"/>
  <c r="BL158" i="6" s="1"/>
  <c r="BL159" i="6" s="1"/>
  <c r="BL160" i="6" s="1"/>
  <c r="BL161" i="6" s="1"/>
  <c r="BL162" i="6" s="1"/>
  <c r="BL163" i="6" s="1"/>
  <c r="BL164" i="6" s="1"/>
  <c r="BL165" i="6" s="1"/>
  <c r="BL166" i="6" s="1"/>
  <c r="BL167" i="6" s="1"/>
  <c r="BL168" i="6" s="1"/>
  <c r="BL169" i="6" s="1"/>
  <c r="BL170" i="6" s="1"/>
  <c r="BL171" i="6" s="1"/>
  <c r="BL172" i="6" s="1"/>
  <c r="BL173" i="6" s="1"/>
  <c r="BL174" i="6" s="1"/>
  <c r="BL175" i="6" s="1"/>
  <c r="BL176" i="6" s="1"/>
  <c r="BL177" i="6" s="1"/>
  <c r="BL178" i="6" s="1"/>
  <c r="BL179" i="6" s="1"/>
  <c r="BL180" i="6" s="1"/>
  <c r="BL181" i="6" s="1"/>
  <c r="BL182" i="6" s="1"/>
  <c r="BL183" i="6" s="1"/>
  <c r="BL184" i="6" s="1"/>
  <c r="BL185" i="6" s="1"/>
  <c r="BL186" i="6" s="1"/>
  <c r="BL187" i="6" s="1"/>
  <c r="BL188" i="6" s="1"/>
  <c r="BL189" i="6" s="1"/>
  <c r="BL190" i="6" s="1"/>
  <c r="BL191" i="6" s="1"/>
  <c r="BL192" i="6" s="1"/>
  <c r="BL193" i="6" s="1"/>
  <c r="BL194" i="6" s="1"/>
  <c r="BL195" i="6" s="1"/>
  <c r="BL196" i="6" s="1"/>
  <c r="BL197" i="6" s="1"/>
  <c r="BL198" i="6" s="1"/>
  <c r="BL199" i="6" s="1"/>
  <c r="BL200" i="6" s="1"/>
  <c r="BL201" i="6" s="1"/>
  <c r="BL202" i="6" s="1"/>
  <c r="BL203" i="6" s="1"/>
  <c r="BL204" i="6" s="1"/>
  <c r="BL205" i="6" s="1"/>
  <c r="BL206" i="6" s="1"/>
  <c r="BL207" i="6" s="1"/>
  <c r="BL208" i="6" s="1"/>
  <c r="BL209" i="6" s="1"/>
  <c r="BL210" i="6" s="1"/>
  <c r="BL211" i="6" s="1"/>
  <c r="BL212" i="6" s="1"/>
  <c r="BL213" i="6" s="1"/>
  <c r="BL214" i="6" s="1"/>
  <c r="BL215" i="6" s="1"/>
  <c r="BL216" i="6" s="1"/>
  <c r="BL217" i="6" s="1"/>
  <c r="BL218" i="6" s="1"/>
  <c r="BL219" i="6" s="1"/>
  <c r="BL220" i="6" s="1"/>
  <c r="BL221" i="6" s="1"/>
  <c r="BL222" i="6" s="1"/>
  <c r="BL223" i="6" s="1"/>
  <c r="BL224" i="6" s="1"/>
  <c r="BL225" i="6" s="1"/>
  <c r="BL226" i="6" s="1"/>
  <c r="BL227" i="6" s="1"/>
  <c r="BL228" i="6" s="1"/>
  <c r="BL229" i="6" s="1"/>
  <c r="BL230" i="6" s="1"/>
  <c r="BL231" i="6" s="1"/>
  <c r="BL232" i="6" s="1"/>
  <c r="BL233" i="6" s="1"/>
  <c r="BL234" i="6" s="1"/>
  <c r="BL235" i="6" s="1"/>
  <c r="BL236" i="6" s="1"/>
  <c r="BL237" i="6" s="1"/>
  <c r="BL238" i="6" s="1"/>
  <c r="BL239" i="6" s="1"/>
  <c r="BL240" i="6" s="1"/>
  <c r="BL241" i="6" s="1"/>
  <c r="BL242" i="6" s="1"/>
  <c r="BL243" i="6" s="1"/>
  <c r="BL244" i="6" s="1"/>
  <c r="BL245" i="6" s="1"/>
  <c r="BL246" i="6" s="1"/>
  <c r="BL247" i="6" s="1"/>
  <c r="BL248" i="6" s="1"/>
  <c r="BL249" i="6" s="1"/>
  <c r="BL250" i="6" s="1"/>
  <c r="BL251" i="6" s="1"/>
  <c r="BL252" i="6" s="1"/>
  <c r="BL253" i="6" s="1"/>
  <c r="BL254" i="6" s="1"/>
  <c r="BL255" i="6" s="1"/>
  <c r="BM4" i="6"/>
  <c r="BM5" i="6" s="1"/>
  <c r="BM6" i="6" s="1"/>
  <c r="BM7" i="6" s="1"/>
  <c r="BM8" i="6" s="1"/>
  <c r="BM9" i="6" s="1"/>
  <c r="BM10" i="6" s="1"/>
  <c r="BM11" i="6" s="1"/>
  <c r="BM12" i="6" s="1"/>
  <c r="BM13" i="6" s="1"/>
  <c r="BM14" i="6" s="1"/>
  <c r="BM15" i="6" s="1"/>
  <c r="BM16" i="6" s="1"/>
  <c r="BM17" i="6" s="1"/>
  <c r="BM18" i="6" s="1"/>
  <c r="BM19" i="6" s="1"/>
  <c r="BM20" i="6" s="1"/>
  <c r="BM21" i="6" s="1"/>
  <c r="BM22" i="6" s="1"/>
  <c r="BM23" i="6" s="1"/>
  <c r="BM24" i="6" s="1"/>
  <c r="BM25" i="6" s="1"/>
  <c r="BM26" i="6" s="1"/>
  <c r="BM27" i="6" s="1"/>
  <c r="BM28" i="6" s="1"/>
  <c r="BM29" i="6" s="1"/>
  <c r="BM30" i="6" s="1"/>
  <c r="BM31" i="6" s="1"/>
  <c r="BM32" i="6" s="1"/>
  <c r="BM33" i="6" s="1"/>
  <c r="BM34" i="6" s="1"/>
  <c r="BM35" i="6" s="1"/>
  <c r="BM36" i="6" s="1"/>
  <c r="BM37" i="6" s="1"/>
  <c r="BM38" i="6" s="1"/>
  <c r="BM39" i="6" s="1"/>
  <c r="BM40" i="6" s="1"/>
  <c r="BM41" i="6" s="1"/>
  <c r="BM42" i="6" s="1"/>
  <c r="BM43" i="6" s="1"/>
  <c r="BM44" i="6" s="1"/>
  <c r="BM45" i="6" s="1"/>
  <c r="BM46" i="6" s="1"/>
  <c r="BM47" i="6" s="1"/>
  <c r="BM48" i="6" s="1"/>
  <c r="BM49" i="6" s="1"/>
  <c r="BM50" i="6" s="1"/>
  <c r="BM51" i="6" s="1"/>
  <c r="BM52" i="6" s="1"/>
  <c r="BM53" i="6" s="1"/>
  <c r="BM54" i="6" s="1"/>
  <c r="BM55" i="6" s="1"/>
  <c r="BM56" i="6" s="1"/>
  <c r="BM57" i="6" s="1"/>
  <c r="BM58" i="6" s="1"/>
  <c r="BM59" i="6" s="1"/>
  <c r="BM60" i="6" s="1"/>
  <c r="BM61" i="6" s="1"/>
  <c r="BM62" i="6" s="1"/>
  <c r="BM63" i="6" s="1"/>
  <c r="BM64" i="6" s="1"/>
  <c r="BM65" i="6" s="1"/>
  <c r="BM66" i="6" s="1"/>
  <c r="BM67" i="6" s="1"/>
  <c r="BM68" i="6" s="1"/>
  <c r="BM69" i="6" s="1"/>
  <c r="BM70" i="6" s="1"/>
  <c r="BM71" i="6" s="1"/>
  <c r="BM72" i="6" s="1"/>
  <c r="BM73" i="6" s="1"/>
  <c r="BM74" i="6" s="1"/>
  <c r="BM75" i="6" s="1"/>
  <c r="BM76" i="6" s="1"/>
  <c r="BM77" i="6" s="1"/>
  <c r="BM78" i="6" s="1"/>
  <c r="BM79" i="6" s="1"/>
  <c r="BM80" i="6" s="1"/>
  <c r="BM81" i="6" s="1"/>
  <c r="BM82" i="6" s="1"/>
  <c r="BM83" i="6" s="1"/>
  <c r="BM84" i="6" s="1"/>
  <c r="BM85" i="6" s="1"/>
  <c r="BM86" i="6" s="1"/>
  <c r="BM87" i="6" s="1"/>
  <c r="BM88" i="6" s="1"/>
  <c r="BM89" i="6" s="1"/>
  <c r="BM90" i="6" s="1"/>
  <c r="BM91" i="6" s="1"/>
  <c r="BM92" i="6" s="1"/>
  <c r="BM93" i="6" s="1"/>
  <c r="BM94" i="6" s="1"/>
  <c r="BM95" i="6" s="1"/>
  <c r="BM96" i="6" s="1"/>
  <c r="BM97" i="6" s="1"/>
  <c r="BM98" i="6" s="1"/>
  <c r="BM99" i="6" s="1"/>
  <c r="BM100" i="6" s="1"/>
  <c r="BM101" i="6" s="1"/>
  <c r="BM102" i="6" s="1"/>
  <c r="BM103" i="6" s="1"/>
  <c r="BM104" i="6" s="1"/>
  <c r="BM105" i="6" s="1"/>
  <c r="BM106" i="6" s="1"/>
  <c r="BM107" i="6" s="1"/>
  <c r="BM108" i="6" s="1"/>
  <c r="BM109" i="6" s="1"/>
  <c r="BM110" i="6" s="1"/>
  <c r="BM111" i="6" s="1"/>
  <c r="BM112" i="6" s="1"/>
  <c r="BM113" i="6" s="1"/>
  <c r="BM114" i="6" s="1"/>
  <c r="BM115" i="6" s="1"/>
  <c r="BM116" i="6" s="1"/>
  <c r="BM117" i="6" s="1"/>
  <c r="BM118" i="6" s="1"/>
  <c r="BM119" i="6" s="1"/>
  <c r="BM120" i="6" s="1"/>
  <c r="BM121" i="6" s="1"/>
  <c r="BM122" i="6" s="1"/>
  <c r="BM123" i="6" s="1"/>
  <c r="BM124" i="6" s="1"/>
  <c r="BM125" i="6" s="1"/>
  <c r="BM126" i="6" s="1"/>
  <c r="BM127" i="6" s="1"/>
  <c r="BM128" i="6" s="1"/>
  <c r="BM129" i="6" s="1"/>
  <c r="BM130" i="6" s="1"/>
  <c r="BM131" i="6" s="1"/>
  <c r="BM132" i="6" s="1"/>
  <c r="BM133" i="6" s="1"/>
  <c r="BM134" i="6" s="1"/>
  <c r="BM135" i="6" s="1"/>
  <c r="BM136" i="6" s="1"/>
  <c r="BM137" i="6" s="1"/>
  <c r="BM138" i="6" s="1"/>
  <c r="BM139" i="6" s="1"/>
  <c r="BM140" i="6" s="1"/>
  <c r="BM141" i="6" s="1"/>
  <c r="BM142" i="6" s="1"/>
  <c r="BM143" i="6" s="1"/>
  <c r="BM144" i="6" s="1"/>
  <c r="BM145" i="6" s="1"/>
  <c r="BM146" i="6" s="1"/>
  <c r="BM147" i="6" s="1"/>
  <c r="BM148" i="6" s="1"/>
  <c r="BM149" i="6" s="1"/>
  <c r="BM150" i="6" s="1"/>
  <c r="BM151" i="6" s="1"/>
  <c r="BM152" i="6" s="1"/>
  <c r="BM153" i="6" s="1"/>
  <c r="BM154" i="6" s="1"/>
  <c r="BM155" i="6" s="1"/>
  <c r="BM156" i="6" s="1"/>
  <c r="BM157" i="6" s="1"/>
  <c r="BM158" i="6" s="1"/>
  <c r="BM159" i="6" s="1"/>
  <c r="BM160" i="6" s="1"/>
  <c r="BM161" i="6" s="1"/>
  <c r="BM162" i="6" s="1"/>
  <c r="BM163" i="6" s="1"/>
  <c r="BM164" i="6" s="1"/>
  <c r="BM165" i="6" s="1"/>
  <c r="BM166" i="6" s="1"/>
  <c r="BM167" i="6" s="1"/>
  <c r="BM168" i="6" s="1"/>
  <c r="BM169" i="6" s="1"/>
  <c r="BM170" i="6" s="1"/>
  <c r="BM171" i="6" s="1"/>
  <c r="BM172" i="6" s="1"/>
  <c r="BM173" i="6" s="1"/>
  <c r="BM174" i="6" s="1"/>
  <c r="BM175" i="6" s="1"/>
  <c r="BM176" i="6" s="1"/>
  <c r="BM177" i="6" s="1"/>
  <c r="BM178" i="6" s="1"/>
  <c r="BM179" i="6" s="1"/>
  <c r="BM180" i="6" s="1"/>
  <c r="BM181" i="6" s="1"/>
  <c r="BM182" i="6" s="1"/>
  <c r="BM183" i="6" s="1"/>
  <c r="BM184" i="6" s="1"/>
  <c r="BM185" i="6" s="1"/>
  <c r="BM186" i="6" s="1"/>
  <c r="BM187" i="6" s="1"/>
  <c r="BM188" i="6" s="1"/>
  <c r="BM189" i="6" s="1"/>
  <c r="BM190" i="6" s="1"/>
  <c r="BM191" i="6" s="1"/>
  <c r="BM192" i="6" s="1"/>
  <c r="BM193" i="6" s="1"/>
  <c r="BM194" i="6" s="1"/>
  <c r="BM195" i="6" s="1"/>
  <c r="BM196" i="6" s="1"/>
  <c r="BM197" i="6" s="1"/>
  <c r="BM198" i="6" s="1"/>
  <c r="BM199" i="6" s="1"/>
  <c r="BM200" i="6" s="1"/>
  <c r="BM201" i="6" s="1"/>
  <c r="BM202" i="6" s="1"/>
  <c r="BM203" i="6" s="1"/>
  <c r="BM204" i="6" s="1"/>
  <c r="BM205" i="6" s="1"/>
  <c r="BM206" i="6" s="1"/>
  <c r="BM207" i="6" s="1"/>
  <c r="BM208" i="6" s="1"/>
  <c r="BM209" i="6" s="1"/>
  <c r="BM210" i="6" s="1"/>
  <c r="BM211" i="6" s="1"/>
  <c r="BM212" i="6" s="1"/>
  <c r="BM213" i="6" s="1"/>
  <c r="BM214" i="6" s="1"/>
  <c r="BM215" i="6" s="1"/>
  <c r="BM216" i="6" s="1"/>
  <c r="BM217" i="6" s="1"/>
  <c r="BM218" i="6" s="1"/>
  <c r="BM219" i="6" s="1"/>
  <c r="BM220" i="6" s="1"/>
  <c r="BM221" i="6" s="1"/>
  <c r="BM222" i="6" s="1"/>
  <c r="BM223" i="6" s="1"/>
  <c r="BM224" i="6" s="1"/>
  <c r="BM225" i="6" s="1"/>
  <c r="BM226" i="6" s="1"/>
  <c r="BM227" i="6" s="1"/>
  <c r="BM228" i="6" s="1"/>
  <c r="BM229" i="6" s="1"/>
  <c r="BM230" i="6" s="1"/>
  <c r="BM231" i="6" s="1"/>
  <c r="BM232" i="6" s="1"/>
  <c r="BM233" i="6" s="1"/>
  <c r="BM234" i="6" s="1"/>
  <c r="BM235" i="6" s="1"/>
  <c r="BM236" i="6" s="1"/>
  <c r="BM237" i="6" s="1"/>
  <c r="BM238" i="6" s="1"/>
  <c r="BM239" i="6" s="1"/>
  <c r="BM240" i="6" s="1"/>
  <c r="BM241" i="6" s="1"/>
  <c r="BM242" i="6" s="1"/>
  <c r="BM243" i="6" s="1"/>
  <c r="BM244" i="6" s="1"/>
  <c r="BM245" i="6" s="1"/>
  <c r="BM246" i="6" s="1"/>
  <c r="BM247" i="6" s="1"/>
  <c r="BM248" i="6" s="1"/>
  <c r="BM249" i="6" s="1"/>
  <c r="BM250" i="6" s="1"/>
  <c r="BM251" i="6" s="1"/>
  <c r="BM252" i="6" s="1"/>
  <c r="BM253" i="6" s="1"/>
  <c r="BM254" i="6" s="1"/>
  <c r="BM255" i="6" s="1"/>
  <c r="BN4" i="6"/>
  <c r="BN5" i="6" s="1"/>
  <c r="BN6" i="6" s="1"/>
  <c r="BN7" i="6" s="1"/>
  <c r="BN8" i="6" s="1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2" i="6" s="1"/>
  <c r="BN23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BN41" i="6" s="1"/>
  <c r="BN42" i="6" s="1"/>
  <c r="BN43" i="6" s="1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77" i="6" s="1"/>
  <c r="BN78" i="6" s="1"/>
  <c r="BN79" i="6" s="1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113" i="6" s="1"/>
  <c r="BN114" i="6" s="1"/>
  <c r="BN115" i="6" s="1"/>
  <c r="BN116" i="6" s="1"/>
  <c r="BN117" i="6" s="1"/>
  <c r="BN118" i="6" s="1"/>
  <c r="BN119" i="6" s="1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149" i="6" s="1"/>
  <c r="BN150" i="6" s="1"/>
  <c r="BN151" i="6" s="1"/>
  <c r="BN152" i="6" s="1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185" i="6" s="1"/>
  <c r="BN186" i="6" s="1"/>
  <c r="BN187" i="6" s="1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21" i="6" s="1"/>
  <c r="BN222" i="6" s="1"/>
  <c r="BN223" i="6" s="1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O4" i="6"/>
  <c r="BP4" i="6"/>
  <c r="BQ4" i="6"/>
  <c r="BQ5" i="6" s="1"/>
  <c r="BQ6" i="6" s="1"/>
  <c r="BQ7" i="6" s="1"/>
  <c r="BQ8" i="6" s="1"/>
  <c r="BQ9" i="6" s="1"/>
  <c r="BQ10" i="6" s="1"/>
  <c r="BQ11" i="6" s="1"/>
  <c r="BQ12" i="6" s="1"/>
  <c r="BQ13" i="6" s="1"/>
  <c r="BQ14" i="6" s="1"/>
  <c r="BQ15" i="6" s="1"/>
  <c r="BQ16" i="6" s="1"/>
  <c r="BQ17" i="6" s="1"/>
  <c r="BQ18" i="6" s="1"/>
  <c r="BQ19" i="6" s="1"/>
  <c r="BQ20" i="6" s="1"/>
  <c r="BQ21" i="6" s="1"/>
  <c r="BQ22" i="6" s="1"/>
  <c r="BQ23" i="6" s="1"/>
  <c r="BQ24" i="6" s="1"/>
  <c r="BQ25" i="6" s="1"/>
  <c r="BQ26" i="6" s="1"/>
  <c r="BQ27" i="6" s="1"/>
  <c r="BQ28" i="6" s="1"/>
  <c r="BQ29" i="6" s="1"/>
  <c r="BQ30" i="6" s="1"/>
  <c r="BQ31" i="6" s="1"/>
  <c r="BQ32" i="6" s="1"/>
  <c r="BQ33" i="6" s="1"/>
  <c r="BQ34" i="6" s="1"/>
  <c r="BQ35" i="6" s="1"/>
  <c r="BQ36" i="6" s="1"/>
  <c r="BQ37" i="6" s="1"/>
  <c r="BQ38" i="6" s="1"/>
  <c r="BQ39" i="6" s="1"/>
  <c r="BQ40" i="6" s="1"/>
  <c r="BQ41" i="6" s="1"/>
  <c r="BQ42" i="6" s="1"/>
  <c r="BQ43" i="6" s="1"/>
  <c r="BQ44" i="6" s="1"/>
  <c r="BQ45" i="6" s="1"/>
  <c r="BQ46" i="6" s="1"/>
  <c r="BQ47" i="6" s="1"/>
  <c r="BQ48" i="6" s="1"/>
  <c r="BQ49" i="6" s="1"/>
  <c r="BQ50" i="6" s="1"/>
  <c r="BQ51" i="6" s="1"/>
  <c r="BQ52" i="6" s="1"/>
  <c r="BQ53" i="6" s="1"/>
  <c r="BQ54" i="6" s="1"/>
  <c r="BQ55" i="6" s="1"/>
  <c r="BQ56" i="6" s="1"/>
  <c r="BQ57" i="6" s="1"/>
  <c r="BQ58" i="6" s="1"/>
  <c r="BQ59" i="6" s="1"/>
  <c r="BQ60" i="6" s="1"/>
  <c r="BQ61" i="6" s="1"/>
  <c r="BQ62" i="6" s="1"/>
  <c r="BQ63" i="6" s="1"/>
  <c r="BQ64" i="6" s="1"/>
  <c r="BQ65" i="6" s="1"/>
  <c r="BQ66" i="6" s="1"/>
  <c r="BQ67" i="6" s="1"/>
  <c r="BQ68" i="6" s="1"/>
  <c r="BQ69" i="6" s="1"/>
  <c r="BQ70" i="6" s="1"/>
  <c r="BQ71" i="6" s="1"/>
  <c r="BQ72" i="6" s="1"/>
  <c r="BQ73" i="6" s="1"/>
  <c r="BQ74" i="6" s="1"/>
  <c r="BQ75" i="6" s="1"/>
  <c r="BQ76" i="6" s="1"/>
  <c r="BQ77" i="6" s="1"/>
  <c r="BQ78" i="6" s="1"/>
  <c r="BQ79" i="6" s="1"/>
  <c r="BQ80" i="6" s="1"/>
  <c r="BQ81" i="6" s="1"/>
  <c r="BQ82" i="6" s="1"/>
  <c r="BQ83" i="6" s="1"/>
  <c r="BQ84" i="6" s="1"/>
  <c r="BQ85" i="6" s="1"/>
  <c r="BQ86" i="6" s="1"/>
  <c r="BQ87" i="6" s="1"/>
  <c r="BQ88" i="6" s="1"/>
  <c r="BQ89" i="6" s="1"/>
  <c r="BQ90" i="6" s="1"/>
  <c r="BQ91" i="6" s="1"/>
  <c r="BQ92" i="6" s="1"/>
  <c r="BQ93" i="6" s="1"/>
  <c r="BQ94" i="6" s="1"/>
  <c r="BQ95" i="6" s="1"/>
  <c r="BQ96" i="6" s="1"/>
  <c r="BQ97" i="6" s="1"/>
  <c r="BQ98" i="6" s="1"/>
  <c r="BQ99" i="6" s="1"/>
  <c r="BQ100" i="6" s="1"/>
  <c r="BQ101" i="6" s="1"/>
  <c r="BQ102" i="6" s="1"/>
  <c r="BQ103" i="6" s="1"/>
  <c r="BQ104" i="6" s="1"/>
  <c r="BQ105" i="6" s="1"/>
  <c r="BQ106" i="6" s="1"/>
  <c r="BQ107" i="6" s="1"/>
  <c r="BQ108" i="6" s="1"/>
  <c r="BQ109" i="6" s="1"/>
  <c r="BQ110" i="6" s="1"/>
  <c r="BQ111" i="6" s="1"/>
  <c r="BQ112" i="6" s="1"/>
  <c r="BQ113" i="6" s="1"/>
  <c r="BQ114" i="6" s="1"/>
  <c r="BQ115" i="6" s="1"/>
  <c r="BQ116" i="6" s="1"/>
  <c r="BQ117" i="6" s="1"/>
  <c r="BQ118" i="6" s="1"/>
  <c r="BQ119" i="6" s="1"/>
  <c r="BQ120" i="6" s="1"/>
  <c r="BQ121" i="6" s="1"/>
  <c r="BQ122" i="6" s="1"/>
  <c r="BQ123" i="6" s="1"/>
  <c r="BQ124" i="6" s="1"/>
  <c r="BQ125" i="6" s="1"/>
  <c r="BQ126" i="6" s="1"/>
  <c r="BQ127" i="6" s="1"/>
  <c r="BQ128" i="6" s="1"/>
  <c r="BQ129" i="6" s="1"/>
  <c r="BQ130" i="6" s="1"/>
  <c r="BQ131" i="6" s="1"/>
  <c r="BQ132" i="6" s="1"/>
  <c r="BQ133" i="6" s="1"/>
  <c r="BQ134" i="6" s="1"/>
  <c r="BQ135" i="6" s="1"/>
  <c r="BQ136" i="6" s="1"/>
  <c r="BQ137" i="6" s="1"/>
  <c r="BQ138" i="6" s="1"/>
  <c r="BQ139" i="6" s="1"/>
  <c r="BQ140" i="6" s="1"/>
  <c r="BQ141" i="6" s="1"/>
  <c r="BQ142" i="6" s="1"/>
  <c r="BQ143" i="6" s="1"/>
  <c r="BQ144" i="6" s="1"/>
  <c r="BQ145" i="6" s="1"/>
  <c r="BQ146" i="6" s="1"/>
  <c r="BQ147" i="6" s="1"/>
  <c r="BQ148" i="6" s="1"/>
  <c r="BQ149" i="6" s="1"/>
  <c r="BQ150" i="6" s="1"/>
  <c r="BQ151" i="6" s="1"/>
  <c r="BQ152" i="6" s="1"/>
  <c r="BQ153" i="6" s="1"/>
  <c r="BQ154" i="6" s="1"/>
  <c r="BQ155" i="6" s="1"/>
  <c r="BQ156" i="6" s="1"/>
  <c r="BQ157" i="6" s="1"/>
  <c r="BQ158" i="6" s="1"/>
  <c r="BQ159" i="6" s="1"/>
  <c r="BQ160" i="6" s="1"/>
  <c r="BQ161" i="6" s="1"/>
  <c r="BQ162" i="6" s="1"/>
  <c r="BQ163" i="6" s="1"/>
  <c r="BQ164" i="6" s="1"/>
  <c r="BQ165" i="6" s="1"/>
  <c r="BQ166" i="6" s="1"/>
  <c r="BQ167" i="6" s="1"/>
  <c r="BQ168" i="6" s="1"/>
  <c r="BQ169" i="6" s="1"/>
  <c r="BQ170" i="6" s="1"/>
  <c r="BQ171" i="6" s="1"/>
  <c r="BQ172" i="6" s="1"/>
  <c r="BQ173" i="6" s="1"/>
  <c r="BQ174" i="6" s="1"/>
  <c r="BQ175" i="6" s="1"/>
  <c r="BQ176" i="6" s="1"/>
  <c r="BQ177" i="6" s="1"/>
  <c r="BQ178" i="6" s="1"/>
  <c r="BQ179" i="6" s="1"/>
  <c r="BQ180" i="6" s="1"/>
  <c r="BQ181" i="6" s="1"/>
  <c r="BQ182" i="6" s="1"/>
  <c r="BQ183" i="6" s="1"/>
  <c r="BQ184" i="6" s="1"/>
  <c r="BQ185" i="6" s="1"/>
  <c r="BQ186" i="6" s="1"/>
  <c r="BQ187" i="6" s="1"/>
  <c r="BQ188" i="6" s="1"/>
  <c r="BQ189" i="6" s="1"/>
  <c r="BQ190" i="6" s="1"/>
  <c r="BQ191" i="6" s="1"/>
  <c r="BQ192" i="6" s="1"/>
  <c r="BQ193" i="6" s="1"/>
  <c r="BQ194" i="6" s="1"/>
  <c r="BQ195" i="6" s="1"/>
  <c r="BQ196" i="6" s="1"/>
  <c r="BQ197" i="6" s="1"/>
  <c r="BQ198" i="6" s="1"/>
  <c r="BQ199" i="6" s="1"/>
  <c r="BQ200" i="6" s="1"/>
  <c r="BQ201" i="6" s="1"/>
  <c r="BQ202" i="6" s="1"/>
  <c r="BQ203" i="6" s="1"/>
  <c r="BQ204" i="6" s="1"/>
  <c r="BQ205" i="6" s="1"/>
  <c r="BQ206" i="6" s="1"/>
  <c r="BQ207" i="6" s="1"/>
  <c r="BQ208" i="6" s="1"/>
  <c r="BQ209" i="6" s="1"/>
  <c r="BQ210" i="6" s="1"/>
  <c r="BQ211" i="6" s="1"/>
  <c r="BQ212" i="6" s="1"/>
  <c r="BQ213" i="6" s="1"/>
  <c r="BQ214" i="6" s="1"/>
  <c r="BQ215" i="6" s="1"/>
  <c r="BQ216" i="6" s="1"/>
  <c r="BQ217" i="6" s="1"/>
  <c r="BQ218" i="6" s="1"/>
  <c r="BQ219" i="6" s="1"/>
  <c r="BQ220" i="6" s="1"/>
  <c r="BQ221" i="6" s="1"/>
  <c r="BQ222" i="6" s="1"/>
  <c r="BQ223" i="6" s="1"/>
  <c r="BQ224" i="6" s="1"/>
  <c r="BQ225" i="6" s="1"/>
  <c r="BQ226" i="6" s="1"/>
  <c r="BQ227" i="6" s="1"/>
  <c r="BQ228" i="6" s="1"/>
  <c r="BQ229" i="6" s="1"/>
  <c r="BQ230" i="6" s="1"/>
  <c r="BQ231" i="6" s="1"/>
  <c r="BQ232" i="6" s="1"/>
  <c r="BQ233" i="6" s="1"/>
  <c r="BQ234" i="6" s="1"/>
  <c r="BQ235" i="6" s="1"/>
  <c r="BQ236" i="6" s="1"/>
  <c r="BQ237" i="6" s="1"/>
  <c r="BQ238" i="6" s="1"/>
  <c r="BQ239" i="6" s="1"/>
  <c r="BQ240" i="6" s="1"/>
  <c r="BQ241" i="6" s="1"/>
  <c r="BQ242" i="6" s="1"/>
  <c r="BQ243" i="6" s="1"/>
  <c r="BQ244" i="6" s="1"/>
  <c r="BQ245" i="6" s="1"/>
  <c r="BQ246" i="6" s="1"/>
  <c r="BQ247" i="6" s="1"/>
  <c r="BQ248" i="6" s="1"/>
  <c r="BQ249" i="6" s="1"/>
  <c r="BQ250" i="6" s="1"/>
  <c r="BQ251" i="6" s="1"/>
  <c r="BQ252" i="6" s="1"/>
  <c r="BQ253" i="6" s="1"/>
  <c r="BQ254" i="6" s="1"/>
  <c r="BQ255" i="6" s="1"/>
  <c r="BR4" i="6"/>
  <c r="BR5" i="6" s="1"/>
  <c r="BR6" i="6" s="1"/>
  <c r="BR7" i="6" s="1"/>
  <c r="BR8" i="6" s="1"/>
  <c r="BR9" i="6" s="1"/>
  <c r="BR10" i="6" s="1"/>
  <c r="BR11" i="6" s="1"/>
  <c r="BR12" i="6" s="1"/>
  <c r="BR13" i="6" s="1"/>
  <c r="BR14" i="6" s="1"/>
  <c r="BR15" i="6" s="1"/>
  <c r="BR16" i="6" s="1"/>
  <c r="BR17" i="6" s="1"/>
  <c r="BR18" i="6" s="1"/>
  <c r="BR19" i="6" s="1"/>
  <c r="BR20" i="6" s="1"/>
  <c r="BR21" i="6" s="1"/>
  <c r="BR22" i="6" s="1"/>
  <c r="BR23" i="6" s="1"/>
  <c r="BR24" i="6" s="1"/>
  <c r="BR25" i="6" s="1"/>
  <c r="BR26" i="6" s="1"/>
  <c r="BR27" i="6" s="1"/>
  <c r="BR28" i="6" s="1"/>
  <c r="BR29" i="6" s="1"/>
  <c r="BR30" i="6" s="1"/>
  <c r="BR31" i="6" s="1"/>
  <c r="BR32" i="6" s="1"/>
  <c r="BR33" i="6" s="1"/>
  <c r="BR34" i="6" s="1"/>
  <c r="BR35" i="6" s="1"/>
  <c r="BR36" i="6" s="1"/>
  <c r="BR37" i="6" s="1"/>
  <c r="BR38" i="6" s="1"/>
  <c r="BR39" i="6" s="1"/>
  <c r="BR40" i="6" s="1"/>
  <c r="BR41" i="6" s="1"/>
  <c r="BR42" i="6" s="1"/>
  <c r="BR43" i="6" s="1"/>
  <c r="BR44" i="6" s="1"/>
  <c r="BR45" i="6" s="1"/>
  <c r="BR46" i="6" s="1"/>
  <c r="BR47" i="6" s="1"/>
  <c r="BR48" i="6" s="1"/>
  <c r="BR49" i="6" s="1"/>
  <c r="BR50" i="6" s="1"/>
  <c r="BR51" i="6" s="1"/>
  <c r="BR52" i="6" s="1"/>
  <c r="BR53" i="6" s="1"/>
  <c r="BR54" i="6" s="1"/>
  <c r="BR55" i="6" s="1"/>
  <c r="BR56" i="6" s="1"/>
  <c r="BR57" i="6" s="1"/>
  <c r="BR58" i="6" s="1"/>
  <c r="BR59" i="6" s="1"/>
  <c r="BR60" i="6" s="1"/>
  <c r="BR61" i="6" s="1"/>
  <c r="BR62" i="6" s="1"/>
  <c r="BR63" i="6" s="1"/>
  <c r="BR64" i="6" s="1"/>
  <c r="BR65" i="6" s="1"/>
  <c r="BR66" i="6" s="1"/>
  <c r="BR67" i="6" s="1"/>
  <c r="BR68" i="6" s="1"/>
  <c r="BR69" i="6" s="1"/>
  <c r="BR70" i="6" s="1"/>
  <c r="BR71" i="6" s="1"/>
  <c r="BR72" i="6" s="1"/>
  <c r="BR73" i="6" s="1"/>
  <c r="BR74" i="6" s="1"/>
  <c r="BR75" i="6" s="1"/>
  <c r="BR76" i="6" s="1"/>
  <c r="BR77" i="6" s="1"/>
  <c r="BR78" i="6" s="1"/>
  <c r="BR79" i="6" s="1"/>
  <c r="BR80" i="6" s="1"/>
  <c r="BR81" i="6" s="1"/>
  <c r="BR82" i="6" s="1"/>
  <c r="BR83" i="6" s="1"/>
  <c r="BR84" i="6" s="1"/>
  <c r="BR85" i="6" s="1"/>
  <c r="BR86" i="6" s="1"/>
  <c r="BR87" i="6" s="1"/>
  <c r="BR88" i="6" s="1"/>
  <c r="BR89" i="6" s="1"/>
  <c r="BR90" i="6" s="1"/>
  <c r="BR91" i="6" s="1"/>
  <c r="BR92" i="6" s="1"/>
  <c r="BR93" i="6" s="1"/>
  <c r="BR94" i="6" s="1"/>
  <c r="BR95" i="6" s="1"/>
  <c r="BR96" i="6" s="1"/>
  <c r="BR97" i="6" s="1"/>
  <c r="BR98" i="6" s="1"/>
  <c r="BR99" i="6" s="1"/>
  <c r="BR100" i="6" s="1"/>
  <c r="BR101" i="6" s="1"/>
  <c r="BR102" i="6" s="1"/>
  <c r="BR103" i="6" s="1"/>
  <c r="BR104" i="6" s="1"/>
  <c r="BR105" i="6" s="1"/>
  <c r="BR106" i="6" s="1"/>
  <c r="BR107" i="6" s="1"/>
  <c r="BR108" i="6" s="1"/>
  <c r="BR109" i="6" s="1"/>
  <c r="BR110" i="6" s="1"/>
  <c r="BR111" i="6" s="1"/>
  <c r="BR112" i="6" s="1"/>
  <c r="BR113" i="6" s="1"/>
  <c r="BR114" i="6" s="1"/>
  <c r="BR115" i="6" s="1"/>
  <c r="BR116" i="6" s="1"/>
  <c r="BR117" i="6" s="1"/>
  <c r="BR118" i="6" s="1"/>
  <c r="BR119" i="6" s="1"/>
  <c r="BR120" i="6" s="1"/>
  <c r="BR121" i="6" s="1"/>
  <c r="BR122" i="6" s="1"/>
  <c r="BR123" i="6" s="1"/>
  <c r="BR124" i="6" s="1"/>
  <c r="BR125" i="6" s="1"/>
  <c r="BR126" i="6" s="1"/>
  <c r="BR127" i="6" s="1"/>
  <c r="BR128" i="6" s="1"/>
  <c r="BR129" i="6" s="1"/>
  <c r="BR130" i="6" s="1"/>
  <c r="BR131" i="6" s="1"/>
  <c r="BR132" i="6" s="1"/>
  <c r="BR133" i="6" s="1"/>
  <c r="BR134" i="6" s="1"/>
  <c r="BR135" i="6" s="1"/>
  <c r="BR136" i="6" s="1"/>
  <c r="BR137" i="6" s="1"/>
  <c r="BR138" i="6" s="1"/>
  <c r="BR139" i="6" s="1"/>
  <c r="BR140" i="6" s="1"/>
  <c r="BR141" i="6" s="1"/>
  <c r="BR142" i="6" s="1"/>
  <c r="BR143" i="6" s="1"/>
  <c r="BR144" i="6" s="1"/>
  <c r="BR145" i="6" s="1"/>
  <c r="BR146" i="6" s="1"/>
  <c r="BR147" i="6" s="1"/>
  <c r="BR148" i="6" s="1"/>
  <c r="BR149" i="6" s="1"/>
  <c r="BR150" i="6" s="1"/>
  <c r="BR151" i="6" s="1"/>
  <c r="BR152" i="6" s="1"/>
  <c r="BR153" i="6" s="1"/>
  <c r="BR154" i="6" s="1"/>
  <c r="BR155" i="6" s="1"/>
  <c r="BR156" i="6" s="1"/>
  <c r="BR157" i="6" s="1"/>
  <c r="BR158" i="6" s="1"/>
  <c r="BR159" i="6" s="1"/>
  <c r="BR160" i="6" s="1"/>
  <c r="BR161" i="6" s="1"/>
  <c r="BR162" i="6" s="1"/>
  <c r="BR163" i="6" s="1"/>
  <c r="BR164" i="6" s="1"/>
  <c r="BR165" i="6" s="1"/>
  <c r="BR166" i="6" s="1"/>
  <c r="BR167" i="6" s="1"/>
  <c r="BR168" i="6" s="1"/>
  <c r="BR169" i="6" s="1"/>
  <c r="BR170" i="6" s="1"/>
  <c r="BR171" i="6" s="1"/>
  <c r="BR172" i="6" s="1"/>
  <c r="BR173" i="6" s="1"/>
  <c r="BR174" i="6" s="1"/>
  <c r="BR175" i="6" s="1"/>
  <c r="BR176" i="6" s="1"/>
  <c r="BR177" i="6" s="1"/>
  <c r="BR178" i="6" s="1"/>
  <c r="BR179" i="6" s="1"/>
  <c r="BR180" i="6" s="1"/>
  <c r="BR181" i="6" s="1"/>
  <c r="BR182" i="6" s="1"/>
  <c r="BR183" i="6" s="1"/>
  <c r="BR184" i="6" s="1"/>
  <c r="BR185" i="6" s="1"/>
  <c r="BR186" i="6" s="1"/>
  <c r="BR187" i="6" s="1"/>
  <c r="BR188" i="6" s="1"/>
  <c r="BR189" i="6" s="1"/>
  <c r="BR190" i="6" s="1"/>
  <c r="BR191" i="6" s="1"/>
  <c r="BR192" i="6" s="1"/>
  <c r="BR193" i="6" s="1"/>
  <c r="BR194" i="6" s="1"/>
  <c r="BR195" i="6" s="1"/>
  <c r="BR196" i="6" s="1"/>
  <c r="BR197" i="6" s="1"/>
  <c r="BR198" i="6" s="1"/>
  <c r="BR199" i="6" s="1"/>
  <c r="BR200" i="6" s="1"/>
  <c r="BR201" i="6" s="1"/>
  <c r="BR202" i="6" s="1"/>
  <c r="BR203" i="6" s="1"/>
  <c r="BR204" i="6" s="1"/>
  <c r="BR205" i="6" s="1"/>
  <c r="BR206" i="6" s="1"/>
  <c r="BR207" i="6" s="1"/>
  <c r="BR208" i="6" s="1"/>
  <c r="BR209" i="6" s="1"/>
  <c r="BR210" i="6" s="1"/>
  <c r="BR211" i="6" s="1"/>
  <c r="BR212" i="6" s="1"/>
  <c r="BR213" i="6" s="1"/>
  <c r="BR214" i="6" s="1"/>
  <c r="BR215" i="6" s="1"/>
  <c r="BR216" i="6" s="1"/>
  <c r="BR217" i="6" s="1"/>
  <c r="BR218" i="6" s="1"/>
  <c r="BR219" i="6" s="1"/>
  <c r="BR220" i="6" s="1"/>
  <c r="BR221" i="6" s="1"/>
  <c r="BR222" i="6" s="1"/>
  <c r="BR223" i="6" s="1"/>
  <c r="BR224" i="6" s="1"/>
  <c r="BR225" i="6" s="1"/>
  <c r="BR226" i="6" s="1"/>
  <c r="BR227" i="6" s="1"/>
  <c r="BR228" i="6" s="1"/>
  <c r="BR229" i="6" s="1"/>
  <c r="BR230" i="6" s="1"/>
  <c r="BR231" i="6" s="1"/>
  <c r="BR232" i="6" s="1"/>
  <c r="BR233" i="6" s="1"/>
  <c r="BR234" i="6" s="1"/>
  <c r="BR235" i="6" s="1"/>
  <c r="BR236" i="6" s="1"/>
  <c r="BR237" i="6" s="1"/>
  <c r="BR238" i="6" s="1"/>
  <c r="BR239" i="6" s="1"/>
  <c r="BR240" i="6" s="1"/>
  <c r="BR241" i="6" s="1"/>
  <c r="BR242" i="6" s="1"/>
  <c r="BR243" i="6" s="1"/>
  <c r="BR244" i="6" s="1"/>
  <c r="BR245" i="6" s="1"/>
  <c r="BR246" i="6" s="1"/>
  <c r="BR247" i="6" s="1"/>
  <c r="BR248" i="6" s="1"/>
  <c r="BR249" i="6" s="1"/>
  <c r="BR250" i="6" s="1"/>
  <c r="BR251" i="6" s="1"/>
  <c r="BR252" i="6" s="1"/>
  <c r="BR253" i="6" s="1"/>
  <c r="BR254" i="6" s="1"/>
  <c r="BR255" i="6" s="1"/>
  <c r="BS4" i="6"/>
  <c r="BS5" i="6" s="1"/>
  <c r="BS6" i="6" s="1"/>
  <c r="BS7" i="6" s="1"/>
  <c r="BS8" i="6" s="1"/>
  <c r="BS9" i="6" s="1"/>
  <c r="BS10" i="6" s="1"/>
  <c r="BS11" i="6" s="1"/>
  <c r="BS12" i="6" s="1"/>
  <c r="BS13" i="6" s="1"/>
  <c r="BS14" i="6" s="1"/>
  <c r="BS15" i="6" s="1"/>
  <c r="BS16" i="6" s="1"/>
  <c r="BS17" i="6" s="1"/>
  <c r="BS18" i="6" s="1"/>
  <c r="BS19" i="6" s="1"/>
  <c r="BS20" i="6" s="1"/>
  <c r="BS21" i="6" s="1"/>
  <c r="BS22" i="6" s="1"/>
  <c r="BS23" i="6" s="1"/>
  <c r="BS24" i="6" s="1"/>
  <c r="BS25" i="6" s="1"/>
  <c r="BS26" i="6" s="1"/>
  <c r="BS27" i="6" s="1"/>
  <c r="BS28" i="6" s="1"/>
  <c r="BS29" i="6" s="1"/>
  <c r="BS30" i="6" s="1"/>
  <c r="BS31" i="6" s="1"/>
  <c r="BS32" i="6" s="1"/>
  <c r="BS33" i="6" s="1"/>
  <c r="BS34" i="6" s="1"/>
  <c r="BS35" i="6" s="1"/>
  <c r="BS36" i="6" s="1"/>
  <c r="BS37" i="6" s="1"/>
  <c r="BS38" i="6" s="1"/>
  <c r="BS39" i="6" s="1"/>
  <c r="BS40" i="6" s="1"/>
  <c r="BS41" i="6" s="1"/>
  <c r="BS42" i="6" s="1"/>
  <c r="BS43" i="6" s="1"/>
  <c r="BS44" i="6" s="1"/>
  <c r="BS45" i="6" s="1"/>
  <c r="BS46" i="6" s="1"/>
  <c r="BS47" i="6" s="1"/>
  <c r="BS48" i="6" s="1"/>
  <c r="BS49" i="6" s="1"/>
  <c r="BS50" i="6" s="1"/>
  <c r="BS51" i="6" s="1"/>
  <c r="BS52" i="6" s="1"/>
  <c r="BS53" i="6" s="1"/>
  <c r="BS54" i="6" s="1"/>
  <c r="BS55" i="6" s="1"/>
  <c r="BS56" i="6" s="1"/>
  <c r="BS57" i="6" s="1"/>
  <c r="BS58" i="6" s="1"/>
  <c r="BS59" i="6" s="1"/>
  <c r="BS60" i="6" s="1"/>
  <c r="BS61" i="6" s="1"/>
  <c r="BS62" i="6" s="1"/>
  <c r="BS63" i="6" s="1"/>
  <c r="BS64" i="6" s="1"/>
  <c r="BS65" i="6" s="1"/>
  <c r="BS66" i="6" s="1"/>
  <c r="BS67" i="6" s="1"/>
  <c r="BS68" i="6" s="1"/>
  <c r="BS69" i="6" s="1"/>
  <c r="BS70" i="6" s="1"/>
  <c r="BS71" i="6" s="1"/>
  <c r="BS72" i="6" s="1"/>
  <c r="BS73" i="6" s="1"/>
  <c r="BS74" i="6" s="1"/>
  <c r="BS75" i="6" s="1"/>
  <c r="BS76" i="6" s="1"/>
  <c r="BS77" i="6" s="1"/>
  <c r="BS78" i="6" s="1"/>
  <c r="BS79" i="6" s="1"/>
  <c r="BS80" i="6" s="1"/>
  <c r="BS81" i="6" s="1"/>
  <c r="BS82" i="6" s="1"/>
  <c r="BS83" i="6" s="1"/>
  <c r="BS84" i="6" s="1"/>
  <c r="BS85" i="6" s="1"/>
  <c r="BS86" i="6" s="1"/>
  <c r="BS87" i="6" s="1"/>
  <c r="BS88" i="6" s="1"/>
  <c r="BS89" i="6" s="1"/>
  <c r="BS90" i="6" s="1"/>
  <c r="BS91" i="6" s="1"/>
  <c r="BS92" i="6" s="1"/>
  <c r="BS93" i="6" s="1"/>
  <c r="BS94" i="6" s="1"/>
  <c r="BS95" i="6" s="1"/>
  <c r="BS96" i="6" s="1"/>
  <c r="BS97" i="6" s="1"/>
  <c r="BS98" i="6" s="1"/>
  <c r="BS99" i="6" s="1"/>
  <c r="BS100" i="6" s="1"/>
  <c r="BS101" i="6" s="1"/>
  <c r="BS102" i="6" s="1"/>
  <c r="BS103" i="6" s="1"/>
  <c r="BS104" i="6" s="1"/>
  <c r="BS105" i="6" s="1"/>
  <c r="BS106" i="6" s="1"/>
  <c r="BS107" i="6" s="1"/>
  <c r="BS108" i="6" s="1"/>
  <c r="BS109" i="6" s="1"/>
  <c r="BS110" i="6" s="1"/>
  <c r="BS111" i="6" s="1"/>
  <c r="BS112" i="6" s="1"/>
  <c r="BS113" i="6" s="1"/>
  <c r="BS114" i="6" s="1"/>
  <c r="BS115" i="6" s="1"/>
  <c r="BS116" i="6" s="1"/>
  <c r="BS117" i="6" s="1"/>
  <c r="BS118" i="6" s="1"/>
  <c r="BS119" i="6" s="1"/>
  <c r="BS120" i="6" s="1"/>
  <c r="BS121" i="6" s="1"/>
  <c r="BS122" i="6" s="1"/>
  <c r="BS123" i="6" s="1"/>
  <c r="BS124" i="6" s="1"/>
  <c r="BS125" i="6" s="1"/>
  <c r="BS126" i="6" s="1"/>
  <c r="BS127" i="6" s="1"/>
  <c r="BS128" i="6" s="1"/>
  <c r="BS129" i="6" s="1"/>
  <c r="BS130" i="6" s="1"/>
  <c r="BS131" i="6" s="1"/>
  <c r="BS132" i="6" s="1"/>
  <c r="BS133" i="6" s="1"/>
  <c r="BS134" i="6" s="1"/>
  <c r="BS135" i="6" s="1"/>
  <c r="BS136" i="6" s="1"/>
  <c r="BS137" i="6" s="1"/>
  <c r="BS138" i="6" s="1"/>
  <c r="BS139" i="6" s="1"/>
  <c r="BS140" i="6" s="1"/>
  <c r="BS141" i="6" s="1"/>
  <c r="BS142" i="6" s="1"/>
  <c r="BS143" i="6" s="1"/>
  <c r="BS144" i="6" s="1"/>
  <c r="BS145" i="6" s="1"/>
  <c r="BS146" i="6" s="1"/>
  <c r="BS147" i="6" s="1"/>
  <c r="BS148" i="6" s="1"/>
  <c r="BS149" i="6" s="1"/>
  <c r="BS150" i="6" s="1"/>
  <c r="BS151" i="6" s="1"/>
  <c r="BS152" i="6" s="1"/>
  <c r="BS153" i="6" s="1"/>
  <c r="BS154" i="6" s="1"/>
  <c r="BS155" i="6" s="1"/>
  <c r="BS156" i="6" s="1"/>
  <c r="BS157" i="6" s="1"/>
  <c r="BS158" i="6" s="1"/>
  <c r="BS159" i="6" s="1"/>
  <c r="BS160" i="6" s="1"/>
  <c r="BS161" i="6" s="1"/>
  <c r="BS162" i="6" s="1"/>
  <c r="BS163" i="6" s="1"/>
  <c r="BS164" i="6" s="1"/>
  <c r="BS165" i="6" s="1"/>
  <c r="BS166" i="6" s="1"/>
  <c r="BS167" i="6" s="1"/>
  <c r="BS168" i="6" s="1"/>
  <c r="BS169" i="6" s="1"/>
  <c r="BS170" i="6" s="1"/>
  <c r="BS171" i="6" s="1"/>
  <c r="BS172" i="6" s="1"/>
  <c r="BS173" i="6" s="1"/>
  <c r="BS174" i="6" s="1"/>
  <c r="BS175" i="6" s="1"/>
  <c r="BS176" i="6" s="1"/>
  <c r="BS177" i="6" s="1"/>
  <c r="BS178" i="6" s="1"/>
  <c r="BS179" i="6" s="1"/>
  <c r="BS180" i="6" s="1"/>
  <c r="BS181" i="6" s="1"/>
  <c r="BS182" i="6" s="1"/>
  <c r="BS183" i="6" s="1"/>
  <c r="BS184" i="6" s="1"/>
  <c r="BS185" i="6" s="1"/>
  <c r="BS186" i="6" s="1"/>
  <c r="BS187" i="6" s="1"/>
  <c r="BS188" i="6" s="1"/>
  <c r="BS189" i="6" s="1"/>
  <c r="BS190" i="6" s="1"/>
  <c r="BS191" i="6" s="1"/>
  <c r="BS192" i="6" s="1"/>
  <c r="BS193" i="6" s="1"/>
  <c r="BS194" i="6" s="1"/>
  <c r="BS195" i="6" s="1"/>
  <c r="BS196" i="6" s="1"/>
  <c r="BS197" i="6" s="1"/>
  <c r="BS198" i="6" s="1"/>
  <c r="BS199" i="6" s="1"/>
  <c r="BS200" i="6" s="1"/>
  <c r="BS201" i="6" s="1"/>
  <c r="BS202" i="6" s="1"/>
  <c r="BS203" i="6" s="1"/>
  <c r="BS204" i="6" s="1"/>
  <c r="BS205" i="6" s="1"/>
  <c r="BS206" i="6" s="1"/>
  <c r="BS207" i="6" s="1"/>
  <c r="BS208" i="6" s="1"/>
  <c r="BS209" i="6" s="1"/>
  <c r="BS210" i="6" s="1"/>
  <c r="BS211" i="6" s="1"/>
  <c r="BS212" i="6" s="1"/>
  <c r="BS213" i="6" s="1"/>
  <c r="BS214" i="6" s="1"/>
  <c r="BS215" i="6" s="1"/>
  <c r="BS216" i="6" s="1"/>
  <c r="BS217" i="6" s="1"/>
  <c r="BS218" i="6" s="1"/>
  <c r="BS219" i="6" s="1"/>
  <c r="BS220" i="6" s="1"/>
  <c r="BS221" i="6" s="1"/>
  <c r="BS222" i="6" s="1"/>
  <c r="BS223" i="6" s="1"/>
  <c r="BS224" i="6" s="1"/>
  <c r="BS225" i="6" s="1"/>
  <c r="BS226" i="6" s="1"/>
  <c r="BS227" i="6" s="1"/>
  <c r="BS228" i="6" s="1"/>
  <c r="BS229" i="6" s="1"/>
  <c r="BS230" i="6" s="1"/>
  <c r="BS231" i="6" s="1"/>
  <c r="BS232" i="6" s="1"/>
  <c r="BS233" i="6" s="1"/>
  <c r="BS234" i="6" s="1"/>
  <c r="BS235" i="6" s="1"/>
  <c r="BS236" i="6" s="1"/>
  <c r="BS237" i="6" s="1"/>
  <c r="BS238" i="6" s="1"/>
  <c r="BS239" i="6" s="1"/>
  <c r="BS240" i="6" s="1"/>
  <c r="BS241" i="6" s="1"/>
  <c r="BS242" i="6" s="1"/>
  <c r="BS243" i="6" s="1"/>
  <c r="BS244" i="6" s="1"/>
  <c r="BS245" i="6" s="1"/>
  <c r="BS246" i="6" s="1"/>
  <c r="BS247" i="6" s="1"/>
  <c r="BS248" i="6" s="1"/>
  <c r="BS249" i="6" s="1"/>
  <c r="BS250" i="6" s="1"/>
  <c r="BS251" i="6" s="1"/>
  <c r="BS252" i="6" s="1"/>
  <c r="BS253" i="6" s="1"/>
  <c r="BS254" i="6" s="1"/>
  <c r="BS255" i="6" s="1"/>
  <c r="BT4" i="6"/>
  <c r="BU4" i="6"/>
  <c r="BU5" i="6" s="1"/>
  <c r="BU6" i="6" s="1"/>
  <c r="BU7" i="6" s="1"/>
  <c r="BU8" i="6" s="1"/>
  <c r="BU9" i="6" s="1"/>
  <c r="BU10" i="6" s="1"/>
  <c r="BU11" i="6" s="1"/>
  <c r="BU12" i="6" s="1"/>
  <c r="BU13" i="6" s="1"/>
  <c r="BU14" i="6" s="1"/>
  <c r="BU15" i="6" s="1"/>
  <c r="BU16" i="6" s="1"/>
  <c r="BU17" i="6" s="1"/>
  <c r="BU18" i="6" s="1"/>
  <c r="BU19" i="6" s="1"/>
  <c r="BU20" i="6" s="1"/>
  <c r="BU21" i="6" s="1"/>
  <c r="BU22" i="6" s="1"/>
  <c r="BU23" i="6" s="1"/>
  <c r="BU24" i="6" s="1"/>
  <c r="BU25" i="6" s="1"/>
  <c r="BU26" i="6" s="1"/>
  <c r="BU27" i="6" s="1"/>
  <c r="BU28" i="6" s="1"/>
  <c r="BU29" i="6" s="1"/>
  <c r="BU30" i="6" s="1"/>
  <c r="BU31" i="6" s="1"/>
  <c r="BU32" i="6" s="1"/>
  <c r="BU33" i="6" s="1"/>
  <c r="BU34" i="6" s="1"/>
  <c r="BU35" i="6" s="1"/>
  <c r="BU36" i="6" s="1"/>
  <c r="BU37" i="6" s="1"/>
  <c r="BU38" i="6" s="1"/>
  <c r="BU39" i="6" s="1"/>
  <c r="BU40" i="6" s="1"/>
  <c r="BU41" i="6" s="1"/>
  <c r="BU42" i="6" s="1"/>
  <c r="BU43" i="6" s="1"/>
  <c r="BU44" i="6" s="1"/>
  <c r="BU45" i="6" s="1"/>
  <c r="BU46" i="6" s="1"/>
  <c r="BU47" i="6" s="1"/>
  <c r="BU48" i="6" s="1"/>
  <c r="BU49" i="6" s="1"/>
  <c r="BU50" i="6" s="1"/>
  <c r="BU51" i="6" s="1"/>
  <c r="BU52" i="6" s="1"/>
  <c r="BU53" i="6" s="1"/>
  <c r="BU54" i="6" s="1"/>
  <c r="BU55" i="6" s="1"/>
  <c r="BU56" i="6" s="1"/>
  <c r="BU57" i="6" s="1"/>
  <c r="BU58" i="6" s="1"/>
  <c r="BU59" i="6" s="1"/>
  <c r="BU60" i="6" s="1"/>
  <c r="BU61" i="6" s="1"/>
  <c r="BU62" i="6" s="1"/>
  <c r="BU63" i="6" s="1"/>
  <c r="BU64" i="6" s="1"/>
  <c r="BU65" i="6" s="1"/>
  <c r="BU66" i="6" s="1"/>
  <c r="BU67" i="6" s="1"/>
  <c r="BU68" i="6" s="1"/>
  <c r="BU69" i="6" s="1"/>
  <c r="BU70" i="6" s="1"/>
  <c r="BU71" i="6" s="1"/>
  <c r="BU72" i="6" s="1"/>
  <c r="BU73" i="6" s="1"/>
  <c r="BU74" i="6" s="1"/>
  <c r="BU75" i="6" s="1"/>
  <c r="BU76" i="6" s="1"/>
  <c r="BU77" i="6" s="1"/>
  <c r="BU78" i="6" s="1"/>
  <c r="BU79" i="6" s="1"/>
  <c r="BU80" i="6" s="1"/>
  <c r="BU81" i="6" s="1"/>
  <c r="BU82" i="6" s="1"/>
  <c r="BU83" i="6" s="1"/>
  <c r="BU84" i="6" s="1"/>
  <c r="BU85" i="6" s="1"/>
  <c r="BU86" i="6" s="1"/>
  <c r="BU87" i="6" s="1"/>
  <c r="BU88" i="6" s="1"/>
  <c r="BU89" i="6" s="1"/>
  <c r="BU90" i="6" s="1"/>
  <c r="BU91" i="6" s="1"/>
  <c r="BU92" i="6" s="1"/>
  <c r="BU93" i="6" s="1"/>
  <c r="BU94" i="6" s="1"/>
  <c r="BU95" i="6" s="1"/>
  <c r="BU96" i="6" s="1"/>
  <c r="BU97" i="6" s="1"/>
  <c r="BU98" i="6" s="1"/>
  <c r="BU99" i="6" s="1"/>
  <c r="BU100" i="6" s="1"/>
  <c r="BU101" i="6" s="1"/>
  <c r="BU102" i="6" s="1"/>
  <c r="BU103" i="6" s="1"/>
  <c r="BU104" i="6" s="1"/>
  <c r="BU105" i="6" s="1"/>
  <c r="BU106" i="6" s="1"/>
  <c r="BU107" i="6" s="1"/>
  <c r="BU108" i="6" s="1"/>
  <c r="BU109" i="6" s="1"/>
  <c r="BU110" i="6" s="1"/>
  <c r="BU111" i="6" s="1"/>
  <c r="BU112" i="6" s="1"/>
  <c r="BU113" i="6" s="1"/>
  <c r="BU114" i="6" s="1"/>
  <c r="BU115" i="6" s="1"/>
  <c r="BU116" i="6" s="1"/>
  <c r="BU117" i="6" s="1"/>
  <c r="BU118" i="6" s="1"/>
  <c r="BU119" i="6" s="1"/>
  <c r="BU120" i="6" s="1"/>
  <c r="BU121" i="6" s="1"/>
  <c r="BU122" i="6" s="1"/>
  <c r="BU123" i="6" s="1"/>
  <c r="BU124" i="6" s="1"/>
  <c r="BU125" i="6" s="1"/>
  <c r="BU126" i="6" s="1"/>
  <c r="BU127" i="6" s="1"/>
  <c r="BU128" i="6" s="1"/>
  <c r="BU129" i="6" s="1"/>
  <c r="BU130" i="6" s="1"/>
  <c r="BU131" i="6" s="1"/>
  <c r="BU132" i="6" s="1"/>
  <c r="BU133" i="6" s="1"/>
  <c r="BU134" i="6" s="1"/>
  <c r="BU135" i="6" s="1"/>
  <c r="BU136" i="6" s="1"/>
  <c r="BU137" i="6" s="1"/>
  <c r="BU138" i="6" s="1"/>
  <c r="BU139" i="6" s="1"/>
  <c r="BU140" i="6" s="1"/>
  <c r="BU141" i="6" s="1"/>
  <c r="BU142" i="6" s="1"/>
  <c r="BU143" i="6" s="1"/>
  <c r="BU144" i="6" s="1"/>
  <c r="BU145" i="6" s="1"/>
  <c r="BU146" i="6" s="1"/>
  <c r="BU147" i="6" s="1"/>
  <c r="BU148" i="6" s="1"/>
  <c r="BU149" i="6" s="1"/>
  <c r="BU150" i="6" s="1"/>
  <c r="BU151" i="6" s="1"/>
  <c r="BU152" i="6" s="1"/>
  <c r="BU153" i="6" s="1"/>
  <c r="BU154" i="6" s="1"/>
  <c r="BU155" i="6" s="1"/>
  <c r="BU156" i="6" s="1"/>
  <c r="BU157" i="6" s="1"/>
  <c r="BU158" i="6" s="1"/>
  <c r="BU159" i="6" s="1"/>
  <c r="BU160" i="6" s="1"/>
  <c r="BU161" i="6" s="1"/>
  <c r="BU162" i="6" s="1"/>
  <c r="BU163" i="6" s="1"/>
  <c r="BU164" i="6" s="1"/>
  <c r="BU165" i="6" s="1"/>
  <c r="BU166" i="6" s="1"/>
  <c r="BU167" i="6" s="1"/>
  <c r="BU168" i="6" s="1"/>
  <c r="BU169" i="6" s="1"/>
  <c r="BU170" i="6" s="1"/>
  <c r="BU171" i="6" s="1"/>
  <c r="BU172" i="6" s="1"/>
  <c r="BU173" i="6" s="1"/>
  <c r="BU174" i="6" s="1"/>
  <c r="BU175" i="6" s="1"/>
  <c r="BU176" i="6" s="1"/>
  <c r="BU177" i="6" s="1"/>
  <c r="BU178" i="6" s="1"/>
  <c r="BU179" i="6" s="1"/>
  <c r="BU180" i="6" s="1"/>
  <c r="BU181" i="6" s="1"/>
  <c r="BU182" i="6" s="1"/>
  <c r="BU183" i="6" s="1"/>
  <c r="BU184" i="6" s="1"/>
  <c r="BU185" i="6" s="1"/>
  <c r="BU186" i="6" s="1"/>
  <c r="BU187" i="6" s="1"/>
  <c r="BU188" i="6" s="1"/>
  <c r="BU189" i="6" s="1"/>
  <c r="BU190" i="6" s="1"/>
  <c r="BU191" i="6" s="1"/>
  <c r="BU192" i="6" s="1"/>
  <c r="BU193" i="6" s="1"/>
  <c r="BU194" i="6" s="1"/>
  <c r="BU195" i="6" s="1"/>
  <c r="BU196" i="6" s="1"/>
  <c r="BU197" i="6" s="1"/>
  <c r="BU198" i="6" s="1"/>
  <c r="BU199" i="6" s="1"/>
  <c r="BU200" i="6" s="1"/>
  <c r="BU201" i="6" s="1"/>
  <c r="BU202" i="6" s="1"/>
  <c r="BU203" i="6" s="1"/>
  <c r="BU204" i="6" s="1"/>
  <c r="BU205" i="6" s="1"/>
  <c r="BU206" i="6" s="1"/>
  <c r="BU207" i="6" s="1"/>
  <c r="BU208" i="6" s="1"/>
  <c r="BU209" i="6" s="1"/>
  <c r="BU210" i="6" s="1"/>
  <c r="BU211" i="6" s="1"/>
  <c r="BU212" i="6" s="1"/>
  <c r="BU213" i="6" s="1"/>
  <c r="BU214" i="6" s="1"/>
  <c r="BU215" i="6" s="1"/>
  <c r="BU216" i="6" s="1"/>
  <c r="BU217" i="6" s="1"/>
  <c r="BU218" i="6" s="1"/>
  <c r="BU219" i="6" s="1"/>
  <c r="BU220" i="6" s="1"/>
  <c r="BU221" i="6" s="1"/>
  <c r="BU222" i="6" s="1"/>
  <c r="BU223" i="6" s="1"/>
  <c r="BU224" i="6" s="1"/>
  <c r="BU225" i="6" s="1"/>
  <c r="BU226" i="6" s="1"/>
  <c r="BU227" i="6" s="1"/>
  <c r="BU228" i="6" s="1"/>
  <c r="BU229" i="6" s="1"/>
  <c r="BU230" i="6" s="1"/>
  <c r="BU231" i="6" s="1"/>
  <c r="BU232" i="6" s="1"/>
  <c r="BU233" i="6" s="1"/>
  <c r="BU234" i="6" s="1"/>
  <c r="BU235" i="6" s="1"/>
  <c r="BU236" i="6" s="1"/>
  <c r="BU237" i="6" s="1"/>
  <c r="BU238" i="6" s="1"/>
  <c r="BU239" i="6" s="1"/>
  <c r="BU240" i="6" s="1"/>
  <c r="BU241" i="6" s="1"/>
  <c r="BU242" i="6" s="1"/>
  <c r="BU243" i="6" s="1"/>
  <c r="BU244" i="6" s="1"/>
  <c r="BU245" i="6" s="1"/>
  <c r="BU246" i="6" s="1"/>
  <c r="BU247" i="6" s="1"/>
  <c r="BU248" i="6" s="1"/>
  <c r="BU249" i="6" s="1"/>
  <c r="BU250" i="6" s="1"/>
  <c r="BU251" i="6" s="1"/>
  <c r="BU252" i="6" s="1"/>
  <c r="BU253" i="6" s="1"/>
  <c r="BU254" i="6" s="1"/>
  <c r="BU255" i="6" s="1"/>
  <c r="BV4" i="6"/>
  <c r="BV5" i="6" s="1"/>
  <c r="BV6" i="6" s="1"/>
  <c r="BV7" i="6" s="1"/>
  <c r="BV8" i="6" s="1"/>
  <c r="BV9" i="6" s="1"/>
  <c r="BV10" i="6" s="1"/>
  <c r="BV11" i="6" s="1"/>
  <c r="BV12" i="6" s="1"/>
  <c r="BV13" i="6" s="1"/>
  <c r="BV14" i="6" s="1"/>
  <c r="BV15" i="6" s="1"/>
  <c r="BV16" i="6" s="1"/>
  <c r="BV17" i="6" s="1"/>
  <c r="BV18" i="6" s="1"/>
  <c r="BV19" i="6" s="1"/>
  <c r="BV20" i="6" s="1"/>
  <c r="BV21" i="6" s="1"/>
  <c r="BV22" i="6" s="1"/>
  <c r="BV23" i="6" s="1"/>
  <c r="BV24" i="6" s="1"/>
  <c r="BV25" i="6" s="1"/>
  <c r="BV26" i="6" s="1"/>
  <c r="BV27" i="6" s="1"/>
  <c r="BV28" i="6" s="1"/>
  <c r="BV29" i="6" s="1"/>
  <c r="BV30" i="6" s="1"/>
  <c r="BV31" i="6" s="1"/>
  <c r="BV32" i="6" s="1"/>
  <c r="BV33" i="6" s="1"/>
  <c r="BV34" i="6" s="1"/>
  <c r="BV35" i="6" s="1"/>
  <c r="BV36" i="6" s="1"/>
  <c r="BV37" i="6" s="1"/>
  <c r="BV38" i="6" s="1"/>
  <c r="BV39" i="6" s="1"/>
  <c r="BV40" i="6" s="1"/>
  <c r="BV41" i="6" s="1"/>
  <c r="BV42" i="6" s="1"/>
  <c r="BV43" i="6" s="1"/>
  <c r="BV44" i="6" s="1"/>
  <c r="BV45" i="6" s="1"/>
  <c r="BV46" i="6" s="1"/>
  <c r="BV47" i="6" s="1"/>
  <c r="BV48" i="6" s="1"/>
  <c r="BV49" i="6" s="1"/>
  <c r="BV50" i="6" s="1"/>
  <c r="BV51" i="6" s="1"/>
  <c r="BV52" i="6" s="1"/>
  <c r="BV53" i="6" s="1"/>
  <c r="BV54" i="6" s="1"/>
  <c r="BV55" i="6" s="1"/>
  <c r="BV56" i="6" s="1"/>
  <c r="BV57" i="6" s="1"/>
  <c r="BV58" i="6" s="1"/>
  <c r="BV59" i="6" s="1"/>
  <c r="BV60" i="6" s="1"/>
  <c r="BV61" i="6" s="1"/>
  <c r="BV62" i="6" s="1"/>
  <c r="BV63" i="6" s="1"/>
  <c r="BV64" i="6" s="1"/>
  <c r="BV65" i="6" s="1"/>
  <c r="BV66" i="6" s="1"/>
  <c r="BV67" i="6" s="1"/>
  <c r="BV68" i="6" s="1"/>
  <c r="BV69" i="6" s="1"/>
  <c r="BV70" i="6" s="1"/>
  <c r="BV71" i="6" s="1"/>
  <c r="BV72" i="6" s="1"/>
  <c r="BV73" i="6" s="1"/>
  <c r="BV74" i="6" s="1"/>
  <c r="BV75" i="6" s="1"/>
  <c r="BV76" i="6" s="1"/>
  <c r="BV77" i="6" s="1"/>
  <c r="BV78" i="6" s="1"/>
  <c r="BV79" i="6" s="1"/>
  <c r="BV80" i="6" s="1"/>
  <c r="BV81" i="6" s="1"/>
  <c r="BV82" i="6" s="1"/>
  <c r="BV83" i="6" s="1"/>
  <c r="BV84" i="6" s="1"/>
  <c r="BV85" i="6" s="1"/>
  <c r="BV86" i="6" s="1"/>
  <c r="BV87" i="6" s="1"/>
  <c r="BV88" i="6" s="1"/>
  <c r="BV89" i="6" s="1"/>
  <c r="BV90" i="6" s="1"/>
  <c r="BV91" i="6" s="1"/>
  <c r="BV92" i="6" s="1"/>
  <c r="BV93" i="6" s="1"/>
  <c r="BV94" i="6" s="1"/>
  <c r="BV95" i="6" s="1"/>
  <c r="BV96" i="6" s="1"/>
  <c r="BV97" i="6" s="1"/>
  <c r="BV98" i="6" s="1"/>
  <c r="BV99" i="6" s="1"/>
  <c r="BV100" i="6" s="1"/>
  <c r="BV101" i="6" s="1"/>
  <c r="BV102" i="6" s="1"/>
  <c r="BV103" i="6" s="1"/>
  <c r="BV104" i="6" s="1"/>
  <c r="BV105" i="6" s="1"/>
  <c r="BV106" i="6" s="1"/>
  <c r="BV107" i="6" s="1"/>
  <c r="BV108" i="6" s="1"/>
  <c r="BV109" i="6" s="1"/>
  <c r="BV110" i="6" s="1"/>
  <c r="BV111" i="6" s="1"/>
  <c r="BV112" i="6" s="1"/>
  <c r="BV113" i="6" s="1"/>
  <c r="BV114" i="6" s="1"/>
  <c r="BV115" i="6" s="1"/>
  <c r="BV116" i="6" s="1"/>
  <c r="BV117" i="6" s="1"/>
  <c r="BV118" i="6" s="1"/>
  <c r="BV119" i="6" s="1"/>
  <c r="BV120" i="6" s="1"/>
  <c r="BV121" i="6" s="1"/>
  <c r="BV122" i="6" s="1"/>
  <c r="BV123" i="6" s="1"/>
  <c r="BV124" i="6" s="1"/>
  <c r="BV125" i="6" s="1"/>
  <c r="BV126" i="6" s="1"/>
  <c r="BV127" i="6" s="1"/>
  <c r="BV128" i="6" s="1"/>
  <c r="BV129" i="6" s="1"/>
  <c r="BV130" i="6" s="1"/>
  <c r="BV131" i="6" s="1"/>
  <c r="BV132" i="6" s="1"/>
  <c r="BV133" i="6" s="1"/>
  <c r="BV134" i="6" s="1"/>
  <c r="BV135" i="6" s="1"/>
  <c r="BV136" i="6" s="1"/>
  <c r="BV137" i="6" s="1"/>
  <c r="BV138" i="6" s="1"/>
  <c r="BV139" i="6" s="1"/>
  <c r="BV140" i="6" s="1"/>
  <c r="BV141" i="6" s="1"/>
  <c r="BV142" i="6" s="1"/>
  <c r="BV143" i="6" s="1"/>
  <c r="BV144" i="6" s="1"/>
  <c r="BV145" i="6" s="1"/>
  <c r="BV146" i="6" s="1"/>
  <c r="BV147" i="6" s="1"/>
  <c r="BV148" i="6" s="1"/>
  <c r="BV149" i="6" s="1"/>
  <c r="BV150" i="6" s="1"/>
  <c r="BV151" i="6" s="1"/>
  <c r="BV152" i="6" s="1"/>
  <c r="BV153" i="6" s="1"/>
  <c r="BV154" i="6" s="1"/>
  <c r="BV155" i="6" s="1"/>
  <c r="BV156" i="6" s="1"/>
  <c r="BV157" i="6" s="1"/>
  <c r="BV158" i="6" s="1"/>
  <c r="BV159" i="6" s="1"/>
  <c r="BV160" i="6" s="1"/>
  <c r="BV161" i="6" s="1"/>
  <c r="BV162" i="6" s="1"/>
  <c r="BV163" i="6" s="1"/>
  <c r="BV164" i="6" s="1"/>
  <c r="BV165" i="6" s="1"/>
  <c r="BV166" i="6" s="1"/>
  <c r="BV167" i="6" s="1"/>
  <c r="BV168" i="6" s="1"/>
  <c r="BV169" i="6" s="1"/>
  <c r="BV170" i="6" s="1"/>
  <c r="BV171" i="6" s="1"/>
  <c r="BV172" i="6" s="1"/>
  <c r="BV173" i="6" s="1"/>
  <c r="BV174" i="6" s="1"/>
  <c r="BV175" i="6" s="1"/>
  <c r="BV176" i="6" s="1"/>
  <c r="BV177" i="6" s="1"/>
  <c r="BV178" i="6" s="1"/>
  <c r="BV179" i="6" s="1"/>
  <c r="BV180" i="6" s="1"/>
  <c r="BV181" i="6" s="1"/>
  <c r="BV182" i="6" s="1"/>
  <c r="BV183" i="6" s="1"/>
  <c r="BV184" i="6" s="1"/>
  <c r="BV185" i="6" s="1"/>
  <c r="BV186" i="6" s="1"/>
  <c r="BV187" i="6" s="1"/>
  <c r="BV188" i="6" s="1"/>
  <c r="BV189" i="6" s="1"/>
  <c r="BV190" i="6" s="1"/>
  <c r="BV191" i="6" s="1"/>
  <c r="BV192" i="6" s="1"/>
  <c r="BV193" i="6" s="1"/>
  <c r="BV194" i="6" s="1"/>
  <c r="BV195" i="6" s="1"/>
  <c r="BV196" i="6" s="1"/>
  <c r="BV197" i="6" s="1"/>
  <c r="BV198" i="6" s="1"/>
  <c r="BV199" i="6" s="1"/>
  <c r="BV200" i="6" s="1"/>
  <c r="BV201" i="6" s="1"/>
  <c r="BV202" i="6" s="1"/>
  <c r="BV203" i="6" s="1"/>
  <c r="BV204" i="6" s="1"/>
  <c r="BV205" i="6" s="1"/>
  <c r="BV206" i="6" s="1"/>
  <c r="BV207" i="6" s="1"/>
  <c r="BV208" i="6" s="1"/>
  <c r="BV209" i="6" s="1"/>
  <c r="BV210" i="6" s="1"/>
  <c r="BV211" i="6" s="1"/>
  <c r="BV212" i="6" s="1"/>
  <c r="BV213" i="6" s="1"/>
  <c r="BV214" i="6" s="1"/>
  <c r="BV215" i="6" s="1"/>
  <c r="BV216" i="6" s="1"/>
  <c r="BV217" i="6" s="1"/>
  <c r="BV218" i="6" s="1"/>
  <c r="BV219" i="6" s="1"/>
  <c r="BV220" i="6" s="1"/>
  <c r="BV221" i="6" s="1"/>
  <c r="BV222" i="6" s="1"/>
  <c r="BV223" i="6" s="1"/>
  <c r="BV224" i="6" s="1"/>
  <c r="BV225" i="6" s="1"/>
  <c r="BV226" i="6" s="1"/>
  <c r="BV227" i="6" s="1"/>
  <c r="BV228" i="6" s="1"/>
  <c r="BV229" i="6" s="1"/>
  <c r="BV230" i="6" s="1"/>
  <c r="BV231" i="6" s="1"/>
  <c r="BV232" i="6" s="1"/>
  <c r="BV233" i="6" s="1"/>
  <c r="BV234" i="6" s="1"/>
  <c r="BV235" i="6" s="1"/>
  <c r="BV236" i="6" s="1"/>
  <c r="BV237" i="6" s="1"/>
  <c r="BV238" i="6" s="1"/>
  <c r="BV239" i="6" s="1"/>
  <c r="BV240" i="6" s="1"/>
  <c r="BV241" i="6" s="1"/>
  <c r="BV242" i="6" s="1"/>
  <c r="BV243" i="6" s="1"/>
  <c r="BV244" i="6" s="1"/>
  <c r="BV245" i="6" s="1"/>
  <c r="BV246" i="6" s="1"/>
  <c r="BV247" i="6" s="1"/>
  <c r="BV248" i="6" s="1"/>
  <c r="BV249" i="6" s="1"/>
  <c r="BV250" i="6" s="1"/>
  <c r="BV251" i="6" s="1"/>
  <c r="BV252" i="6" s="1"/>
  <c r="BV253" i="6" s="1"/>
  <c r="BV254" i="6" s="1"/>
  <c r="BV255" i="6" s="1"/>
  <c r="BW4" i="6"/>
  <c r="BW5" i="6" s="1"/>
  <c r="BW6" i="6" s="1"/>
  <c r="BW7" i="6" s="1"/>
  <c r="BW8" i="6" s="1"/>
  <c r="BW9" i="6" s="1"/>
  <c r="BW10" i="6" s="1"/>
  <c r="BW11" i="6" s="1"/>
  <c r="BW12" i="6" s="1"/>
  <c r="BW13" i="6" s="1"/>
  <c r="BW14" i="6" s="1"/>
  <c r="BW15" i="6" s="1"/>
  <c r="BW16" i="6" s="1"/>
  <c r="BW17" i="6" s="1"/>
  <c r="BW18" i="6" s="1"/>
  <c r="BW19" i="6" s="1"/>
  <c r="BW20" i="6" s="1"/>
  <c r="BW21" i="6" s="1"/>
  <c r="BW22" i="6" s="1"/>
  <c r="BW23" i="6" s="1"/>
  <c r="BW24" i="6" s="1"/>
  <c r="BW25" i="6" s="1"/>
  <c r="BW26" i="6" s="1"/>
  <c r="BW27" i="6" s="1"/>
  <c r="BW28" i="6" s="1"/>
  <c r="BW29" i="6" s="1"/>
  <c r="BW30" i="6" s="1"/>
  <c r="BW31" i="6" s="1"/>
  <c r="BW32" i="6" s="1"/>
  <c r="BW33" i="6" s="1"/>
  <c r="BW34" i="6" s="1"/>
  <c r="BW35" i="6" s="1"/>
  <c r="BW36" i="6" s="1"/>
  <c r="BW37" i="6" s="1"/>
  <c r="BW38" i="6" s="1"/>
  <c r="BW39" i="6" s="1"/>
  <c r="BW40" i="6" s="1"/>
  <c r="BW41" i="6" s="1"/>
  <c r="BW42" i="6" s="1"/>
  <c r="BW43" i="6" s="1"/>
  <c r="BW44" i="6" s="1"/>
  <c r="BW45" i="6" s="1"/>
  <c r="BW46" i="6" s="1"/>
  <c r="BW47" i="6" s="1"/>
  <c r="BW48" i="6" s="1"/>
  <c r="BW49" i="6" s="1"/>
  <c r="BW50" i="6" s="1"/>
  <c r="BW51" i="6" s="1"/>
  <c r="BW52" i="6" s="1"/>
  <c r="BW53" i="6" s="1"/>
  <c r="BW54" i="6" s="1"/>
  <c r="BW55" i="6" s="1"/>
  <c r="BW56" i="6" s="1"/>
  <c r="BW57" i="6" s="1"/>
  <c r="BW58" i="6" s="1"/>
  <c r="BW59" i="6" s="1"/>
  <c r="BW60" i="6" s="1"/>
  <c r="BW61" i="6" s="1"/>
  <c r="BW62" i="6" s="1"/>
  <c r="BW63" i="6" s="1"/>
  <c r="BW64" i="6" s="1"/>
  <c r="BW65" i="6" s="1"/>
  <c r="BW66" i="6" s="1"/>
  <c r="BW67" i="6" s="1"/>
  <c r="BW68" i="6" s="1"/>
  <c r="BW69" i="6" s="1"/>
  <c r="BW70" i="6" s="1"/>
  <c r="BW71" i="6" s="1"/>
  <c r="BW72" i="6" s="1"/>
  <c r="BW73" i="6" s="1"/>
  <c r="BW74" i="6" s="1"/>
  <c r="BW75" i="6" s="1"/>
  <c r="BW76" i="6" s="1"/>
  <c r="BW77" i="6" s="1"/>
  <c r="BW78" i="6" s="1"/>
  <c r="BW79" i="6" s="1"/>
  <c r="BW80" i="6" s="1"/>
  <c r="BW81" i="6" s="1"/>
  <c r="BW82" i="6" s="1"/>
  <c r="BW83" i="6" s="1"/>
  <c r="BW84" i="6" s="1"/>
  <c r="BW85" i="6" s="1"/>
  <c r="BW86" i="6" s="1"/>
  <c r="BW87" i="6" s="1"/>
  <c r="BW88" i="6" s="1"/>
  <c r="BW89" i="6" s="1"/>
  <c r="BW90" i="6" s="1"/>
  <c r="BW91" i="6" s="1"/>
  <c r="BW92" i="6" s="1"/>
  <c r="BW93" i="6" s="1"/>
  <c r="BW94" i="6" s="1"/>
  <c r="BW95" i="6" s="1"/>
  <c r="BW96" i="6" s="1"/>
  <c r="BW97" i="6" s="1"/>
  <c r="BW98" i="6" s="1"/>
  <c r="BW99" i="6" s="1"/>
  <c r="BW100" i="6" s="1"/>
  <c r="BW101" i="6" s="1"/>
  <c r="BW102" i="6" s="1"/>
  <c r="BW103" i="6" s="1"/>
  <c r="BW104" i="6" s="1"/>
  <c r="BW105" i="6" s="1"/>
  <c r="BW106" i="6" s="1"/>
  <c r="BW107" i="6" s="1"/>
  <c r="BW108" i="6" s="1"/>
  <c r="BW109" i="6" s="1"/>
  <c r="BW110" i="6" s="1"/>
  <c r="BW111" i="6" s="1"/>
  <c r="BW112" i="6" s="1"/>
  <c r="BW113" i="6" s="1"/>
  <c r="BW114" i="6" s="1"/>
  <c r="BW115" i="6" s="1"/>
  <c r="BW116" i="6" s="1"/>
  <c r="BW117" i="6" s="1"/>
  <c r="BW118" i="6" s="1"/>
  <c r="BW119" i="6" s="1"/>
  <c r="BW120" i="6" s="1"/>
  <c r="BW121" i="6" s="1"/>
  <c r="BW122" i="6" s="1"/>
  <c r="BW123" i="6" s="1"/>
  <c r="BW124" i="6" s="1"/>
  <c r="BW125" i="6" s="1"/>
  <c r="BW126" i="6" s="1"/>
  <c r="BW127" i="6" s="1"/>
  <c r="BW128" i="6" s="1"/>
  <c r="BW129" i="6" s="1"/>
  <c r="BW130" i="6" s="1"/>
  <c r="BW131" i="6" s="1"/>
  <c r="BW132" i="6" s="1"/>
  <c r="BW133" i="6" s="1"/>
  <c r="BW134" i="6" s="1"/>
  <c r="BW135" i="6" s="1"/>
  <c r="BW136" i="6" s="1"/>
  <c r="BW137" i="6" s="1"/>
  <c r="BW138" i="6" s="1"/>
  <c r="BW139" i="6" s="1"/>
  <c r="BW140" i="6" s="1"/>
  <c r="BW141" i="6" s="1"/>
  <c r="BW142" i="6" s="1"/>
  <c r="BW143" i="6" s="1"/>
  <c r="BW144" i="6" s="1"/>
  <c r="BW145" i="6" s="1"/>
  <c r="BW146" i="6" s="1"/>
  <c r="BW147" i="6" s="1"/>
  <c r="BW148" i="6" s="1"/>
  <c r="BW149" i="6" s="1"/>
  <c r="BW150" i="6" s="1"/>
  <c r="BW151" i="6" s="1"/>
  <c r="BW152" i="6" s="1"/>
  <c r="BW153" i="6" s="1"/>
  <c r="BW154" i="6" s="1"/>
  <c r="BW155" i="6" s="1"/>
  <c r="BW156" i="6" s="1"/>
  <c r="BW157" i="6" s="1"/>
  <c r="BW158" i="6" s="1"/>
  <c r="BW159" i="6" s="1"/>
  <c r="BW160" i="6" s="1"/>
  <c r="BW161" i="6" s="1"/>
  <c r="BW162" i="6" s="1"/>
  <c r="BW163" i="6" s="1"/>
  <c r="BW164" i="6" s="1"/>
  <c r="BW165" i="6" s="1"/>
  <c r="BW166" i="6" s="1"/>
  <c r="BW167" i="6" s="1"/>
  <c r="BW168" i="6" s="1"/>
  <c r="BW169" i="6" s="1"/>
  <c r="BW170" i="6" s="1"/>
  <c r="BW171" i="6" s="1"/>
  <c r="BW172" i="6" s="1"/>
  <c r="BW173" i="6" s="1"/>
  <c r="BW174" i="6" s="1"/>
  <c r="BW175" i="6" s="1"/>
  <c r="BW176" i="6" s="1"/>
  <c r="BW177" i="6" s="1"/>
  <c r="BW178" i="6" s="1"/>
  <c r="BW179" i="6" s="1"/>
  <c r="BW180" i="6" s="1"/>
  <c r="BW181" i="6" s="1"/>
  <c r="BW182" i="6" s="1"/>
  <c r="BW183" i="6" s="1"/>
  <c r="BW184" i="6" s="1"/>
  <c r="BW185" i="6" s="1"/>
  <c r="BW186" i="6" s="1"/>
  <c r="BW187" i="6" s="1"/>
  <c r="BW188" i="6" s="1"/>
  <c r="BW189" i="6" s="1"/>
  <c r="BW190" i="6" s="1"/>
  <c r="BW191" i="6" s="1"/>
  <c r="BW192" i="6" s="1"/>
  <c r="BW193" i="6" s="1"/>
  <c r="BW194" i="6" s="1"/>
  <c r="BW195" i="6" s="1"/>
  <c r="BW196" i="6" s="1"/>
  <c r="BW197" i="6" s="1"/>
  <c r="BW198" i="6" s="1"/>
  <c r="BW199" i="6" s="1"/>
  <c r="BW200" i="6" s="1"/>
  <c r="BW201" i="6" s="1"/>
  <c r="BW202" i="6" s="1"/>
  <c r="BW203" i="6" s="1"/>
  <c r="BW204" i="6" s="1"/>
  <c r="BW205" i="6" s="1"/>
  <c r="BW206" i="6" s="1"/>
  <c r="BW207" i="6" s="1"/>
  <c r="BW208" i="6" s="1"/>
  <c r="BW209" i="6" s="1"/>
  <c r="BW210" i="6" s="1"/>
  <c r="BW211" i="6" s="1"/>
  <c r="BW212" i="6" s="1"/>
  <c r="BW213" i="6" s="1"/>
  <c r="BW214" i="6" s="1"/>
  <c r="BW215" i="6" s="1"/>
  <c r="BW216" i="6" s="1"/>
  <c r="BW217" i="6" s="1"/>
  <c r="BW218" i="6" s="1"/>
  <c r="BW219" i="6" s="1"/>
  <c r="BW220" i="6" s="1"/>
  <c r="BW221" i="6" s="1"/>
  <c r="BW222" i="6" s="1"/>
  <c r="BW223" i="6" s="1"/>
  <c r="BW224" i="6" s="1"/>
  <c r="BW225" i="6" s="1"/>
  <c r="BW226" i="6" s="1"/>
  <c r="BW227" i="6" s="1"/>
  <c r="BW228" i="6" s="1"/>
  <c r="BW229" i="6" s="1"/>
  <c r="BW230" i="6" s="1"/>
  <c r="BW231" i="6" s="1"/>
  <c r="BW232" i="6" s="1"/>
  <c r="BW233" i="6" s="1"/>
  <c r="BW234" i="6" s="1"/>
  <c r="BW235" i="6" s="1"/>
  <c r="BW236" i="6" s="1"/>
  <c r="BW237" i="6" s="1"/>
  <c r="BW238" i="6" s="1"/>
  <c r="BW239" i="6" s="1"/>
  <c r="BW240" i="6" s="1"/>
  <c r="BW241" i="6" s="1"/>
  <c r="BW242" i="6" s="1"/>
  <c r="BW243" i="6" s="1"/>
  <c r="BW244" i="6" s="1"/>
  <c r="BW245" i="6" s="1"/>
  <c r="BW246" i="6" s="1"/>
  <c r="BW247" i="6" s="1"/>
  <c r="BW248" i="6" s="1"/>
  <c r="BW249" i="6" s="1"/>
  <c r="BW250" i="6" s="1"/>
  <c r="BW251" i="6" s="1"/>
  <c r="BW252" i="6" s="1"/>
  <c r="BW253" i="6" s="1"/>
  <c r="BW254" i="6" s="1"/>
  <c r="BW255" i="6" s="1"/>
  <c r="BX4" i="6"/>
  <c r="BX5" i="6" s="1"/>
  <c r="BX6" i="6" s="1"/>
  <c r="BX7" i="6" s="1"/>
  <c r="BX8" i="6" s="1"/>
  <c r="BX9" i="6" s="1"/>
  <c r="BX10" i="6" s="1"/>
  <c r="BX11" i="6" s="1"/>
  <c r="BX12" i="6" s="1"/>
  <c r="BX13" i="6" s="1"/>
  <c r="BX14" i="6" s="1"/>
  <c r="BX15" i="6" s="1"/>
  <c r="BX16" i="6" s="1"/>
  <c r="BX17" i="6" s="1"/>
  <c r="BX18" i="6" s="1"/>
  <c r="BX19" i="6" s="1"/>
  <c r="BX20" i="6" s="1"/>
  <c r="BX21" i="6" s="1"/>
  <c r="BX22" i="6" s="1"/>
  <c r="BX23" i="6" s="1"/>
  <c r="BX24" i="6" s="1"/>
  <c r="BX25" i="6" s="1"/>
  <c r="BX26" i="6" s="1"/>
  <c r="BX27" i="6" s="1"/>
  <c r="BX28" i="6" s="1"/>
  <c r="BX29" i="6" s="1"/>
  <c r="BX30" i="6" s="1"/>
  <c r="BX31" i="6" s="1"/>
  <c r="BX32" i="6" s="1"/>
  <c r="BX33" i="6" s="1"/>
  <c r="BX34" i="6" s="1"/>
  <c r="BX35" i="6" s="1"/>
  <c r="BX36" i="6" s="1"/>
  <c r="BX37" i="6" s="1"/>
  <c r="BX38" i="6" s="1"/>
  <c r="BX39" i="6" s="1"/>
  <c r="BX40" i="6" s="1"/>
  <c r="BX41" i="6" s="1"/>
  <c r="BX42" i="6" s="1"/>
  <c r="BX43" i="6" s="1"/>
  <c r="BX44" i="6" s="1"/>
  <c r="BX45" i="6" s="1"/>
  <c r="BX46" i="6" s="1"/>
  <c r="BX47" i="6" s="1"/>
  <c r="BX48" i="6" s="1"/>
  <c r="BX49" i="6" s="1"/>
  <c r="BX50" i="6" s="1"/>
  <c r="BX51" i="6" s="1"/>
  <c r="BX52" i="6" s="1"/>
  <c r="BX53" i="6" s="1"/>
  <c r="BX54" i="6" s="1"/>
  <c r="BX55" i="6" s="1"/>
  <c r="BX56" i="6" s="1"/>
  <c r="BX57" i="6" s="1"/>
  <c r="BX58" i="6" s="1"/>
  <c r="BX59" i="6" s="1"/>
  <c r="BX60" i="6" s="1"/>
  <c r="BX61" i="6" s="1"/>
  <c r="BX62" i="6" s="1"/>
  <c r="BX63" i="6" s="1"/>
  <c r="BX64" i="6" s="1"/>
  <c r="BX65" i="6" s="1"/>
  <c r="BX66" i="6" s="1"/>
  <c r="BX67" i="6" s="1"/>
  <c r="BX68" i="6" s="1"/>
  <c r="BX69" i="6" s="1"/>
  <c r="BX70" i="6" s="1"/>
  <c r="BX71" i="6" s="1"/>
  <c r="BX72" i="6" s="1"/>
  <c r="BX73" i="6" s="1"/>
  <c r="BX74" i="6" s="1"/>
  <c r="BX75" i="6" s="1"/>
  <c r="BX76" i="6" s="1"/>
  <c r="BX77" i="6" s="1"/>
  <c r="BX78" i="6" s="1"/>
  <c r="BX79" i="6" s="1"/>
  <c r="BX80" i="6" s="1"/>
  <c r="BX81" i="6" s="1"/>
  <c r="BX82" i="6" s="1"/>
  <c r="BX83" i="6" s="1"/>
  <c r="BX84" i="6" s="1"/>
  <c r="BX85" i="6" s="1"/>
  <c r="BX86" i="6" s="1"/>
  <c r="BX87" i="6" s="1"/>
  <c r="BX88" i="6" s="1"/>
  <c r="BX89" i="6" s="1"/>
  <c r="BX90" i="6" s="1"/>
  <c r="BX91" i="6" s="1"/>
  <c r="BX92" i="6" s="1"/>
  <c r="BX93" i="6" s="1"/>
  <c r="BX94" i="6" s="1"/>
  <c r="BX95" i="6" s="1"/>
  <c r="BX96" i="6" s="1"/>
  <c r="BX97" i="6" s="1"/>
  <c r="BX98" i="6" s="1"/>
  <c r="BX99" i="6" s="1"/>
  <c r="BX100" i="6" s="1"/>
  <c r="BX101" i="6" s="1"/>
  <c r="BX102" i="6" s="1"/>
  <c r="BX103" i="6" s="1"/>
  <c r="BX104" i="6" s="1"/>
  <c r="BX105" i="6" s="1"/>
  <c r="BX106" i="6" s="1"/>
  <c r="BX107" i="6" s="1"/>
  <c r="BX108" i="6" s="1"/>
  <c r="BX109" i="6" s="1"/>
  <c r="BX110" i="6" s="1"/>
  <c r="BX111" i="6" s="1"/>
  <c r="BX112" i="6" s="1"/>
  <c r="BX113" i="6" s="1"/>
  <c r="BX114" i="6" s="1"/>
  <c r="BX115" i="6" s="1"/>
  <c r="BX116" i="6" s="1"/>
  <c r="BX117" i="6" s="1"/>
  <c r="BX118" i="6" s="1"/>
  <c r="BX119" i="6" s="1"/>
  <c r="BX120" i="6" s="1"/>
  <c r="BX121" i="6" s="1"/>
  <c r="BX122" i="6" s="1"/>
  <c r="BX123" i="6" s="1"/>
  <c r="BX124" i="6" s="1"/>
  <c r="BX125" i="6" s="1"/>
  <c r="BX126" i="6" s="1"/>
  <c r="BX127" i="6" s="1"/>
  <c r="BX128" i="6" s="1"/>
  <c r="BX129" i="6" s="1"/>
  <c r="BX130" i="6" s="1"/>
  <c r="BX131" i="6" s="1"/>
  <c r="BX132" i="6" s="1"/>
  <c r="BX133" i="6" s="1"/>
  <c r="BX134" i="6" s="1"/>
  <c r="BX135" i="6" s="1"/>
  <c r="BX136" i="6" s="1"/>
  <c r="BX137" i="6" s="1"/>
  <c r="BX138" i="6" s="1"/>
  <c r="BX139" i="6" s="1"/>
  <c r="BX140" i="6" s="1"/>
  <c r="BX141" i="6" s="1"/>
  <c r="BX142" i="6" s="1"/>
  <c r="BX143" i="6" s="1"/>
  <c r="BX144" i="6" s="1"/>
  <c r="BX145" i="6" s="1"/>
  <c r="BX146" i="6" s="1"/>
  <c r="BX147" i="6" s="1"/>
  <c r="BX148" i="6" s="1"/>
  <c r="BX149" i="6" s="1"/>
  <c r="BX150" i="6" s="1"/>
  <c r="BX151" i="6" s="1"/>
  <c r="BX152" i="6" s="1"/>
  <c r="BX153" i="6" s="1"/>
  <c r="BX154" i="6" s="1"/>
  <c r="BX155" i="6" s="1"/>
  <c r="BX156" i="6" s="1"/>
  <c r="BX157" i="6" s="1"/>
  <c r="BX158" i="6" s="1"/>
  <c r="BX159" i="6" s="1"/>
  <c r="BX160" i="6" s="1"/>
  <c r="BX161" i="6" s="1"/>
  <c r="BX162" i="6" s="1"/>
  <c r="BX163" i="6" s="1"/>
  <c r="BX164" i="6" s="1"/>
  <c r="BX165" i="6" s="1"/>
  <c r="BX166" i="6" s="1"/>
  <c r="BX167" i="6" s="1"/>
  <c r="BX168" i="6" s="1"/>
  <c r="BX169" i="6" s="1"/>
  <c r="BX170" i="6" s="1"/>
  <c r="BX171" i="6" s="1"/>
  <c r="BX172" i="6" s="1"/>
  <c r="BX173" i="6" s="1"/>
  <c r="BX174" i="6" s="1"/>
  <c r="BX175" i="6" s="1"/>
  <c r="BX176" i="6" s="1"/>
  <c r="BX177" i="6" s="1"/>
  <c r="BX178" i="6" s="1"/>
  <c r="BX179" i="6" s="1"/>
  <c r="BX180" i="6" s="1"/>
  <c r="BX181" i="6" s="1"/>
  <c r="BX182" i="6" s="1"/>
  <c r="BX183" i="6" s="1"/>
  <c r="BX184" i="6" s="1"/>
  <c r="BX185" i="6" s="1"/>
  <c r="BX186" i="6" s="1"/>
  <c r="BX187" i="6" s="1"/>
  <c r="BX188" i="6" s="1"/>
  <c r="BX189" i="6" s="1"/>
  <c r="BX190" i="6" s="1"/>
  <c r="BX191" i="6" s="1"/>
  <c r="BX192" i="6" s="1"/>
  <c r="BX193" i="6" s="1"/>
  <c r="BX194" i="6" s="1"/>
  <c r="BX195" i="6" s="1"/>
  <c r="BX196" i="6" s="1"/>
  <c r="BX197" i="6" s="1"/>
  <c r="BX198" i="6" s="1"/>
  <c r="BX199" i="6" s="1"/>
  <c r="BX200" i="6" s="1"/>
  <c r="BX201" i="6" s="1"/>
  <c r="BX202" i="6" s="1"/>
  <c r="BX203" i="6" s="1"/>
  <c r="BX204" i="6" s="1"/>
  <c r="BX205" i="6" s="1"/>
  <c r="BX206" i="6" s="1"/>
  <c r="BX207" i="6" s="1"/>
  <c r="BX208" i="6" s="1"/>
  <c r="BX209" i="6" s="1"/>
  <c r="BX210" i="6" s="1"/>
  <c r="BX211" i="6" s="1"/>
  <c r="BX212" i="6" s="1"/>
  <c r="BX213" i="6" s="1"/>
  <c r="BX214" i="6" s="1"/>
  <c r="BX215" i="6" s="1"/>
  <c r="BX216" i="6" s="1"/>
  <c r="BX217" i="6" s="1"/>
  <c r="BX218" i="6" s="1"/>
  <c r="BX219" i="6" s="1"/>
  <c r="BX220" i="6" s="1"/>
  <c r="BX221" i="6" s="1"/>
  <c r="BX222" i="6" s="1"/>
  <c r="BX223" i="6" s="1"/>
  <c r="BX224" i="6" s="1"/>
  <c r="BX225" i="6" s="1"/>
  <c r="BX226" i="6" s="1"/>
  <c r="BX227" i="6" s="1"/>
  <c r="BX228" i="6" s="1"/>
  <c r="BX229" i="6" s="1"/>
  <c r="BX230" i="6" s="1"/>
  <c r="BX231" i="6" s="1"/>
  <c r="BX232" i="6" s="1"/>
  <c r="BX233" i="6" s="1"/>
  <c r="BX234" i="6" s="1"/>
  <c r="BX235" i="6" s="1"/>
  <c r="BX236" i="6" s="1"/>
  <c r="BX237" i="6" s="1"/>
  <c r="BX238" i="6" s="1"/>
  <c r="BX239" i="6" s="1"/>
  <c r="BX240" i="6" s="1"/>
  <c r="BX241" i="6" s="1"/>
  <c r="BX242" i="6" s="1"/>
  <c r="BX243" i="6" s="1"/>
  <c r="BX244" i="6" s="1"/>
  <c r="BX245" i="6" s="1"/>
  <c r="BX246" i="6" s="1"/>
  <c r="BX247" i="6" s="1"/>
  <c r="BX248" i="6" s="1"/>
  <c r="BX249" i="6" s="1"/>
  <c r="BX250" i="6" s="1"/>
  <c r="BX251" i="6" s="1"/>
  <c r="BX252" i="6" s="1"/>
  <c r="BX253" i="6" s="1"/>
  <c r="BX254" i="6" s="1"/>
  <c r="BX255" i="6" s="1"/>
  <c r="BY4" i="6"/>
  <c r="BY5" i="6" s="1"/>
  <c r="BY6" i="6" s="1"/>
  <c r="BY7" i="6" s="1"/>
  <c r="BY8" i="6" s="1"/>
  <c r="BY9" i="6" s="1"/>
  <c r="BY10" i="6" s="1"/>
  <c r="BY11" i="6" s="1"/>
  <c r="BY12" i="6" s="1"/>
  <c r="BY13" i="6" s="1"/>
  <c r="BY14" i="6" s="1"/>
  <c r="BY15" i="6" s="1"/>
  <c r="BY16" i="6" s="1"/>
  <c r="BY17" i="6" s="1"/>
  <c r="BY18" i="6" s="1"/>
  <c r="BY19" i="6" s="1"/>
  <c r="BY20" i="6" s="1"/>
  <c r="BY21" i="6" s="1"/>
  <c r="BY22" i="6" s="1"/>
  <c r="BY23" i="6" s="1"/>
  <c r="BY24" i="6" s="1"/>
  <c r="BY25" i="6" s="1"/>
  <c r="BY26" i="6" s="1"/>
  <c r="BY27" i="6" s="1"/>
  <c r="BY28" i="6" s="1"/>
  <c r="BY29" i="6" s="1"/>
  <c r="BY30" i="6" s="1"/>
  <c r="BY31" i="6" s="1"/>
  <c r="BY32" i="6" s="1"/>
  <c r="BY33" i="6" s="1"/>
  <c r="BY34" i="6" s="1"/>
  <c r="BY35" i="6" s="1"/>
  <c r="BY36" i="6" s="1"/>
  <c r="BY37" i="6" s="1"/>
  <c r="BY38" i="6" s="1"/>
  <c r="BY39" i="6" s="1"/>
  <c r="BY40" i="6" s="1"/>
  <c r="BY41" i="6" s="1"/>
  <c r="BY42" i="6" s="1"/>
  <c r="BY43" i="6" s="1"/>
  <c r="BY44" i="6" s="1"/>
  <c r="BY45" i="6" s="1"/>
  <c r="BY46" i="6" s="1"/>
  <c r="BY47" i="6" s="1"/>
  <c r="BY48" i="6" s="1"/>
  <c r="BY49" i="6" s="1"/>
  <c r="BY50" i="6" s="1"/>
  <c r="BY51" i="6" s="1"/>
  <c r="BY52" i="6" s="1"/>
  <c r="BY53" i="6" s="1"/>
  <c r="BY54" i="6" s="1"/>
  <c r="BY55" i="6" s="1"/>
  <c r="BY56" i="6" s="1"/>
  <c r="BY57" i="6" s="1"/>
  <c r="BY58" i="6" s="1"/>
  <c r="BY59" i="6" s="1"/>
  <c r="BY60" i="6" s="1"/>
  <c r="BY61" i="6" s="1"/>
  <c r="BY62" i="6" s="1"/>
  <c r="BY63" i="6" s="1"/>
  <c r="BY64" i="6" s="1"/>
  <c r="BY65" i="6" s="1"/>
  <c r="BY66" i="6" s="1"/>
  <c r="BY67" i="6" s="1"/>
  <c r="BY68" i="6" s="1"/>
  <c r="BY69" i="6" s="1"/>
  <c r="BY70" i="6" s="1"/>
  <c r="BY71" i="6" s="1"/>
  <c r="BY72" i="6" s="1"/>
  <c r="BY73" i="6" s="1"/>
  <c r="BY74" i="6" s="1"/>
  <c r="BY75" i="6" s="1"/>
  <c r="BY76" i="6" s="1"/>
  <c r="BY77" i="6" s="1"/>
  <c r="BY78" i="6" s="1"/>
  <c r="BY79" i="6" s="1"/>
  <c r="BY80" i="6" s="1"/>
  <c r="BY81" i="6" s="1"/>
  <c r="BY82" i="6" s="1"/>
  <c r="BY83" i="6" s="1"/>
  <c r="BY84" i="6" s="1"/>
  <c r="BY85" i="6" s="1"/>
  <c r="BY86" i="6" s="1"/>
  <c r="BY87" i="6" s="1"/>
  <c r="BY88" i="6" s="1"/>
  <c r="BY89" i="6" s="1"/>
  <c r="BY90" i="6" s="1"/>
  <c r="BY91" i="6" s="1"/>
  <c r="BY92" i="6" s="1"/>
  <c r="BY93" i="6" s="1"/>
  <c r="BY94" i="6" s="1"/>
  <c r="BY95" i="6" s="1"/>
  <c r="BY96" i="6" s="1"/>
  <c r="BY97" i="6" s="1"/>
  <c r="BY98" i="6" s="1"/>
  <c r="BY99" i="6" s="1"/>
  <c r="BY100" i="6" s="1"/>
  <c r="BY101" i="6" s="1"/>
  <c r="BY102" i="6" s="1"/>
  <c r="BY103" i="6" s="1"/>
  <c r="BY104" i="6" s="1"/>
  <c r="BY105" i="6" s="1"/>
  <c r="BY106" i="6" s="1"/>
  <c r="BY107" i="6" s="1"/>
  <c r="BY108" i="6" s="1"/>
  <c r="BY109" i="6" s="1"/>
  <c r="BY110" i="6" s="1"/>
  <c r="BY111" i="6" s="1"/>
  <c r="BY112" i="6" s="1"/>
  <c r="BY113" i="6" s="1"/>
  <c r="BY114" i="6" s="1"/>
  <c r="BY115" i="6" s="1"/>
  <c r="BY116" i="6" s="1"/>
  <c r="BY117" i="6" s="1"/>
  <c r="BY118" i="6" s="1"/>
  <c r="BY119" i="6" s="1"/>
  <c r="BY120" i="6" s="1"/>
  <c r="BY121" i="6" s="1"/>
  <c r="BY122" i="6" s="1"/>
  <c r="BY123" i="6" s="1"/>
  <c r="BY124" i="6" s="1"/>
  <c r="BY125" i="6" s="1"/>
  <c r="BY126" i="6" s="1"/>
  <c r="BY127" i="6" s="1"/>
  <c r="BY128" i="6" s="1"/>
  <c r="BY129" i="6" s="1"/>
  <c r="BY130" i="6" s="1"/>
  <c r="BY131" i="6" s="1"/>
  <c r="BY132" i="6" s="1"/>
  <c r="BY133" i="6" s="1"/>
  <c r="BY134" i="6" s="1"/>
  <c r="BY135" i="6" s="1"/>
  <c r="BY136" i="6" s="1"/>
  <c r="BY137" i="6" s="1"/>
  <c r="BY138" i="6" s="1"/>
  <c r="BY139" i="6" s="1"/>
  <c r="BY140" i="6" s="1"/>
  <c r="BY141" i="6" s="1"/>
  <c r="BY142" i="6" s="1"/>
  <c r="BY143" i="6" s="1"/>
  <c r="BY144" i="6" s="1"/>
  <c r="BY145" i="6" s="1"/>
  <c r="BY146" i="6" s="1"/>
  <c r="BY147" i="6" s="1"/>
  <c r="BY148" i="6" s="1"/>
  <c r="BY149" i="6" s="1"/>
  <c r="BY150" i="6" s="1"/>
  <c r="BY151" i="6" s="1"/>
  <c r="BY152" i="6" s="1"/>
  <c r="BY153" i="6" s="1"/>
  <c r="BY154" i="6" s="1"/>
  <c r="BY155" i="6" s="1"/>
  <c r="BY156" i="6" s="1"/>
  <c r="BY157" i="6" s="1"/>
  <c r="BY158" i="6" s="1"/>
  <c r="BY159" i="6" s="1"/>
  <c r="BY160" i="6" s="1"/>
  <c r="BY161" i="6" s="1"/>
  <c r="BY162" i="6" s="1"/>
  <c r="BY163" i="6" s="1"/>
  <c r="BY164" i="6" s="1"/>
  <c r="BY165" i="6" s="1"/>
  <c r="BY166" i="6" s="1"/>
  <c r="BY167" i="6" s="1"/>
  <c r="BY168" i="6" s="1"/>
  <c r="BY169" i="6" s="1"/>
  <c r="BY170" i="6" s="1"/>
  <c r="BY171" i="6" s="1"/>
  <c r="BY172" i="6" s="1"/>
  <c r="BY173" i="6" s="1"/>
  <c r="BY174" i="6" s="1"/>
  <c r="BY175" i="6" s="1"/>
  <c r="BY176" i="6" s="1"/>
  <c r="BY177" i="6" s="1"/>
  <c r="BY178" i="6" s="1"/>
  <c r="BY179" i="6" s="1"/>
  <c r="BY180" i="6" s="1"/>
  <c r="BY181" i="6" s="1"/>
  <c r="BY182" i="6" s="1"/>
  <c r="BY183" i="6" s="1"/>
  <c r="BY184" i="6" s="1"/>
  <c r="BY185" i="6" s="1"/>
  <c r="BY186" i="6" s="1"/>
  <c r="BY187" i="6" s="1"/>
  <c r="BY188" i="6" s="1"/>
  <c r="BY189" i="6" s="1"/>
  <c r="BY190" i="6" s="1"/>
  <c r="BY191" i="6" s="1"/>
  <c r="BY192" i="6" s="1"/>
  <c r="BY193" i="6" s="1"/>
  <c r="BY194" i="6" s="1"/>
  <c r="BY195" i="6" s="1"/>
  <c r="BY196" i="6" s="1"/>
  <c r="BY197" i="6" s="1"/>
  <c r="BY198" i="6" s="1"/>
  <c r="BY199" i="6" s="1"/>
  <c r="BY200" i="6" s="1"/>
  <c r="BY201" i="6" s="1"/>
  <c r="BY202" i="6" s="1"/>
  <c r="BY203" i="6" s="1"/>
  <c r="BY204" i="6" s="1"/>
  <c r="BY205" i="6" s="1"/>
  <c r="BY206" i="6" s="1"/>
  <c r="BY207" i="6" s="1"/>
  <c r="BY208" i="6" s="1"/>
  <c r="BY209" i="6" s="1"/>
  <c r="BY210" i="6" s="1"/>
  <c r="BY211" i="6" s="1"/>
  <c r="BY212" i="6" s="1"/>
  <c r="BY213" i="6" s="1"/>
  <c r="BY214" i="6" s="1"/>
  <c r="BY215" i="6" s="1"/>
  <c r="BY216" i="6" s="1"/>
  <c r="BY217" i="6" s="1"/>
  <c r="BY218" i="6" s="1"/>
  <c r="BY219" i="6" s="1"/>
  <c r="BY220" i="6" s="1"/>
  <c r="BY221" i="6" s="1"/>
  <c r="BY222" i="6" s="1"/>
  <c r="BY223" i="6" s="1"/>
  <c r="BY224" i="6" s="1"/>
  <c r="BY225" i="6" s="1"/>
  <c r="BY226" i="6" s="1"/>
  <c r="BY227" i="6" s="1"/>
  <c r="BY228" i="6" s="1"/>
  <c r="BY229" i="6" s="1"/>
  <c r="BY230" i="6" s="1"/>
  <c r="BY231" i="6" s="1"/>
  <c r="BY232" i="6" s="1"/>
  <c r="BY233" i="6" s="1"/>
  <c r="BY234" i="6" s="1"/>
  <c r="BY235" i="6" s="1"/>
  <c r="BY236" i="6" s="1"/>
  <c r="BY237" i="6" s="1"/>
  <c r="BY238" i="6" s="1"/>
  <c r="BY239" i="6" s="1"/>
  <c r="BY240" i="6" s="1"/>
  <c r="BY241" i="6" s="1"/>
  <c r="BY242" i="6" s="1"/>
  <c r="BY243" i="6" s="1"/>
  <c r="BY244" i="6" s="1"/>
  <c r="BY245" i="6" s="1"/>
  <c r="BY246" i="6" s="1"/>
  <c r="BY247" i="6" s="1"/>
  <c r="BY248" i="6" s="1"/>
  <c r="BY249" i="6" s="1"/>
  <c r="BY250" i="6" s="1"/>
  <c r="BY251" i="6" s="1"/>
  <c r="BY252" i="6" s="1"/>
  <c r="BY253" i="6" s="1"/>
  <c r="BY254" i="6" s="1"/>
  <c r="BY255" i="6" s="1"/>
  <c r="BZ4" i="6"/>
  <c r="BZ5" i="6" s="1"/>
  <c r="BZ6" i="6" s="1"/>
  <c r="BZ7" i="6" s="1"/>
  <c r="BZ8" i="6" s="1"/>
  <c r="BZ9" i="6" s="1"/>
  <c r="BZ10" i="6" s="1"/>
  <c r="BZ11" i="6" s="1"/>
  <c r="BZ12" i="6" s="1"/>
  <c r="BZ13" i="6" s="1"/>
  <c r="BZ14" i="6" s="1"/>
  <c r="BZ15" i="6" s="1"/>
  <c r="BZ16" i="6" s="1"/>
  <c r="BZ17" i="6" s="1"/>
  <c r="BZ18" i="6" s="1"/>
  <c r="BZ19" i="6" s="1"/>
  <c r="BZ20" i="6" s="1"/>
  <c r="BZ21" i="6" s="1"/>
  <c r="BZ22" i="6" s="1"/>
  <c r="BZ23" i="6" s="1"/>
  <c r="BZ24" i="6" s="1"/>
  <c r="BZ25" i="6" s="1"/>
  <c r="BZ26" i="6" s="1"/>
  <c r="BZ27" i="6" s="1"/>
  <c r="BZ28" i="6" s="1"/>
  <c r="BZ29" i="6" s="1"/>
  <c r="BZ30" i="6" s="1"/>
  <c r="BZ31" i="6" s="1"/>
  <c r="BZ32" i="6" s="1"/>
  <c r="BZ33" i="6" s="1"/>
  <c r="BZ34" i="6" s="1"/>
  <c r="BZ35" i="6" s="1"/>
  <c r="BZ36" i="6" s="1"/>
  <c r="BZ37" i="6" s="1"/>
  <c r="BZ38" i="6" s="1"/>
  <c r="BZ39" i="6" s="1"/>
  <c r="BZ40" i="6" s="1"/>
  <c r="BZ41" i="6" s="1"/>
  <c r="BZ42" i="6" s="1"/>
  <c r="BZ43" i="6" s="1"/>
  <c r="BZ44" i="6" s="1"/>
  <c r="BZ45" i="6" s="1"/>
  <c r="BZ46" i="6" s="1"/>
  <c r="BZ47" i="6" s="1"/>
  <c r="BZ48" i="6" s="1"/>
  <c r="BZ49" i="6" s="1"/>
  <c r="BZ50" i="6" s="1"/>
  <c r="BZ51" i="6" s="1"/>
  <c r="BZ52" i="6" s="1"/>
  <c r="BZ53" i="6" s="1"/>
  <c r="BZ54" i="6" s="1"/>
  <c r="BZ55" i="6" s="1"/>
  <c r="BZ56" i="6" s="1"/>
  <c r="BZ57" i="6" s="1"/>
  <c r="BZ58" i="6" s="1"/>
  <c r="BZ59" i="6" s="1"/>
  <c r="BZ60" i="6" s="1"/>
  <c r="BZ61" i="6" s="1"/>
  <c r="BZ62" i="6" s="1"/>
  <c r="BZ63" i="6" s="1"/>
  <c r="BZ64" i="6" s="1"/>
  <c r="BZ65" i="6" s="1"/>
  <c r="BZ66" i="6" s="1"/>
  <c r="BZ67" i="6" s="1"/>
  <c r="BZ68" i="6" s="1"/>
  <c r="BZ69" i="6" s="1"/>
  <c r="BZ70" i="6" s="1"/>
  <c r="BZ71" i="6" s="1"/>
  <c r="BZ72" i="6" s="1"/>
  <c r="BZ73" i="6" s="1"/>
  <c r="BZ74" i="6" s="1"/>
  <c r="BZ75" i="6" s="1"/>
  <c r="BZ76" i="6" s="1"/>
  <c r="BZ77" i="6" s="1"/>
  <c r="BZ78" i="6" s="1"/>
  <c r="BZ79" i="6" s="1"/>
  <c r="BZ80" i="6" s="1"/>
  <c r="BZ81" i="6" s="1"/>
  <c r="BZ82" i="6" s="1"/>
  <c r="BZ83" i="6" s="1"/>
  <c r="BZ84" i="6" s="1"/>
  <c r="BZ85" i="6" s="1"/>
  <c r="BZ86" i="6" s="1"/>
  <c r="BZ87" i="6" s="1"/>
  <c r="BZ88" i="6" s="1"/>
  <c r="BZ89" i="6" s="1"/>
  <c r="BZ90" i="6" s="1"/>
  <c r="BZ91" i="6" s="1"/>
  <c r="BZ92" i="6" s="1"/>
  <c r="BZ93" i="6" s="1"/>
  <c r="BZ94" i="6" s="1"/>
  <c r="BZ95" i="6" s="1"/>
  <c r="BZ96" i="6" s="1"/>
  <c r="BZ97" i="6" s="1"/>
  <c r="BZ98" i="6" s="1"/>
  <c r="BZ99" i="6" s="1"/>
  <c r="BZ100" i="6" s="1"/>
  <c r="BZ101" i="6" s="1"/>
  <c r="BZ102" i="6" s="1"/>
  <c r="BZ103" i="6" s="1"/>
  <c r="BZ104" i="6" s="1"/>
  <c r="BZ105" i="6" s="1"/>
  <c r="BZ106" i="6" s="1"/>
  <c r="BZ107" i="6" s="1"/>
  <c r="BZ108" i="6" s="1"/>
  <c r="BZ109" i="6" s="1"/>
  <c r="BZ110" i="6" s="1"/>
  <c r="BZ111" i="6" s="1"/>
  <c r="BZ112" i="6" s="1"/>
  <c r="BZ113" i="6" s="1"/>
  <c r="BZ114" i="6" s="1"/>
  <c r="BZ115" i="6" s="1"/>
  <c r="BZ116" i="6" s="1"/>
  <c r="BZ117" i="6" s="1"/>
  <c r="BZ118" i="6" s="1"/>
  <c r="BZ119" i="6" s="1"/>
  <c r="BZ120" i="6" s="1"/>
  <c r="BZ121" i="6" s="1"/>
  <c r="BZ122" i="6" s="1"/>
  <c r="BZ123" i="6" s="1"/>
  <c r="BZ124" i="6" s="1"/>
  <c r="BZ125" i="6" s="1"/>
  <c r="BZ126" i="6" s="1"/>
  <c r="BZ127" i="6" s="1"/>
  <c r="BZ128" i="6" s="1"/>
  <c r="BZ129" i="6" s="1"/>
  <c r="BZ130" i="6" s="1"/>
  <c r="BZ131" i="6" s="1"/>
  <c r="BZ132" i="6" s="1"/>
  <c r="BZ133" i="6" s="1"/>
  <c r="BZ134" i="6" s="1"/>
  <c r="BZ135" i="6" s="1"/>
  <c r="BZ136" i="6" s="1"/>
  <c r="BZ137" i="6" s="1"/>
  <c r="BZ138" i="6" s="1"/>
  <c r="BZ139" i="6" s="1"/>
  <c r="BZ140" i="6" s="1"/>
  <c r="BZ141" i="6" s="1"/>
  <c r="BZ142" i="6" s="1"/>
  <c r="BZ143" i="6" s="1"/>
  <c r="BZ144" i="6" s="1"/>
  <c r="BZ145" i="6" s="1"/>
  <c r="BZ146" i="6" s="1"/>
  <c r="BZ147" i="6" s="1"/>
  <c r="BZ148" i="6" s="1"/>
  <c r="BZ149" i="6" s="1"/>
  <c r="BZ150" i="6" s="1"/>
  <c r="BZ151" i="6" s="1"/>
  <c r="BZ152" i="6" s="1"/>
  <c r="BZ153" i="6" s="1"/>
  <c r="BZ154" i="6" s="1"/>
  <c r="BZ155" i="6" s="1"/>
  <c r="BZ156" i="6" s="1"/>
  <c r="BZ157" i="6" s="1"/>
  <c r="BZ158" i="6" s="1"/>
  <c r="BZ159" i="6" s="1"/>
  <c r="BZ160" i="6" s="1"/>
  <c r="BZ161" i="6" s="1"/>
  <c r="BZ162" i="6" s="1"/>
  <c r="BZ163" i="6" s="1"/>
  <c r="BZ164" i="6" s="1"/>
  <c r="BZ165" i="6" s="1"/>
  <c r="BZ166" i="6" s="1"/>
  <c r="BZ167" i="6" s="1"/>
  <c r="BZ168" i="6" s="1"/>
  <c r="BZ169" i="6" s="1"/>
  <c r="BZ170" i="6" s="1"/>
  <c r="BZ171" i="6" s="1"/>
  <c r="BZ172" i="6" s="1"/>
  <c r="BZ173" i="6" s="1"/>
  <c r="BZ174" i="6" s="1"/>
  <c r="BZ175" i="6" s="1"/>
  <c r="BZ176" i="6" s="1"/>
  <c r="BZ177" i="6" s="1"/>
  <c r="BZ178" i="6" s="1"/>
  <c r="BZ179" i="6" s="1"/>
  <c r="BZ180" i="6" s="1"/>
  <c r="BZ181" i="6" s="1"/>
  <c r="BZ182" i="6" s="1"/>
  <c r="BZ183" i="6" s="1"/>
  <c r="BZ184" i="6" s="1"/>
  <c r="BZ185" i="6" s="1"/>
  <c r="BZ186" i="6" s="1"/>
  <c r="BZ187" i="6" s="1"/>
  <c r="BZ188" i="6" s="1"/>
  <c r="BZ189" i="6" s="1"/>
  <c r="BZ190" i="6" s="1"/>
  <c r="BZ191" i="6" s="1"/>
  <c r="BZ192" i="6" s="1"/>
  <c r="BZ193" i="6" s="1"/>
  <c r="BZ194" i="6" s="1"/>
  <c r="BZ195" i="6" s="1"/>
  <c r="BZ196" i="6" s="1"/>
  <c r="BZ197" i="6" s="1"/>
  <c r="BZ198" i="6" s="1"/>
  <c r="BZ199" i="6" s="1"/>
  <c r="BZ200" i="6" s="1"/>
  <c r="BZ201" i="6" s="1"/>
  <c r="BZ202" i="6" s="1"/>
  <c r="BZ203" i="6" s="1"/>
  <c r="BZ204" i="6" s="1"/>
  <c r="BZ205" i="6" s="1"/>
  <c r="BZ206" i="6" s="1"/>
  <c r="BZ207" i="6" s="1"/>
  <c r="BZ208" i="6" s="1"/>
  <c r="BZ209" i="6" s="1"/>
  <c r="BZ210" i="6" s="1"/>
  <c r="BZ211" i="6" s="1"/>
  <c r="BZ212" i="6" s="1"/>
  <c r="BZ213" i="6" s="1"/>
  <c r="BZ214" i="6" s="1"/>
  <c r="BZ215" i="6" s="1"/>
  <c r="BZ216" i="6" s="1"/>
  <c r="BZ217" i="6" s="1"/>
  <c r="BZ218" i="6" s="1"/>
  <c r="BZ219" i="6" s="1"/>
  <c r="BZ220" i="6" s="1"/>
  <c r="BZ221" i="6" s="1"/>
  <c r="BZ222" i="6" s="1"/>
  <c r="BZ223" i="6" s="1"/>
  <c r="BZ224" i="6" s="1"/>
  <c r="BZ225" i="6" s="1"/>
  <c r="BZ226" i="6" s="1"/>
  <c r="BZ227" i="6" s="1"/>
  <c r="BZ228" i="6" s="1"/>
  <c r="BZ229" i="6" s="1"/>
  <c r="BZ230" i="6" s="1"/>
  <c r="BZ231" i="6" s="1"/>
  <c r="BZ232" i="6" s="1"/>
  <c r="BZ233" i="6" s="1"/>
  <c r="BZ234" i="6" s="1"/>
  <c r="BZ235" i="6" s="1"/>
  <c r="BZ236" i="6" s="1"/>
  <c r="BZ237" i="6" s="1"/>
  <c r="BZ238" i="6" s="1"/>
  <c r="BZ239" i="6" s="1"/>
  <c r="BZ240" i="6" s="1"/>
  <c r="BZ241" i="6" s="1"/>
  <c r="BZ242" i="6" s="1"/>
  <c r="BZ243" i="6" s="1"/>
  <c r="BZ244" i="6" s="1"/>
  <c r="BZ245" i="6" s="1"/>
  <c r="BZ246" i="6" s="1"/>
  <c r="BZ247" i="6" s="1"/>
  <c r="BZ248" i="6" s="1"/>
  <c r="BZ249" i="6" s="1"/>
  <c r="BZ250" i="6" s="1"/>
  <c r="BZ251" i="6" s="1"/>
  <c r="BZ252" i="6" s="1"/>
  <c r="BZ253" i="6" s="1"/>
  <c r="BZ254" i="6" s="1"/>
  <c r="BZ255" i="6" s="1"/>
  <c r="CA4" i="6"/>
  <c r="CA5" i="6" s="1"/>
  <c r="CA6" i="6" s="1"/>
  <c r="CA7" i="6" s="1"/>
  <c r="CA8" i="6" s="1"/>
  <c r="CA9" i="6" s="1"/>
  <c r="CA10" i="6" s="1"/>
  <c r="CA11" i="6" s="1"/>
  <c r="CA12" i="6" s="1"/>
  <c r="CA13" i="6" s="1"/>
  <c r="CA14" i="6" s="1"/>
  <c r="CA15" i="6" s="1"/>
  <c r="CA16" i="6" s="1"/>
  <c r="CA17" i="6" s="1"/>
  <c r="CA18" i="6" s="1"/>
  <c r="CA19" i="6" s="1"/>
  <c r="CA20" i="6" s="1"/>
  <c r="CA21" i="6" s="1"/>
  <c r="CA22" i="6" s="1"/>
  <c r="CA23" i="6" s="1"/>
  <c r="CA24" i="6" s="1"/>
  <c r="CA25" i="6" s="1"/>
  <c r="CA26" i="6" s="1"/>
  <c r="CA27" i="6" s="1"/>
  <c r="CA28" i="6" s="1"/>
  <c r="CA29" i="6" s="1"/>
  <c r="CA30" i="6" s="1"/>
  <c r="CA31" i="6" s="1"/>
  <c r="CA32" i="6" s="1"/>
  <c r="CA33" i="6" s="1"/>
  <c r="CA34" i="6" s="1"/>
  <c r="CA35" i="6" s="1"/>
  <c r="CA36" i="6" s="1"/>
  <c r="CA37" i="6" s="1"/>
  <c r="CA38" i="6" s="1"/>
  <c r="CA39" i="6" s="1"/>
  <c r="CA40" i="6" s="1"/>
  <c r="CA41" i="6" s="1"/>
  <c r="CA42" i="6" s="1"/>
  <c r="CA43" i="6" s="1"/>
  <c r="CA44" i="6" s="1"/>
  <c r="CA45" i="6" s="1"/>
  <c r="CA46" i="6" s="1"/>
  <c r="CA47" i="6" s="1"/>
  <c r="CA48" i="6" s="1"/>
  <c r="CA49" i="6" s="1"/>
  <c r="CA50" i="6" s="1"/>
  <c r="CA51" i="6" s="1"/>
  <c r="CA52" i="6" s="1"/>
  <c r="CA53" i="6" s="1"/>
  <c r="CA54" i="6" s="1"/>
  <c r="CA55" i="6" s="1"/>
  <c r="CA56" i="6" s="1"/>
  <c r="CA57" i="6" s="1"/>
  <c r="CA58" i="6" s="1"/>
  <c r="CA59" i="6" s="1"/>
  <c r="CA60" i="6" s="1"/>
  <c r="CA61" i="6" s="1"/>
  <c r="CA62" i="6" s="1"/>
  <c r="CA63" i="6" s="1"/>
  <c r="CA64" i="6" s="1"/>
  <c r="CA65" i="6" s="1"/>
  <c r="CA66" i="6" s="1"/>
  <c r="CA67" i="6" s="1"/>
  <c r="CA68" i="6" s="1"/>
  <c r="CA69" i="6" s="1"/>
  <c r="CA70" i="6" s="1"/>
  <c r="CA71" i="6" s="1"/>
  <c r="CA72" i="6" s="1"/>
  <c r="CA73" i="6" s="1"/>
  <c r="CA74" i="6" s="1"/>
  <c r="CA75" i="6" s="1"/>
  <c r="CA76" i="6" s="1"/>
  <c r="CA77" i="6" s="1"/>
  <c r="CA78" i="6" s="1"/>
  <c r="CA79" i="6" s="1"/>
  <c r="CA80" i="6" s="1"/>
  <c r="CA81" i="6" s="1"/>
  <c r="CA82" i="6" s="1"/>
  <c r="CA83" i="6" s="1"/>
  <c r="CA84" i="6" s="1"/>
  <c r="CA85" i="6" s="1"/>
  <c r="CA86" i="6" s="1"/>
  <c r="CA87" i="6" s="1"/>
  <c r="CA88" i="6" s="1"/>
  <c r="CA89" i="6" s="1"/>
  <c r="CA90" i="6" s="1"/>
  <c r="CA91" i="6" s="1"/>
  <c r="CA92" i="6" s="1"/>
  <c r="CA93" i="6" s="1"/>
  <c r="CA94" i="6" s="1"/>
  <c r="CA95" i="6" s="1"/>
  <c r="CA96" i="6" s="1"/>
  <c r="CA97" i="6" s="1"/>
  <c r="CA98" i="6" s="1"/>
  <c r="CA99" i="6" s="1"/>
  <c r="CA100" i="6" s="1"/>
  <c r="CA101" i="6" s="1"/>
  <c r="CA102" i="6" s="1"/>
  <c r="CA103" i="6" s="1"/>
  <c r="CA104" i="6" s="1"/>
  <c r="CA105" i="6" s="1"/>
  <c r="CA106" i="6" s="1"/>
  <c r="CA107" i="6" s="1"/>
  <c r="CA108" i="6" s="1"/>
  <c r="CA109" i="6" s="1"/>
  <c r="CA110" i="6" s="1"/>
  <c r="CA111" i="6" s="1"/>
  <c r="CA112" i="6" s="1"/>
  <c r="CA113" i="6" s="1"/>
  <c r="CA114" i="6" s="1"/>
  <c r="CA115" i="6" s="1"/>
  <c r="CA116" i="6" s="1"/>
  <c r="CA117" i="6" s="1"/>
  <c r="CA118" i="6" s="1"/>
  <c r="CA119" i="6" s="1"/>
  <c r="CA120" i="6" s="1"/>
  <c r="CA121" i="6" s="1"/>
  <c r="CA122" i="6" s="1"/>
  <c r="CA123" i="6" s="1"/>
  <c r="CA124" i="6" s="1"/>
  <c r="CA125" i="6" s="1"/>
  <c r="CA126" i="6" s="1"/>
  <c r="CA127" i="6" s="1"/>
  <c r="CA128" i="6" s="1"/>
  <c r="CA129" i="6" s="1"/>
  <c r="CA130" i="6" s="1"/>
  <c r="CA131" i="6" s="1"/>
  <c r="CA132" i="6" s="1"/>
  <c r="CA133" i="6" s="1"/>
  <c r="CA134" i="6" s="1"/>
  <c r="CA135" i="6" s="1"/>
  <c r="CA136" i="6" s="1"/>
  <c r="CA137" i="6" s="1"/>
  <c r="CA138" i="6" s="1"/>
  <c r="CA139" i="6" s="1"/>
  <c r="CA140" i="6" s="1"/>
  <c r="CA141" i="6" s="1"/>
  <c r="CA142" i="6" s="1"/>
  <c r="CA143" i="6" s="1"/>
  <c r="CA144" i="6" s="1"/>
  <c r="CA145" i="6" s="1"/>
  <c r="CA146" i="6" s="1"/>
  <c r="CA147" i="6" s="1"/>
  <c r="CA148" i="6" s="1"/>
  <c r="CA149" i="6" s="1"/>
  <c r="CA150" i="6" s="1"/>
  <c r="CA151" i="6" s="1"/>
  <c r="CA152" i="6" s="1"/>
  <c r="CA153" i="6" s="1"/>
  <c r="CA154" i="6" s="1"/>
  <c r="CA155" i="6" s="1"/>
  <c r="CA156" i="6" s="1"/>
  <c r="CA157" i="6" s="1"/>
  <c r="CA158" i="6" s="1"/>
  <c r="CA159" i="6" s="1"/>
  <c r="CA160" i="6" s="1"/>
  <c r="CA161" i="6" s="1"/>
  <c r="CA162" i="6" s="1"/>
  <c r="CA163" i="6" s="1"/>
  <c r="CA164" i="6" s="1"/>
  <c r="CA165" i="6" s="1"/>
  <c r="CA166" i="6" s="1"/>
  <c r="CA167" i="6" s="1"/>
  <c r="CA168" i="6" s="1"/>
  <c r="CA169" i="6" s="1"/>
  <c r="CA170" i="6" s="1"/>
  <c r="CA171" i="6" s="1"/>
  <c r="CA172" i="6" s="1"/>
  <c r="CA173" i="6" s="1"/>
  <c r="CA174" i="6" s="1"/>
  <c r="CA175" i="6" s="1"/>
  <c r="CA176" i="6" s="1"/>
  <c r="CA177" i="6" s="1"/>
  <c r="CA178" i="6" s="1"/>
  <c r="CA179" i="6" s="1"/>
  <c r="CA180" i="6" s="1"/>
  <c r="CA181" i="6" s="1"/>
  <c r="CA182" i="6" s="1"/>
  <c r="CA183" i="6" s="1"/>
  <c r="CA184" i="6" s="1"/>
  <c r="CA185" i="6" s="1"/>
  <c r="CA186" i="6" s="1"/>
  <c r="CA187" i="6" s="1"/>
  <c r="CA188" i="6" s="1"/>
  <c r="CA189" i="6" s="1"/>
  <c r="CA190" i="6" s="1"/>
  <c r="CA191" i="6" s="1"/>
  <c r="CA192" i="6" s="1"/>
  <c r="CA193" i="6" s="1"/>
  <c r="CA194" i="6" s="1"/>
  <c r="CA195" i="6" s="1"/>
  <c r="CA196" i="6" s="1"/>
  <c r="CA197" i="6" s="1"/>
  <c r="CA198" i="6" s="1"/>
  <c r="CA199" i="6" s="1"/>
  <c r="CA200" i="6" s="1"/>
  <c r="CA201" i="6" s="1"/>
  <c r="CA202" i="6" s="1"/>
  <c r="CA203" i="6" s="1"/>
  <c r="CA204" i="6" s="1"/>
  <c r="CA205" i="6" s="1"/>
  <c r="CA206" i="6" s="1"/>
  <c r="CA207" i="6" s="1"/>
  <c r="CA208" i="6" s="1"/>
  <c r="CA209" i="6" s="1"/>
  <c r="CA210" i="6" s="1"/>
  <c r="CA211" i="6" s="1"/>
  <c r="CA212" i="6" s="1"/>
  <c r="CA213" i="6" s="1"/>
  <c r="CA214" i="6" s="1"/>
  <c r="CA215" i="6" s="1"/>
  <c r="CA216" i="6" s="1"/>
  <c r="CA217" i="6" s="1"/>
  <c r="CA218" i="6" s="1"/>
  <c r="CA219" i="6" s="1"/>
  <c r="CA220" i="6" s="1"/>
  <c r="CA221" i="6" s="1"/>
  <c r="CA222" i="6" s="1"/>
  <c r="CA223" i="6" s="1"/>
  <c r="CA224" i="6" s="1"/>
  <c r="CA225" i="6" s="1"/>
  <c r="CA226" i="6" s="1"/>
  <c r="CA227" i="6" s="1"/>
  <c r="CA228" i="6" s="1"/>
  <c r="CA229" i="6" s="1"/>
  <c r="CA230" i="6" s="1"/>
  <c r="CA231" i="6" s="1"/>
  <c r="CA232" i="6" s="1"/>
  <c r="CA233" i="6" s="1"/>
  <c r="CA234" i="6" s="1"/>
  <c r="CA235" i="6" s="1"/>
  <c r="CA236" i="6" s="1"/>
  <c r="CA237" i="6" s="1"/>
  <c r="CA238" i="6" s="1"/>
  <c r="CA239" i="6" s="1"/>
  <c r="CA240" i="6" s="1"/>
  <c r="CA241" i="6" s="1"/>
  <c r="CA242" i="6" s="1"/>
  <c r="CA243" i="6" s="1"/>
  <c r="CA244" i="6" s="1"/>
  <c r="CA245" i="6" s="1"/>
  <c r="CA246" i="6" s="1"/>
  <c r="CA247" i="6" s="1"/>
  <c r="CA248" i="6" s="1"/>
  <c r="CA249" i="6" s="1"/>
  <c r="CA250" i="6" s="1"/>
  <c r="CA251" i="6" s="1"/>
  <c r="CA252" i="6" s="1"/>
  <c r="CA253" i="6" s="1"/>
  <c r="CA254" i="6" s="1"/>
  <c r="CA255" i="6" s="1"/>
  <c r="CB4" i="6"/>
  <c r="CB5" i="6" s="1"/>
  <c r="CB6" i="6" s="1"/>
  <c r="CB7" i="6" s="1"/>
  <c r="CB8" i="6" s="1"/>
  <c r="CB9" i="6" s="1"/>
  <c r="CB10" i="6" s="1"/>
  <c r="CB11" i="6" s="1"/>
  <c r="CB12" i="6" s="1"/>
  <c r="CB13" i="6" s="1"/>
  <c r="CB14" i="6" s="1"/>
  <c r="CB15" i="6" s="1"/>
  <c r="CB16" i="6" s="1"/>
  <c r="CB17" i="6" s="1"/>
  <c r="CB18" i="6" s="1"/>
  <c r="CB19" i="6" s="1"/>
  <c r="CB20" i="6" s="1"/>
  <c r="CB21" i="6" s="1"/>
  <c r="CB22" i="6" s="1"/>
  <c r="CB23" i="6" s="1"/>
  <c r="CB24" i="6" s="1"/>
  <c r="CB25" i="6" s="1"/>
  <c r="CB26" i="6" s="1"/>
  <c r="CB27" i="6" s="1"/>
  <c r="CB28" i="6" s="1"/>
  <c r="CB29" i="6" s="1"/>
  <c r="CB30" i="6" s="1"/>
  <c r="CB31" i="6" s="1"/>
  <c r="CB32" i="6" s="1"/>
  <c r="CB33" i="6" s="1"/>
  <c r="CB34" i="6" s="1"/>
  <c r="CB35" i="6" s="1"/>
  <c r="CB36" i="6" s="1"/>
  <c r="CB37" i="6" s="1"/>
  <c r="CB38" i="6" s="1"/>
  <c r="CB39" i="6" s="1"/>
  <c r="CB40" i="6" s="1"/>
  <c r="CB41" i="6" s="1"/>
  <c r="CB42" i="6" s="1"/>
  <c r="CB43" i="6" s="1"/>
  <c r="CB44" i="6" s="1"/>
  <c r="CB45" i="6" s="1"/>
  <c r="CB46" i="6" s="1"/>
  <c r="CB47" i="6" s="1"/>
  <c r="CB48" i="6" s="1"/>
  <c r="CB49" i="6" s="1"/>
  <c r="CB50" i="6" s="1"/>
  <c r="CB51" i="6" s="1"/>
  <c r="CB52" i="6" s="1"/>
  <c r="CB53" i="6" s="1"/>
  <c r="CB54" i="6" s="1"/>
  <c r="CB55" i="6" s="1"/>
  <c r="CB56" i="6" s="1"/>
  <c r="CB57" i="6" s="1"/>
  <c r="CB58" i="6" s="1"/>
  <c r="CB59" i="6" s="1"/>
  <c r="CB60" i="6" s="1"/>
  <c r="CB61" i="6" s="1"/>
  <c r="CB62" i="6" s="1"/>
  <c r="CB63" i="6" s="1"/>
  <c r="CB64" i="6" s="1"/>
  <c r="CB65" i="6" s="1"/>
  <c r="CB66" i="6" s="1"/>
  <c r="CB67" i="6" s="1"/>
  <c r="CB68" i="6" s="1"/>
  <c r="CB69" i="6" s="1"/>
  <c r="CB70" i="6" s="1"/>
  <c r="CB71" i="6" s="1"/>
  <c r="CB72" i="6" s="1"/>
  <c r="CB73" i="6" s="1"/>
  <c r="CB74" i="6" s="1"/>
  <c r="CB75" i="6" s="1"/>
  <c r="CB76" i="6" s="1"/>
  <c r="CB77" i="6" s="1"/>
  <c r="CB78" i="6" s="1"/>
  <c r="CB79" i="6" s="1"/>
  <c r="CB80" i="6" s="1"/>
  <c r="CB81" i="6" s="1"/>
  <c r="CB82" i="6" s="1"/>
  <c r="CB83" i="6" s="1"/>
  <c r="CB84" i="6" s="1"/>
  <c r="CB85" i="6" s="1"/>
  <c r="CB86" i="6" s="1"/>
  <c r="CB87" i="6" s="1"/>
  <c r="CB88" i="6" s="1"/>
  <c r="CB89" i="6" s="1"/>
  <c r="CB90" i="6" s="1"/>
  <c r="CB91" i="6" s="1"/>
  <c r="CB92" i="6" s="1"/>
  <c r="CB93" i="6" s="1"/>
  <c r="CB94" i="6" s="1"/>
  <c r="CB95" i="6" s="1"/>
  <c r="CB96" i="6" s="1"/>
  <c r="CB97" i="6" s="1"/>
  <c r="CB98" i="6" s="1"/>
  <c r="CB99" i="6" s="1"/>
  <c r="CB100" i="6" s="1"/>
  <c r="CB101" i="6" s="1"/>
  <c r="CB102" i="6" s="1"/>
  <c r="CB103" i="6" s="1"/>
  <c r="CB104" i="6" s="1"/>
  <c r="CB105" i="6" s="1"/>
  <c r="CB106" i="6" s="1"/>
  <c r="CB107" i="6" s="1"/>
  <c r="CB108" i="6" s="1"/>
  <c r="CB109" i="6" s="1"/>
  <c r="CB110" i="6" s="1"/>
  <c r="CB111" i="6" s="1"/>
  <c r="CB112" i="6" s="1"/>
  <c r="CB113" i="6" s="1"/>
  <c r="CB114" i="6" s="1"/>
  <c r="CB115" i="6" s="1"/>
  <c r="CB116" i="6" s="1"/>
  <c r="CB117" i="6" s="1"/>
  <c r="CB118" i="6" s="1"/>
  <c r="CB119" i="6" s="1"/>
  <c r="CB120" i="6" s="1"/>
  <c r="CB121" i="6" s="1"/>
  <c r="CB122" i="6" s="1"/>
  <c r="CB123" i="6" s="1"/>
  <c r="CB124" i="6" s="1"/>
  <c r="CB125" i="6" s="1"/>
  <c r="CB126" i="6" s="1"/>
  <c r="CB127" i="6" s="1"/>
  <c r="CB128" i="6" s="1"/>
  <c r="CB129" i="6" s="1"/>
  <c r="CB130" i="6" s="1"/>
  <c r="CB131" i="6" s="1"/>
  <c r="CB132" i="6" s="1"/>
  <c r="CB133" i="6" s="1"/>
  <c r="CB134" i="6" s="1"/>
  <c r="CB135" i="6" s="1"/>
  <c r="CB136" i="6" s="1"/>
  <c r="CB137" i="6" s="1"/>
  <c r="CB138" i="6" s="1"/>
  <c r="CB139" i="6" s="1"/>
  <c r="CB140" i="6" s="1"/>
  <c r="CB141" i="6" s="1"/>
  <c r="CB142" i="6" s="1"/>
  <c r="CB143" i="6" s="1"/>
  <c r="CB144" i="6" s="1"/>
  <c r="CB145" i="6" s="1"/>
  <c r="CB146" i="6" s="1"/>
  <c r="CB147" i="6" s="1"/>
  <c r="CB148" i="6" s="1"/>
  <c r="CB149" i="6" s="1"/>
  <c r="CB150" i="6" s="1"/>
  <c r="CB151" i="6" s="1"/>
  <c r="CB152" i="6" s="1"/>
  <c r="CB153" i="6" s="1"/>
  <c r="CB154" i="6" s="1"/>
  <c r="CB155" i="6" s="1"/>
  <c r="CB156" i="6" s="1"/>
  <c r="CB157" i="6" s="1"/>
  <c r="CB158" i="6" s="1"/>
  <c r="CB159" i="6" s="1"/>
  <c r="CB160" i="6" s="1"/>
  <c r="CB161" i="6" s="1"/>
  <c r="CB162" i="6" s="1"/>
  <c r="CB163" i="6" s="1"/>
  <c r="CB164" i="6" s="1"/>
  <c r="CB165" i="6" s="1"/>
  <c r="CB166" i="6" s="1"/>
  <c r="CB167" i="6" s="1"/>
  <c r="CB168" i="6" s="1"/>
  <c r="CB169" i="6" s="1"/>
  <c r="CB170" i="6" s="1"/>
  <c r="CB171" i="6" s="1"/>
  <c r="CB172" i="6" s="1"/>
  <c r="CB173" i="6" s="1"/>
  <c r="CB174" i="6" s="1"/>
  <c r="CB175" i="6" s="1"/>
  <c r="CB176" i="6" s="1"/>
  <c r="CB177" i="6" s="1"/>
  <c r="CB178" i="6" s="1"/>
  <c r="CB179" i="6" s="1"/>
  <c r="CB180" i="6" s="1"/>
  <c r="CB181" i="6" s="1"/>
  <c r="CB182" i="6" s="1"/>
  <c r="CB183" i="6" s="1"/>
  <c r="CB184" i="6" s="1"/>
  <c r="CB185" i="6" s="1"/>
  <c r="CB186" i="6" s="1"/>
  <c r="CB187" i="6" s="1"/>
  <c r="CB188" i="6" s="1"/>
  <c r="CB189" i="6" s="1"/>
  <c r="CB190" i="6" s="1"/>
  <c r="CB191" i="6" s="1"/>
  <c r="CB192" i="6" s="1"/>
  <c r="CB193" i="6" s="1"/>
  <c r="CB194" i="6" s="1"/>
  <c r="CB195" i="6" s="1"/>
  <c r="CB196" i="6" s="1"/>
  <c r="CB197" i="6" s="1"/>
  <c r="CB198" i="6" s="1"/>
  <c r="CB199" i="6" s="1"/>
  <c r="CB200" i="6" s="1"/>
  <c r="CB201" i="6" s="1"/>
  <c r="CB202" i="6" s="1"/>
  <c r="CB203" i="6" s="1"/>
  <c r="CB204" i="6" s="1"/>
  <c r="CB205" i="6" s="1"/>
  <c r="CB206" i="6" s="1"/>
  <c r="CB207" i="6" s="1"/>
  <c r="CB208" i="6" s="1"/>
  <c r="CB209" i="6" s="1"/>
  <c r="CB210" i="6" s="1"/>
  <c r="CB211" i="6" s="1"/>
  <c r="CB212" i="6" s="1"/>
  <c r="CB213" i="6" s="1"/>
  <c r="CB214" i="6" s="1"/>
  <c r="CB215" i="6" s="1"/>
  <c r="CB216" i="6" s="1"/>
  <c r="CB217" i="6" s="1"/>
  <c r="CB218" i="6" s="1"/>
  <c r="CB219" i="6" s="1"/>
  <c r="CB220" i="6" s="1"/>
  <c r="CB221" i="6" s="1"/>
  <c r="CB222" i="6" s="1"/>
  <c r="CB223" i="6" s="1"/>
  <c r="CB224" i="6" s="1"/>
  <c r="CB225" i="6" s="1"/>
  <c r="CB226" i="6" s="1"/>
  <c r="CB227" i="6" s="1"/>
  <c r="CB228" i="6" s="1"/>
  <c r="CB229" i="6" s="1"/>
  <c r="CB230" i="6" s="1"/>
  <c r="CB231" i="6" s="1"/>
  <c r="CB232" i="6" s="1"/>
  <c r="CB233" i="6" s="1"/>
  <c r="CB234" i="6" s="1"/>
  <c r="CB235" i="6" s="1"/>
  <c r="CB236" i="6" s="1"/>
  <c r="CB237" i="6" s="1"/>
  <c r="CB238" i="6" s="1"/>
  <c r="CB239" i="6" s="1"/>
  <c r="CB240" i="6" s="1"/>
  <c r="CB241" i="6" s="1"/>
  <c r="CB242" i="6" s="1"/>
  <c r="CB243" i="6" s="1"/>
  <c r="CB244" i="6" s="1"/>
  <c r="CB245" i="6" s="1"/>
  <c r="CB246" i="6" s="1"/>
  <c r="CB247" i="6" s="1"/>
  <c r="CB248" i="6" s="1"/>
  <c r="CB249" i="6" s="1"/>
  <c r="CB250" i="6" s="1"/>
  <c r="CB251" i="6" s="1"/>
  <c r="CB252" i="6" s="1"/>
  <c r="CB253" i="6" s="1"/>
  <c r="CB254" i="6" s="1"/>
  <c r="CB255" i="6" s="1"/>
  <c r="CC4" i="6"/>
  <c r="CC5" i="6" s="1"/>
  <c r="CC6" i="6" s="1"/>
  <c r="CC7" i="6" s="1"/>
  <c r="CC8" i="6" s="1"/>
  <c r="CC9" i="6" s="1"/>
  <c r="CC10" i="6" s="1"/>
  <c r="CC11" i="6" s="1"/>
  <c r="CC12" i="6" s="1"/>
  <c r="CC13" i="6" s="1"/>
  <c r="CC14" i="6" s="1"/>
  <c r="CC15" i="6" s="1"/>
  <c r="CC16" i="6" s="1"/>
  <c r="CC17" i="6" s="1"/>
  <c r="CC18" i="6" s="1"/>
  <c r="CC19" i="6" s="1"/>
  <c r="CC20" i="6" s="1"/>
  <c r="CC21" i="6" s="1"/>
  <c r="CC22" i="6" s="1"/>
  <c r="CC23" i="6" s="1"/>
  <c r="CC24" i="6" s="1"/>
  <c r="CC25" i="6" s="1"/>
  <c r="CC26" i="6" s="1"/>
  <c r="CC27" i="6" s="1"/>
  <c r="CC28" i="6" s="1"/>
  <c r="CC29" i="6" s="1"/>
  <c r="CC30" i="6" s="1"/>
  <c r="CC31" i="6" s="1"/>
  <c r="CC32" i="6" s="1"/>
  <c r="CC33" i="6" s="1"/>
  <c r="CC34" i="6" s="1"/>
  <c r="CC35" i="6" s="1"/>
  <c r="CC36" i="6" s="1"/>
  <c r="CC37" i="6" s="1"/>
  <c r="CC38" i="6" s="1"/>
  <c r="CC39" i="6" s="1"/>
  <c r="CC40" i="6" s="1"/>
  <c r="CC41" i="6" s="1"/>
  <c r="CC42" i="6" s="1"/>
  <c r="CC43" i="6" s="1"/>
  <c r="CC44" i="6" s="1"/>
  <c r="CC45" i="6" s="1"/>
  <c r="CC46" i="6" s="1"/>
  <c r="CC47" i="6" s="1"/>
  <c r="CC48" i="6" s="1"/>
  <c r="CC49" i="6" s="1"/>
  <c r="CC50" i="6" s="1"/>
  <c r="CC51" i="6" s="1"/>
  <c r="CC52" i="6" s="1"/>
  <c r="CC53" i="6" s="1"/>
  <c r="CC54" i="6" s="1"/>
  <c r="CC55" i="6" s="1"/>
  <c r="CC56" i="6" s="1"/>
  <c r="CC57" i="6" s="1"/>
  <c r="CC58" i="6" s="1"/>
  <c r="CC59" i="6" s="1"/>
  <c r="CC60" i="6" s="1"/>
  <c r="CC61" i="6" s="1"/>
  <c r="CC62" i="6" s="1"/>
  <c r="CC63" i="6" s="1"/>
  <c r="CC64" i="6" s="1"/>
  <c r="CC65" i="6" s="1"/>
  <c r="CC66" i="6" s="1"/>
  <c r="CC67" i="6" s="1"/>
  <c r="CC68" i="6" s="1"/>
  <c r="CC69" i="6" s="1"/>
  <c r="CC70" i="6" s="1"/>
  <c r="CC71" i="6" s="1"/>
  <c r="CC72" i="6" s="1"/>
  <c r="CC73" i="6" s="1"/>
  <c r="CC74" i="6" s="1"/>
  <c r="CC75" i="6" s="1"/>
  <c r="CC76" i="6" s="1"/>
  <c r="CC77" i="6" s="1"/>
  <c r="CC78" i="6" s="1"/>
  <c r="CC79" i="6" s="1"/>
  <c r="CC80" i="6" s="1"/>
  <c r="CC81" i="6" s="1"/>
  <c r="CC82" i="6" s="1"/>
  <c r="CC83" i="6" s="1"/>
  <c r="CC84" i="6" s="1"/>
  <c r="CC85" i="6" s="1"/>
  <c r="CC86" i="6" s="1"/>
  <c r="CC87" i="6" s="1"/>
  <c r="CC88" i="6" s="1"/>
  <c r="CC89" i="6" s="1"/>
  <c r="CC90" i="6" s="1"/>
  <c r="CC91" i="6" s="1"/>
  <c r="CC92" i="6" s="1"/>
  <c r="CC93" i="6" s="1"/>
  <c r="CC94" i="6" s="1"/>
  <c r="CC95" i="6" s="1"/>
  <c r="CC96" i="6" s="1"/>
  <c r="CC97" i="6" s="1"/>
  <c r="CC98" i="6" s="1"/>
  <c r="CC99" i="6" s="1"/>
  <c r="CC100" i="6" s="1"/>
  <c r="CC101" i="6" s="1"/>
  <c r="CC102" i="6" s="1"/>
  <c r="CC103" i="6" s="1"/>
  <c r="CC104" i="6" s="1"/>
  <c r="CC105" i="6" s="1"/>
  <c r="CC106" i="6" s="1"/>
  <c r="CC107" i="6" s="1"/>
  <c r="CC108" i="6" s="1"/>
  <c r="CC109" i="6" s="1"/>
  <c r="CC110" i="6" s="1"/>
  <c r="CC111" i="6" s="1"/>
  <c r="CC112" i="6" s="1"/>
  <c r="CC113" i="6" s="1"/>
  <c r="CC114" i="6" s="1"/>
  <c r="CC115" i="6" s="1"/>
  <c r="CC116" i="6" s="1"/>
  <c r="CC117" i="6" s="1"/>
  <c r="CC118" i="6" s="1"/>
  <c r="CC119" i="6" s="1"/>
  <c r="CC120" i="6" s="1"/>
  <c r="CC121" i="6" s="1"/>
  <c r="CC122" i="6" s="1"/>
  <c r="CC123" i="6" s="1"/>
  <c r="CC124" i="6" s="1"/>
  <c r="CC125" i="6" s="1"/>
  <c r="CC126" i="6" s="1"/>
  <c r="CC127" i="6" s="1"/>
  <c r="CC128" i="6" s="1"/>
  <c r="CC129" i="6" s="1"/>
  <c r="CC130" i="6" s="1"/>
  <c r="CC131" i="6" s="1"/>
  <c r="CC132" i="6" s="1"/>
  <c r="CC133" i="6" s="1"/>
  <c r="CC134" i="6" s="1"/>
  <c r="CC135" i="6" s="1"/>
  <c r="CC136" i="6" s="1"/>
  <c r="CC137" i="6" s="1"/>
  <c r="CC138" i="6" s="1"/>
  <c r="CC139" i="6" s="1"/>
  <c r="CC140" i="6" s="1"/>
  <c r="CC141" i="6" s="1"/>
  <c r="CC142" i="6" s="1"/>
  <c r="CC143" i="6" s="1"/>
  <c r="CC144" i="6" s="1"/>
  <c r="CC145" i="6" s="1"/>
  <c r="CC146" i="6" s="1"/>
  <c r="CC147" i="6" s="1"/>
  <c r="CC148" i="6" s="1"/>
  <c r="CC149" i="6" s="1"/>
  <c r="CC150" i="6" s="1"/>
  <c r="CC151" i="6" s="1"/>
  <c r="CC152" i="6" s="1"/>
  <c r="CC153" i="6" s="1"/>
  <c r="CC154" i="6" s="1"/>
  <c r="CC155" i="6" s="1"/>
  <c r="CC156" i="6" s="1"/>
  <c r="CC157" i="6" s="1"/>
  <c r="CC158" i="6" s="1"/>
  <c r="CC159" i="6" s="1"/>
  <c r="CC160" i="6" s="1"/>
  <c r="CC161" i="6" s="1"/>
  <c r="CC162" i="6" s="1"/>
  <c r="CC163" i="6" s="1"/>
  <c r="CC164" i="6" s="1"/>
  <c r="CC165" i="6" s="1"/>
  <c r="CC166" i="6" s="1"/>
  <c r="CC167" i="6" s="1"/>
  <c r="CC168" i="6" s="1"/>
  <c r="CC169" i="6" s="1"/>
  <c r="CC170" i="6" s="1"/>
  <c r="CC171" i="6" s="1"/>
  <c r="CC172" i="6" s="1"/>
  <c r="CC173" i="6" s="1"/>
  <c r="CC174" i="6" s="1"/>
  <c r="CC175" i="6" s="1"/>
  <c r="CC176" i="6" s="1"/>
  <c r="CC177" i="6" s="1"/>
  <c r="CC178" i="6" s="1"/>
  <c r="CC179" i="6" s="1"/>
  <c r="CC180" i="6" s="1"/>
  <c r="CC181" i="6" s="1"/>
  <c r="CC182" i="6" s="1"/>
  <c r="CC183" i="6" s="1"/>
  <c r="CC184" i="6" s="1"/>
  <c r="CC185" i="6" s="1"/>
  <c r="CC186" i="6" s="1"/>
  <c r="CC187" i="6" s="1"/>
  <c r="CC188" i="6" s="1"/>
  <c r="CC189" i="6" s="1"/>
  <c r="CC190" i="6" s="1"/>
  <c r="CC191" i="6" s="1"/>
  <c r="CC192" i="6" s="1"/>
  <c r="CC193" i="6" s="1"/>
  <c r="CC194" i="6" s="1"/>
  <c r="CC195" i="6" s="1"/>
  <c r="CC196" i="6" s="1"/>
  <c r="CC197" i="6" s="1"/>
  <c r="CC198" i="6" s="1"/>
  <c r="CC199" i="6" s="1"/>
  <c r="CC200" i="6" s="1"/>
  <c r="CC201" i="6" s="1"/>
  <c r="CC202" i="6" s="1"/>
  <c r="CC203" i="6" s="1"/>
  <c r="CC204" i="6" s="1"/>
  <c r="CC205" i="6" s="1"/>
  <c r="CC206" i="6" s="1"/>
  <c r="CC207" i="6" s="1"/>
  <c r="CC208" i="6" s="1"/>
  <c r="CC209" i="6" s="1"/>
  <c r="CC210" i="6" s="1"/>
  <c r="CC211" i="6" s="1"/>
  <c r="CC212" i="6" s="1"/>
  <c r="CC213" i="6" s="1"/>
  <c r="CC214" i="6" s="1"/>
  <c r="CC215" i="6" s="1"/>
  <c r="CC216" i="6" s="1"/>
  <c r="CC217" i="6" s="1"/>
  <c r="CC218" i="6" s="1"/>
  <c r="CC219" i="6" s="1"/>
  <c r="CC220" i="6" s="1"/>
  <c r="CC221" i="6" s="1"/>
  <c r="CC222" i="6" s="1"/>
  <c r="CC223" i="6" s="1"/>
  <c r="CC224" i="6" s="1"/>
  <c r="CC225" i="6" s="1"/>
  <c r="CC226" i="6" s="1"/>
  <c r="CC227" i="6" s="1"/>
  <c r="CC228" i="6" s="1"/>
  <c r="CC229" i="6" s="1"/>
  <c r="CC230" i="6" s="1"/>
  <c r="CC231" i="6" s="1"/>
  <c r="CC232" i="6" s="1"/>
  <c r="CC233" i="6" s="1"/>
  <c r="CC234" i="6" s="1"/>
  <c r="CC235" i="6" s="1"/>
  <c r="CC236" i="6" s="1"/>
  <c r="CC237" i="6" s="1"/>
  <c r="CC238" i="6" s="1"/>
  <c r="CC239" i="6" s="1"/>
  <c r="CC240" i="6" s="1"/>
  <c r="CC241" i="6" s="1"/>
  <c r="CC242" i="6" s="1"/>
  <c r="CC243" i="6" s="1"/>
  <c r="CC244" i="6" s="1"/>
  <c r="CC245" i="6" s="1"/>
  <c r="CC246" i="6" s="1"/>
  <c r="CC247" i="6" s="1"/>
  <c r="CC248" i="6" s="1"/>
  <c r="CC249" i="6" s="1"/>
  <c r="CC250" i="6" s="1"/>
  <c r="CC251" i="6" s="1"/>
  <c r="CC252" i="6" s="1"/>
  <c r="CC253" i="6" s="1"/>
  <c r="CC254" i="6" s="1"/>
  <c r="CC255" i="6" s="1"/>
  <c r="CD4" i="6"/>
  <c r="CD5" i="6" s="1"/>
  <c r="CD6" i="6" s="1"/>
  <c r="CD7" i="6" s="1"/>
  <c r="CD8" i="6" s="1"/>
  <c r="CD9" i="6" s="1"/>
  <c r="CD10" i="6" s="1"/>
  <c r="CD11" i="6" s="1"/>
  <c r="CD12" i="6" s="1"/>
  <c r="CD13" i="6" s="1"/>
  <c r="CD14" i="6" s="1"/>
  <c r="CD15" i="6" s="1"/>
  <c r="CD16" i="6" s="1"/>
  <c r="CD17" i="6" s="1"/>
  <c r="CD18" i="6" s="1"/>
  <c r="CD19" i="6" s="1"/>
  <c r="CD20" i="6" s="1"/>
  <c r="CD21" i="6" s="1"/>
  <c r="CD22" i="6" s="1"/>
  <c r="CD23" i="6" s="1"/>
  <c r="CD24" i="6" s="1"/>
  <c r="CD25" i="6" s="1"/>
  <c r="CD26" i="6" s="1"/>
  <c r="CD27" i="6" s="1"/>
  <c r="CD28" i="6" s="1"/>
  <c r="CD29" i="6" s="1"/>
  <c r="CD30" i="6" s="1"/>
  <c r="CD31" i="6" s="1"/>
  <c r="CD32" i="6" s="1"/>
  <c r="CD33" i="6" s="1"/>
  <c r="CD34" i="6" s="1"/>
  <c r="CD35" i="6" s="1"/>
  <c r="CD36" i="6" s="1"/>
  <c r="CD37" i="6" s="1"/>
  <c r="CD38" i="6" s="1"/>
  <c r="CD39" i="6" s="1"/>
  <c r="CD40" i="6" s="1"/>
  <c r="CD41" i="6" s="1"/>
  <c r="CD42" i="6" s="1"/>
  <c r="CD43" i="6" s="1"/>
  <c r="CD44" i="6" s="1"/>
  <c r="CD45" i="6" s="1"/>
  <c r="CD46" i="6" s="1"/>
  <c r="CD47" i="6" s="1"/>
  <c r="CD48" i="6" s="1"/>
  <c r="CD49" i="6" s="1"/>
  <c r="CD50" i="6" s="1"/>
  <c r="CD51" i="6" s="1"/>
  <c r="CD52" i="6" s="1"/>
  <c r="CD53" i="6" s="1"/>
  <c r="CD54" i="6" s="1"/>
  <c r="CD55" i="6" s="1"/>
  <c r="CD56" i="6" s="1"/>
  <c r="CD57" i="6" s="1"/>
  <c r="CD58" i="6" s="1"/>
  <c r="CD59" i="6" s="1"/>
  <c r="CD60" i="6" s="1"/>
  <c r="CD61" i="6" s="1"/>
  <c r="CD62" i="6" s="1"/>
  <c r="CD63" i="6" s="1"/>
  <c r="CD64" i="6" s="1"/>
  <c r="CD65" i="6" s="1"/>
  <c r="CD66" i="6" s="1"/>
  <c r="CD67" i="6" s="1"/>
  <c r="CD68" i="6" s="1"/>
  <c r="CD69" i="6" s="1"/>
  <c r="CD70" i="6" s="1"/>
  <c r="CD71" i="6" s="1"/>
  <c r="CD72" i="6" s="1"/>
  <c r="CD73" i="6" s="1"/>
  <c r="CD74" i="6" s="1"/>
  <c r="CD75" i="6" s="1"/>
  <c r="CD76" i="6" s="1"/>
  <c r="CD77" i="6" s="1"/>
  <c r="CD78" i="6" s="1"/>
  <c r="CD79" i="6" s="1"/>
  <c r="CD80" i="6" s="1"/>
  <c r="CD81" i="6" s="1"/>
  <c r="CD82" i="6" s="1"/>
  <c r="CD83" i="6" s="1"/>
  <c r="CD84" i="6" s="1"/>
  <c r="CD85" i="6" s="1"/>
  <c r="CD86" i="6" s="1"/>
  <c r="CD87" i="6" s="1"/>
  <c r="CD88" i="6" s="1"/>
  <c r="CD89" i="6" s="1"/>
  <c r="CD90" i="6" s="1"/>
  <c r="CD91" i="6" s="1"/>
  <c r="CD92" i="6" s="1"/>
  <c r="CD93" i="6" s="1"/>
  <c r="CD94" i="6" s="1"/>
  <c r="CD95" i="6" s="1"/>
  <c r="CD96" i="6" s="1"/>
  <c r="CD97" i="6" s="1"/>
  <c r="CD98" i="6" s="1"/>
  <c r="CD99" i="6" s="1"/>
  <c r="CD100" i="6" s="1"/>
  <c r="CD101" i="6" s="1"/>
  <c r="CD102" i="6" s="1"/>
  <c r="CD103" i="6" s="1"/>
  <c r="CD104" i="6" s="1"/>
  <c r="CD105" i="6" s="1"/>
  <c r="CD106" i="6" s="1"/>
  <c r="CD107" i="6" s="1"/>
  <c r="CD108" i="6" s="1"/>
  <c r="CD109" i="6" s="1"/>
  <c r="CD110" i="6" s="1"/>
  <c r="CD111" i="6" s="1"/>
  <c r="CD112" i="6" s="1"/>
  <c r="CD113" i="6" s="1"/>
  <c r="CD114" i="6" s="1"/>
  <c r="CD115" i="6" s="1"/>
  <c r="CD116" i="6" s="1"/>
  <c r="CD117" i="6" s="1"/>
  <c r="CD118" i="6" s="1"/>
  <c r="CD119" i="6" s="1"/>
  <c r="CD120" i="6" s="1"/>
  <c r="CD121" i="6" s="1"/>
  <c r="CD122" i="6" s="1"/>
  <c r="CD123" i="6" s="1"/>
  <c r="CD124" i="6" s="1"/>
  <c r="CD125" i="6" s="1"/>
  <c r="CD126" i="6" s="1"/>
  <c r="CD127" i="6" s="1"/>
  <c r="CD128" i="6" s="1"/>
  <c r="CD129" i="6" s="1"/>
  <c r="CD130" i="6" s="1"/>
  <c r="CD131" i="6" s="1"/>
  <c r="CD132" i="6" s="1"/>
  <c r="CD133" i="6" s="1"/>
  <c r="CD134" i="6" s="1"/>
  <c r="CD135" i="6" s="1"/>
  <c r="CD136" i="6" s="1"/>
  <c r="CD137" i="6" s="1"/>
  <c r="CD138" i="6" s="1"/>
  <c r="CD139" i="6" s="1"/>
  <c r="CD140" i="6" s="1"/>
  <c r="CD141" i="6" s="1"/>
  <c r="CD142" i="6" s="1"/>
  <c r="CD143" i="6" s="1"/>
  <c r="CD144" i="6" s="1"/>
  <c r="CD145" i="6" s="1"/>
  <c r="CD146" i="6" s="1"/>
  <c r="CD147" i="6" s="1"/>
  <c r="CD148" i="6" s="1"/>
  <c r="CD149" i="6" s="1"/>
  <c r="CD150" i="6" s="1"/>
  <c r="CD151" i="6" s="1"/>
  <c r="CD152" i="6" s="1"/>
  <c r="CD153" i="6" s="1"/>
  <c r="CD154" i="6" s="1"/>
  <c r="CD155" i="6" s="1"/>
  <c r="CD156" i="6" s="1"/>
  <c r="CD157" i="6" s="1"/>
  <c r="CD158" i="6" s="1"/>
  <c r="CD159" i="6" s="1"/>
  <c r="CD160" i="6" s="1"/>
  <c r="CD161" i="6" s="1"/>
  <c r="CD162" i="6" s="1"/>
  <c r="CD163" i="6" s="1"/>
  <c r="CD164" i="6" s="1"/>
  <c r="CD165" i="6" s="1"/>
  <c r="CD166" i="6" s="1"/>
  <c r="CD167" i="6" s="1"/>
  <c r="CD168" i="6" s="1"/>
  <c r="CD169" i="6" s="1"/>
  <c r="CD170" i="6" s="1"/>
  <c r="CD171" i="6" s="1"/>
  <c r="CD172" i="6" s="1"/>
  <c r="CD173" i="6" s="1"/>
  <c r="CD174" i="6" s="1"/>
  <c r="CD175" i="6" s="1"/>
  <c r="CD176" i="6" s="1"/>
  <c r="CD177" i="6" s="1"/>
  <c r="CD178" i="6" s="1"/>
  <c r="CD179" i="6" s="1"/>
  <c r="CD180" i="6" s="1"/>
  <c r="CD181" i="6" s="1"/>
  <c r="CD182" i="6" s="1"/>
  <c r="CD183" i="6" s="1"/>
  <c r="CD184" i="6" s="1"/>
  <c r="CD185" i="6" s="1"/>
  <c r="CD186" i="6" s="1"/>
  <c r="CD187" i="6" s="1"/>
  <c r="CD188" i="6" s="1"/>
  <c r="CD189" i="6" s="1"/>
  <c r="CD190" i="6" s="1"/>
  <c r="CD191" i="6" s="1"/>
  <c r="CD192" i="6" s="1"/>
  <c r="CD193" i="6" s="1"/>
  <c r="CD194" i="6" s="1"/>
  <c r="CD195" i="6" s="1"/>
  <c r="CD196" i="6" s="1"/>
  <c r="CD197" i="6" s="1"/>
  <c r="CD198" i="6" s="1"/>
  <c r="CD199" i="6" s="1"/>
  <c r="CD200" i="6" s="1"/>
  <c r="CD201" i="6" s="1"/>
  <c r="CD202" i="6" s="1"/>
  <c r="CD203" i="6" s="1"/>
  <c r="CD204" i="6" s="1"/>
  <c r="CD205" i="6" s="1"/>
  <c r="CD206" i="6" s="1"/>
  <c r="CD207" i="6" s="1"/>
  <c r="CD208" i="6" s="1"/>
  <c r="CD209" i="6" s="1"/>
  <c r="CD210" i="6" s="1"/>
  <c r="CD211" i="6" s="1"/>
  <c r="CD212" i="6" s="1"/>
  <c r="CD213" i="6" s="1"/>
  <c r="CD214" i="6" s="1"/>
  <c r="CD215" i="6" s="1"/>
  <c r="CD216" i="6" s="1"/>
  <c r="CD217" i="6" s="1"/>
  <c r="CD218" i="6" s="1"/>
  <c r="CD219" i="6" s="1"/>
  <c r="CD220" i="6" s="1"/>
  <c r="CD221" i="6" s="1"/>
  <c r="CD222" i="6" s="1"/>
  <c r="CD223" i="6" s="1"/>
  <c r="CD224" i="6" s="1"/>
  <c r="CD225" i="6" s="1"/>
  <c r="CD226" i="6" s="1"/>
  <c r="CD227" i="6" s="1"/>
  <c r="CD228" i="6" s="1"/>
  <c r="CD229" i="6" s="1"/>
  <c r="CD230" i="6" s="1"/>
  <c r="CD231" i="6" s="1"/>
  <c r="CD232" i="6" s="1"/>
  <c r="CD233" i="6" s="1"/>
  <c r="CD234" i="6" s="1"/>
  <c r="CD235" i="6" s="1"/>
  <c r="CD236" i="6" s="1"/>
  <c r="CD237" i="6" s="1"/>
  <c r="CD238" i="6" s="1"/>
  <c r="CD239" i="6" s="1"/>
  <c r="CD240" i="6" s="1"/>
  <c r="CD241" i="6" s="1"/>
  <c r="CD242" i="6" s="1"/>
  <c r="CD243" i="6" s="1"/>
  <c r="CD244" i="6" s="1"/>
  <c r="CD245" i="6" s="1"/>
  <c r="CD246" i="6" s="1"/>
  <c r="CD247" i="6" s="1"/>
  <c r="CD248" i="6" s="1"/>
  <c r="CD249" i="6" s="1"/>
  <c r="CD250" i="6" s="1"/>
  <c r="CD251" i="6" s="1"/>
  <c r="CD252" i="6" s="1"/>
  <c r="CD253" i="6" s="1"/>
  <c r="CD254" i="6" s="1"/>
  <c r="CD255" i="6" s="1"/>
  <c r="CE4" i="6"/>
  <c r="CF4" i="6"/>
  <c r="CG4" i="6"/>
  <c r="CG5" i="6" s="1"/>
  <c r="CG6" i="6" s="1"/>
  <c r="CG7" i="6" s="1"/>
  <c r="CG8" i="6" s="1"/>
  <c r="CG9" i="6" s="1"/>
  <c r="CG10" i="6" s="1"/>
  <c r="CG11" i="6" s="1"/>
  <c r="CG12" i="6" s="1"/>
  <c r="CG13" i="6" s="1"/>
  <c r="CG14" i="6" s="1"/>
  <c r="CG15" i="6" s="1"/>
  <c r="CG16" i="6" s="1"/>
  <c r="CG17" i="6" s="1"/>
  <c r="CG18" i="6" s="1"/>
  <c r="CG19" i="6" s="1"/>
  <c r="CG20" i="6" s="1"/>
  <c r="CG21" i="6" s="1"/>
  <c r="CG22" i="6" s="1"/>
  <c r="CG23" i="6" s="1"/>
  <c r="CG24" i="6" s="1"/>
  <c r="CG25" i="6" s="1"/>
  <c r="CG26" i="6" s="1"/>
  <c r="CG27" i="6" s="1"/>
  <c r="CG28" i="6" s="1"/>
  <c r="CG29" i="6" s="1"/>
  <c r="CG30" i="6" s="1"/>
  <c r="CG31" i="6" s="1"/>
  <c r="CG32" i="6" s="1"/>
  <c r="CG33" i="6" s="1"/>
  <c r="CG34" i="6" s="1"/>
  <c r="CG35" i="6" s="1"/>
  <c r="CG36" i="6" s="1"/>
  <c r="CG37" i="6" s="1"/>
  <c r="CG38" i="6" s="1"/>
  <c r="CG39" i="6" s="1"/>
  <c r="CG40" i="6" s="1"/>
  <c r="CG41" i="6" s="1"/>
  <c r="CG42" i="6" s="1"/>
  <c r="CG43" i="6" s="1"/>
  <c r="CG44" i="6" s="1"/>
  <c r="CG45" i="6" s="1"/>
  <c r="CG46" i="6" s="1"/>
  <c r="CG47" i="6" s="1"/>
  <c r="CG48" i="6" s="1"/>
  <c r="CG49" i="6" s="1"/>
  <c r="CG50" i="6" s="1"/>
  <c r="CG51" i="6" s="1"/>
  <c r="CG52" i="6" s="1"/>
  <c r="CG53" i="6" s="1"/>
  <c r="CG54" i="6" s="1"/>
  <c r="CG55" i="6" s="1"/>
  <c r="CG56" i="6" s="1"/>
  <c r="CG57" i="6" s="1"/>
  <c r="CG58" i="6" s="1"/>
  <c r="CG59" i="6" s="1"/>
  <c r="CG60" i="6" s="1"/>
  <c r="CG61" i="6" s="1"/>
  <c r="CG62" i="6" s="1"/>
  <c r="CG63" i="6" s="1"/>
  <c r="CG64" i="6" s="1"/>
  <c r="CG65" i="6" s="1"/>
  <c r="CG66" i="6" s="1"/>
  <c r="CG67" i="6" s="1"/>
  <c r="CG68" i="6" s="1"/>
  <c r="CG69" i="6" s="1"/>
  <c r="CG70" i="6" s="1"/>
  <c r="CG71" i="6" s="1"/>
  <c r="CG72" i="6" s="1"/>
  <c r="CG73" i="6" s="1"/>
  <c r="CG74" i="6" s="1"/>
  <c r="CG75" i="6" s="1"/>
  <c r="CG76" i="6" s="1"/>
  <c r="CG77" i="6" s="1"/>
  <c r="CG78" i="6" s="1"/>
  <c r="CG79" i="6" s="1"/>
  <c r="CG80" i="6" s="1"/>
  <c r="CG81" i="6" s="1"/>
  <c r="CG82" i="6" s="1"/>
  <c r="CG83" i="6" s="1"/>
  <c r="CG84" i="6" s="1"/>
  <c r="CG85" i="6" s="1"/>
  <c r="CG86" i="6" s="1"/>
  <c r="CG87" i="6" s="1"/>
  <c r="CG88" i="6" s="1"/>
  <c r="CG89" i="6" s="1"/>
  <c r="CG90" i="6" s="1"/>
  <c r="CG91" i="6" s="1"/>
  <c r="CG92" i="6" s="1"/>
  <c r="CG93" i="6" s="1"/>
  <c r="CG94" i="6" s="1"/>
  <c r="CG95" i="6" s="1"/>
  <c r="CG96" i="6" s="1"/>
  <c r="CG97" i="6" s="1"/>
  <c r="CG98" i="6" s="1"/>
  <c r="CG99" i="6" s="1"/>
  <c r="CG100" i="6" s="1"/>
  <c r="CG101" i="6" s="1"/>
  <c r="CG102" i="6" s="1"/>
  <c r="CG103" i="6" s="1"/>
  <c r="CG104" i="6" s="1"/>
  <c r="CG105" i="6" s="1"/>
  <c r="CG106" i="6" s="1"/>
  <c r="CG107" i="6" s="1"/>
  <c r="CG108" i="6" s="1"/>
  <c r="CG109" i="6" s="1"/>
  <c r="CG110" i="6" s="1"/>
  <c r="CG111" i="6" s="1"/>
  <c r="CG112" i="6" s="1"/>
  <c r="CG113" i="6" s="1"/>
  <c r="CG114" i="6" s="1"/>
  <c r="CG115" i="6" s="1"/>
  <c r="CG116" i="6" s="1"/>
  <c r="CG117" i="6" s="1"/>
  <c r="CG118" i="6" s="1"/>
  <c r="CG119" i="6" s="1"/>
  <c r="CG120" i="6" s="1"/>
  <c r="CG121" i="6" s="1"/>
  <c r="CG122" i="6" s="1"/>
  <c r="CG123" i="6" s="1"/>
  <c r="CG124" i="6" s="1"/>
  <c r="CG125" i="6" s="1"/>
  <c r="CG126" i="6" s="1"/>
  <c r="CG127" i="6" s="1"/>
  <c r="CG128" i="6" s="1"/>
  <c r="CG129" i="6" s="1"/>
  <c r="CG130" i="6" s="1"/>
  <c r="CG131" i="6" s="1"/>
  <c r="CG132" i="6" s="1"/>
  <c r="CG133" i="6" s="1"/>
  <c r="CG134" i="6" s="1"/>
  <c r="CG135" i="6" s="1"/>
  <c r="CG136" i="6" s="1"/>
  <c r="CG137" i="6" s="1"/>
  <c r="CG138" i="6" s="1"/>
  <c r="CG139" i="6" s="1"/>
  <c r="CG140" i="6" s="1"/>
  <c r="CG141" i="6" s="1"/>
  <c r="CG142" i="6" s="1"/>
  <c r="CG143" i="6" s="1"/>
  <c r="CG144" i="6" s="1"/>
  <c r="CG145" i="6" s="1"/>
  <c r="CG146" i="6" s="1"/>
  <c r="CG147" i="6" s="1"/>
  <c r="CG148" i="6" s="1"/>
  <c r="CG149" i="6" s="1"/>
  <c r="CG150" i="6" s="1"/>
  <c r="CG151" i="6" s="1"/>
  <c r="CG152" i="6" s="1"/>
  <c r="CG153" i="6" s="1"/>
  <c r="CG154" i="6" s="1"/>
  <c r="CG155" i="6" s="1"/>
  <c r="CG156" i="6" s="1"/>
  <c r="CG157" i="6" s="1"/>
  <c r="CG158" i="6" s="1"/>
  <c r="CG159" i="6" s="1"/>
  <c r="CG160" i="6" s="1"/>
  <c r="CG161" i="6" s="1"/>
  <c r="CG162" i="6" s="1"/>
  <c r="CG163" i="6" s="1"/>
  <c r="CG164" i="6" s="1"/>
  <c r="CG165" i="6" s="1"/>
  <c r="CG166" i="6" s="1"/>
  <c r="CG167" i="6" s="1"/>
  <c r="CG168" i="6" s="1"/>
  <c r="CG169" i="6" s="1"/>
  <c r="CG170" i="6" s="1"/>
  <c r="CG171" i="6" s="1"/>
  <c r="CG172" i="6" s="1"/>
  <c r="CG173" i="6" s="1"/>
  <c r="CG174" i="6" s="1"/>
  <c r="CG175" i="6" s="1"/>
  <c r="CG176" i="6" s="1"/>
  <c r="CG177" i="6" s="1"/>
  <c r="CG178" i="6" s="1"/>
  <c r="CG179" i="6" s="1"/>
  <c r="CG180" i="6" s="1"/>
  <c r="CG181" i="6" s="1"/>
  <c r="CG182" i="6" s="1"/>
  <c r="CG183" i="6" s="1"/>
  <c r="CG184" i="6" s="1"/>
  <c r="CG185" i="6" s="1"/>
  <c r="CG186" i="6" s="1"/>
  <c r="CG187" i="6" s="1"/>
  <c r="CG188" i="6" s="1"/>
  <c r="CG189" i="6" s="1"/>
  <c r="CG190" i="6" s="1"/>
  <c r="CG191" i="6" s="1"/>
  <c r="CG192" i="6" s="1"/>
  <c r="CG193" i="6" s="1"/>
  <c r="CG194" i="6" s="1"/>
  <c r="CG195" i="6" s="1"/>
  <c r="CG196" i="6" s="1"/>
  <c r="CG197" i="6" s="1"/>
  <c r="CG198" i="6" s="1"/>
  <c r="CG199" i="6" s="1"/>
  <c r="CG200" i="6" s="1"/>
  <c r="CG201" i="6" s="1"/>
  <c r="CG202" i="6" s="1"/>
  <c r="CG203" i="6" s="1"/>
  <c r="CG204" i="6" s="1"/>
  <c r="CG205" i="6" s="1"/>
  <c r="CG206" i="6" s="1"/>
  <c r="CG207" i="6" s="1"/>
  <c r="CG208" i="6" s="1"/>
  <c r="CG209" i="6" s="1"/>
  <c r="CG210" i="6" s="1"/>
  <c r="CG211" i="6" s="1"/>
  <c r="CG212" i="6" s="1"/>
  <c r="CG213" i="6" s="1"/>
  <c r="CG214" i="6" s="1"/>
  <c r="CG215" i="6" s="1"/>
  <c r="CG216" i="6" s="1"/>
  <c r="CG217" i="6" s="1"/>
  <c r="CG218" i="6" s="1"/>
  <c r="CG219" i="6" s="1"/>
  <c r="CG220" i="6" s="1"/>
  <c r="CG221" i="6" s="1"/>
  <c r="CG222" i="6" s="1"/>
  <c r="CG223" i="6" s="1"/>
  <c r="CG224" i="6" s="1"/>
  <c r="CG225" i="6" s="1"/>
  <c r="CG226" i="6" s="1"/>
  <c r="CG227" i="6" s="1"/>
  <c r="CG228" i="6" s="1"/>
  <c r="CG229" i="6" s="1"/>
  <c r="CG230" i="6" s="1"/>
  <c r="CG231" i="6" s="1"/>
  <c r="CG232" i="6" s="1"/>
  <c r="CG233" i="6" s="1"/>
  <c r="CG234" i="6" s="1"/>
  <c r="CG235" i="6" s="1"/>
  <c r="CG236" i="6" s="1"/>
  <c r="CG237" i="6" s="1"/>
  <c r="CG238" i="6" s="1"/>
  <c r="CG239" i="6" s="1"/>
  <c r="CG240" i="6" s="1"/>
  <c r="CG241" i="6" s="1"/>
  <c r="CG242" i="6" s="1"/>
  <c r="CG243" i="6" s="1"/>
  <c r="CG244" i="6" s="1"/>
  <c r="CG245" i="6" s="1"/>
  <c r="CG246" i="6" s="1"/>
  <c r="CG247" i="6" s="1"/>
  <c r="CG248" i="6" s="1"/>
  <c r="CG249" i="6" s="1"/>
  <c r="CG250" i="6" s="1"/>
  <c r="CG251" i="6" s="1"/>
  <c r="CG252" i="6" s="1"/>
  <c r="CG253" i="6" s="1"/>
  <c r="CG254" i="6" s="1"/>
  <c r="CG255" i="6" s="1"/>
  <c r="CH4" i="6"/>
  <c r="CH5" i="6" s="1"/>
  <c r="CH6" i="6" s="1"/>
  <c r="CH7" i="6" s="1"/>
  <c r="CH8" i="6" s="1"/>
  <c r="CH9" i="6" s="1"/>
  <c r="CH10" i="6" s="1"/>
  <c r="CH11" i="6" s="1"/>
  <c r="CH12" i="6" s="1"/>
  <c r="CH13" i="6" s="1"/>
  <c r="CH14" i="6" s="1"/>
  <c r="CH15" i="6" s="1"/>
  <c r="CH16" i="6" s="1"/>
  <c r="CH17" i="6" s="1"/>
  <c r="CH18" i="6" s="1"/>
  <c r="CH19" i="6" s="1"/>
  <c r="CH20" i="6" s="1"/>
  <c r="CH21" i="6" s="1"/>
  <c r="CH22" i="6" s="1"/>
  <c r="CH23" i="6" s="1"/>
  <c r="CH24" i="6" s="1"/>
  <c r="CH25" i="6" s="1"/>
  <c r="CH26" i="6" s="1"/>
  <c r="CH27" i="6" s="1"/>
  <c r="CH28" i="6" s="1"/>
  <c r="CH29" i="6" s="1"/>
  <c r="CH30" i="6" s="1"/>
  <c r="CH31" i="6" s="1"/>
  <c r="CH32" i="6" s="1"/>
  <c r="CH33" i="6" s="1"/>
  <c r="CH34" i="6" s="1"/>
  <c r="CH35" i="6" s="1"/>
  <c r="CH36" i="6" s="1"/>
  <c r="CH37" i="6" s="1"/>
  <c r="CH38" i="6" s="1"/>
  <c r="CH39" i="6" s="1"/>
  <c r="CH40" i="6" s="1"/>
  <c r="CH41" i="6" s="1"/>
  <c r="CH42" i="6" s="1"/>
  <c r="CH43" i="6" s="1"/>
  <c r="CH44" i="6" s="1"/>
  <c r="CH45" i="6" s="1"/>
  <c r="CH46" i="6" s="1"/>
  <c r="CH47" i="6" s="1"/>
  <c r="CH48" i="6" s="1"/>
  <c r="CH49" i="6" s="1"/>
  <c r="CH50" i="6" s="1"/>
  <c r="CH51" i="6" s="1"/>
  <c r="CH52" i="6" s="1"/>
  <c r="CH53" i="6" s="1"/>
  <c r="CH54" i="6" s="1"/>
  <c r="CH55" i="6" s="1"/>
  <c r="CH56" i="6" s="1"/>
  <c r="CH57" i="6" s="1"/>
  <c r="CH58" i="6" s="1"/>
  <c r="CH59" i="6" s="1"/>
  <c r="CH60" i="6" s="1"/>
  <c r="CH61" i="6" s="1"/>
  <c r="CH62" i="6" s="1"/>
  <c r="CH63" i="6" s="1"/>
  <c r="CH64" i="6" s="1"/>
  <c r="CH65" i="6" s="1"/>
  <c r="CH66" i="6" s="1"/>
  <c r="CH67" i="6" s="1"/>
  <c r="CH68" i="6" s="1"/>
  <c r="CH69" i="6" s="1"/>
  <c r="CH70" i="6" s="1"/>
  <c r="CH71" i="6" s="1"/>
  <c r="CH72" i="6" s="1"/>
  <c r="CH73" i="6" s="1"/>
  <c r="CH74" i="6" s="1"/>
  <c r="CH75" i="6" s="1"/>
  <c r="CH76" i="6" s="1"/>
  <c r="CH77" i="6" s="1"/>
  <c r="CH78" i="6" s="1"/>
  <c r="CH79" i="6" s="1"/>
  <c r="CH80" i="6" s="1"/>
  <c r="CH81" i="6" s="1"/>
  <c r="CH82" i="6" s="1"/>
  <c r="CH83" i="6" s="1"/>
  <c r="CH84" i="6" s="1"/>
  <c r="CH85" i="6" s="1"/>
  <c r="CH86" i="6" s="1"/>
  <c r="CH87" i="6" s="1"/>
  <c r="CH88" i="6" s="1"/>
  <c r="CH89" i="6" s="1"/>
  <c r="CH90" i="6" s="1"/>
  <c r="CH91" i="6" s="1"/>
  <c r="CH92" i="6" s="1"/>
  <c r="CH93" i="6" s="1"/>
  <c r="CH94" i="6" s="1"/>
  <c r="CH95" i="6" s="1"/>
  <c r="CH96" i="6" s="1"/>
  <c r="CH97" i="6" s="1"/>
  <c r="CH98" i="6" s="1"/>
  <c r="CH99" i="6" s="1"/>
  <c r="CH100" i="6" s="1"/>
  <c r="CH101" i="6" s="1"/>
  <c r="CH102" i="6" s="1"/>
  <c r="CH103" i="6" s="1"/>
  <c r="CH104" i="6" s="1"/>
  <c r="CH105" i="6" s="1"/>
  <c r="CH106" i="6" s="1"/>
  <c r="CH107" i="6" s="1"/>
  <c r="CH108" i="6" s="1"/>
  <c r="CH109" i="6" s="1"/>
  <c r="CH110" i="6" s="1"/>
  <c r="CH111" i="6" s="1"/>
  <c r="CH112" i="6" s="1"/>
  <c r="CH113" i="6" s="1"/>
  <c r="CH114" i="6" s="1"/>
  <c r="CH115" i="6" s="1"/>
  <c r="CH116" i="6" s="1"/>
  <c r="CH117" i="6" s="1"/>
  <c r="CH118" i="6" s="1"/>
  <c r="CH119" i="6" s="1"/>
  <c r="CH120" i="6" s="1"/>
  <c r="CH121" i="6" s="1"/>
  <c r="CH122" i="6" s="1"/>
  <c r="CH123" i="6" s="1"/>
  <c r="CH124" i="6" s="1"/>
  <c r="CH125" i="6" s="1"/>
  <c r="CH126" i="6" s="1"/>
  <c r="CH127" i="6" s="1"/>
  <c r="CH128" i="6" s="1"/>
  <c r="CH129" i="6" s="1"/>
  <c r="CH130" i="6" s="1"/>
  <c r="CH131" i="6" s="1"/>
  <c r="CH132" i="6" s="1"/>
  <c r="CH133" i="6" s="1"/>
  <c r="CH134" i="6" s="1"/>
  <c r="CH135" i="6" s="1"/>
  <c r="CH136" i="6" s="1"/>
  <c r="CH137" i="6" s="1"/>
  <c r="CH138" i="6" s="1"/>
  <c r="CH139" i="6" s="1"/>
  <c r="CH140" i="6" s="1"/>
  <c r="CH141" i="6" s="1"/>
  <c r="CH142" i="6" s="1"/>
  <c r="CH143" i="6" s="1"/>
  <c r="CH144" i="6" s="1"/>
  <c r="CH145" i="6" s="1"/>
  <c r="CH146" i="6" s="1"/>
  <c r="CH147" i="6" s="1"/>
  <c r="CH148" i="6" s="1"/>
  <c r="CH149" i="6" s="1"/>
  <c r="CH150" i="6" s="1"/>
  <c r="CH151" i="6" s="1"/>
  <c r="CH152" i="6" s="1"/>
  <c r="CH153" i="6" s="1"/>
  <c r="CH154" i="6" s="1"/>
  <c r="CH155" i="6" s="1"/>
  <c r="CH156" i="6" s="1"/>
  <c r="CH157" i="6" s="1"/>
  <c r="CH158" i="6" s="1"/>
  <c r="CH159" i="6" s="1"/>
  <c r="CH160" i="6" s="1"/>
  <c r="CH161" i="6" s="1"/>
  <c r="CH162" i="6" s="1"/>
  <c r="CH163" i="6" s="1"/>
  <c r="CH164" i="6" s="1"/>
  <c r="CH165" i="6" s="1"/>
  <c r="CH166" i="6" s="1"/>
  <c r="CH167" i="6" s="1"/>
  <c r="CH168" i="6" s="1"/>
  <c r="CH169" i="6" s="1"/>
  <c r="CH170" i="6" s="1"/>
  <c r="CH171" i="6" s="1"/>
  <c r="CH172" i="6" s="1"/>
  <c r="CH173" i="6" s="1"/>
  <c r="CH174" i="6" s="1"/>
  <c r="CH175" i="6" s="1"/>
  <c r="CH176" i="6" s="1"/>
  <c r="CH177" i="6" s="1"/>
  <c r="CH178" i="6" s="1"/>
  <c r="CH179" i="6" s="1"/>
  <c r="CH180" i="6" s="1"/>
  <c r="CH181" i="6" s="1"/>
  <c r="CH182" i="6" s="1"/>
  <c r="CH183" i="6" s="1"/>
  <c r="CH184" i="6" s="1"/>
  <c r="CH185" i="6" s="1"/>
  <c r="CH186" i="6" s="1"/>
  <c r="CH187" i="6" s="1"/>
  <c r="CH188" i="6" s="1"/>
  <c r="CH189" i="6" s="1"/>
  <c r="CH190" i="6" s="1"/>
  <c r="CH191" i="6" s="1"/>
  <c r="CH192" i="6" s="1"/>
  <c r="CH193" i="6" s="1"/>
  <c r="CH194" i="6" s="1"/>
  <c r="CH195" i="6" s="1"/>
  <c r="CH196" i="6" s="1"/>
  <c r="CH197" i="6" s="1"/>
  <c r="CH198" i="6" s="1"/>
  <c r="CH199" i="6" s="1"/>
  <c r="CH200" i="6" s="1"/>
  <c r="CH201" i="6" s="1"/>
  <c r="CH202" i="6" s="1"/>
  <c r="CH203" i="6" s="1"/>
  <c r="CH204" i="6" s="1"/>
  <c r="CH205" i="6" s="1"/>
  <c r="CH206" i="6" s="1"/>
  <c r="CH207" i="6" s="1"/>
  <c r="CH208" i="6" s="1"/>
  <c r="CH209" i="6" s="1"/>
  <c r="CH210" i="6" s="1"/>
  <c r="CH211" i="6" s="1"/>
  <c r="CH212" i="6" s="1"/>
  <c r="CH213" i="6" s="1"/>
  <c r="CH214" i="6" s="1"/>
  <c r="CH215" i="6" s="1"/>
  <c r="CH216" i="6" s="1"/>
  <c r="CH217" i="6" s="1"/>
  <c r="CH218" i="6" s="1"/>
  <c r="CH219" i="6" s="1"/>
  <c r="CH220" i="6" s="1"/>
  <c r="CH221" i="6" s="1"/>
  <c r="CH222" i="6" s="1"/>
  <c r="CH223" i="6" s="1"/>
  <c r="CH224" i="6" s="1"/>
  <c r="CH225" i="6" s="1"/>
  <c r="CH226" i="6" s="1"/>
  <c r="CH227" i="6" s="1"/>
  <c r="CH228" i="6" s="1"/>
  <c r="CH229" i="6" s="1"/>
  <c r="CH230" i="6" s="1"/>
  <c r="CH231" i="6" s="1"/>
  <c r="CH232" i="6" s="1"/>
  <c r="CH233" i="6" s="1"/>
  <c r="CH234" i="6" s="1"/>
  <c r="CH235" i="6" s="1"/>
  <c r="CH236" i="6" s="1"/>
  <c r="CH237" i="6" s="1"/>
  <c r="CH238" i="6" s="1"/>
  <c r="CH239" i="6" s="1"/>
  <c r="CH240" i="6" s="1"/>
  <c r="CH241" i="6" s="1"/>
  <c r="CH242" i="6" s="1"/>
  <c r="CH243" i="6" s="1"/>
  <c r="CH244" i="6" s="1"/>
  <c r="CH245" i="6" s="1"/>
  <c r="CH246" i="6" s="1"/>
  <c r="CH247" i="6" s="1"/>
  <c r="CH248" i="6" s="1"/>
  <c r="CH249" i="6" s="1"/>
  <c r="CH250" i="6" s="1"/>
  <c r="CH251" i="6" s="1"/>
  <c r="CH252" i="6" s="1"/>
  <c r="CH253" i="6" s="1"/>
  <c r="CH254" i="6" s="1"/>
  <c r="CH255" i="6" s="1"/>
  <c r="CI4" i="6"/>
  <c r="CI5" i="6" s="1"/>
  <c r="CI6" i="6" s="1"/>
  <c r="CI7" i="6" s="1"/>
  <c r="CI8" i="6" s="1"/>
  <c r="CI9" i="6" s="1"/>
  <c r="CI10" i="6" s="1"/>
  <c r="CI11" i="6" s="1"/>
  <c r="CI12" i="6" s="1"/>
  <c r="CI13" i="6" s="1"/>
  <c r="CI14" i="6" s="1"/>
  <c r="CI15" i="6" s="1"/>
  <c r="CI16" i="6" s="1"/>
  <c r="CI17" i="6" s="1"/>
  <c r="CI18" i="6" s="1"/>
  <c r="CI19" i="6" s="1"/>
  <c r="CI20" i="6" s="1"/>
  <c r="CI21" i="6" s="1"/>
  <c r="CI22" i="6" s="1"/>
  <c r="CI23" i="6" s="1"/>
  <c r="CI24" i="6" s="1"/>
  <c r="CI25" i="6" s="1"/>
  <c r="CI26" i="6" s="1"/>
  <c r="CI27" i="6" s="1"/>
  <c r="CI28" i="6" s="1"/>
  <c r="CI29" i="6" s="1"/>
  <c r="CI30" i="6" s="1"/>
  <c r="CI31" i="6" s="1"/>
  <c r="CI32" i="6" s="1"/>
  <c r="CI33" i="6" s="1"/>
  <c r="CI34" i="6" s="1"/>
  <c r="CI35" i="6" s="1"/>
  <c r="CI36" i="6" s="1"/>
  <c r="CI37" i="6" s="1"/>
  <c r="CI38" i="6" s="1"/>
  <c r="CI39" i="6" s="1"/>
  <c r="CI40" i="6" s="1"/>
  <c r="CI41" i="6" s="1"/>
  <c r="CI42" i="6" s="1"/>
  <c r="CI43" i="6" s="1"/>
  <c r="CI44" i="6" s="1"/>
  <c r="CI45" i="6" s="1"/>
  <c r="CI46" i="6" s="1"/>
  <c r="CI47" i="6" s="1"/>
  <c r="CI48" i="6" s="1"/>
  <c r="CI49" i="6" s="1"/>
  <c r="CI50" i="6" s="1"/>
  <c r="CI51" i="6" s="1"/>
  <c r="CI52" i="6" s="1"/>
  <c r="CI53" i="6" s="1"/>
  <c r="CI54" i="6" s="1"/>
  <c r="CI55" i="6" s="1"/>
  <c r="CI56" i="6" s="1"/>
  <c r="CI57" i="6" s="1"/>
  <c r="CI58" i="6" s="1"/>
  <c r="CI59" i="6" s="1"/>
  <c r="CI60" i="6" s="1"/>
  <c r="CI61" i="6" s="1"/>
  <c r="CI62" i="6" s="1"/>
  <c r="CI63" i="6" s="1"/>
  <c r="CI64" i="6" s="1"/>
  <c r="CI65" i="6" s="1"/>
  <c r="CI66" i="6" s="1"/>
  <c r="CI67" i="6" s="1"/>
  <c r="CI68" i="6" s="1"/>
  <c r="CI69" i="6" s="1"/>
  <c r="CI70" i="6" s="1"/>
  <c r="CI71" i="6" s="1"/>
  <c r="CI72" i="6" s="1"/>
  <c r="CI73" i="6" s="1"/>
  <c r="CI74" i="6" s="1"/>
  <c r="CI75" i="6" s="1"/>
  <c r="CI76" i="6" s="1"/>
  <c r="CI77" i="6" s="1"/>
  <c r="CI78" i="6" s="1"/>
  <c r="CI79" i="6" s="1"/>
  <c r="CI80" i="6" s="1"/>
  <c r="CI81" i="6" s="1"/>
  <c r="CI82" i="6" s="1"/>
  <c r="CI83" i="6" s="1"/>
  <c r="CI84" i="6" s="1"/>
  <c r="CI85" i="6" s="1"/>
  <c r="CI86" i="6" s="1"/>
  <c r="CI87" i="6" s="1"/>
  <c r="CI88" i="6" s="1"/>
  <c r="CI89" i="6" s="1"/>
  <c r="CI90" i="6" s="1"/>
  <c r="CI91" i="6" s="1"/>
  <c r="CI92" i="6" s="1"/>
  <c r="CI93" i="6" s="1"/>
  <c r="CI94" i="6" s="1"/>
  <c r="CI95" i="6" s="1"/>
  <c r="CI96" i="6" s="1"/>
  <c r="CI97" i="6" s="1"/>
  <c r="CI98" i="6" s="1"/>
  <c r="CI99" i="6" s="1"/>
  <c r="CI100" i="6" s="1"/>
  <c r="CI101" i="6" s="1"/>
  <c r="CI102" i="6" s="1"/>
  <c r="CI103" i="6" s="1"/>
  <c r="CI104" i="6" s="1"/>
  <c r="CI105" i="6" s="1"/>
  <c r="CI106" i="6" s="1"/>
  <c r="CI107" i="6" s="1"/>
  <c r="CI108" i="6" s="1"/>
  <c r="CI109" i="6" s="1"/>
  <c r="CI110" i="6" s="1"/>
  <c r="CI111" i="6" s="1"/>
  <c r="CI112" i="6" s="1"/>
  <c r="CI113" i="6" s="1"/>
  <c r="CI114" i="6" s="1"/>
  <c r="CI115" i="6" s="1"/>
  <c r="CI116" i="6" s="1"/>
  <c r="CI117" i="6" s="1"/>
  <c r="CI118" i="6" s="1"/>
  <c r="CI119" i="6" s="1"/>
  <c r="CI120" i="6" s="1"/>
  <c r="CI121" i="6" s="1"/>
  <c r="CI122" i="6" s="1"/>
  <c r="CI123" i="6" s="1"/>
  <c r="CI124" i="6" s="1"/>
  <c r="CI125" i="6" s="1"/>
  <c r="CI126" i="6" s="1"/>
  <c r="CI127" i="6" s="1"/>
  <c r="CI128" i="6" s="1"/>
  <c r="CI129" i="6" s="1"/>
  <c r="CI130" i="6" s="1"/>
  <c r="CI131" i="6" s="1"/>
  <c r="CI132" i="6" s="1"/>
  <c r="CI133" i="6" s="1"/>
  <c r="CI134" i="6" s="1"/>
  <c r="CI135" i="6" s="1"/>
  <c r="CI136" i="6" s="1"/>
  <c r="CI137" i="6" s="1"/>
  <c r="CI138" i="6" s="1"/>
  <c r="CI139" i="6" s="1"/>
  <c r="CI140" i="6" s="1"/>
  <c r="CI141" i="6" s="1"/>
  <c r="CI142" i="6" s="1"/>
  <c r="CI143" i="6" s="1"/>
  <c r="CI144" i="6" s="1"/>
  <c r="CI145" i="6" s="1"/>
  <c r="CI146" i="6" s="1"/>
  <c r="CI147" i="6" s="1"/>
  <c r="CI148" i="6" s="1"/>
  <c r="CI149" i="6" s="1"/>
  <c r="CI150" i="6" s="1"/>
  <c r="CI151" i="6" s="1"/>
  <c r="CI152" i="6" s="1"/>
  <c r="CI153" i="6" s="1"/>
  <c r="CI154" i="6" s="1"/>
  <c r="CI155" i="6" s="1"/>
  <c r="CI156" i="6" s="1"/>
  <c r="CI157" i="6" s="1"/>
  <c r="CI158" i="6" s="1"/>
  <c r="CI159" i="6" s="1"/>
  <c r="CI160" i="6" s="1"/>
  <c r="CI161" i="6" s="1"/>
  <c r="CI162" i="6" s="1"/>
  <c r="CI163" i="6" s="1"/>
  <c r="CI164" i="6" s="1"/>
  <c r="CI165" i="6" s="1"/>
  <c r="CI166" i="6" s="1"/>
  <c r="CI167" i="6" s="1"/>
  <c r="CI168" i="6" s="1"/>
  <c r="CI169" i="6" s="1"/>
  <c r="CI170" i="6" s="1"/>
  <c r="CI171" i="6" s="1"/>
  <c r="CI172" i="6" s="1"/>
  <c r="CI173" i="6" s="1"/>
  <c r="CI174" i="6" s="1"/>
  <c r="CI175" i="6" s="1"/>
  <c r="CI176" i="6" s="1"/>
  <c r="CI177" i="6" s="1"/>
  <c r="CI178" i="6" s="1"/>
  <c r="CI179" i="6" s="1"/>
  <c r="CI180" i="6" s="1"/>
  <c r="CI181" i="6" s="1"/>
  <c r="CI182" i="6" s="1"/>
  <c r="CI183" i="6" s="1"/>
  <c r="CI184" i="6" s="1"/>
  <c r="CI185" i="6" s="1"/>
  <c r="CI186" i="6" s="1"/>
  <c r="CI187" i="6" s="1"/>
  <c r="CI188" i="6" s="1"/>
  <c r="CI189" i="6" s="1"/>
  <c r="CI190" i="6" s="1"/>
  <c r="CI191" i="6" s="1"/>
  <c r="CI192" i="6" s="1"/>
  <c r="CI193" i="6" s="1"/>
  <c r="CI194" i="6" s="1"/>
  <c r="CI195" i="6" s="1"/>
  <c r="CI196" i="6" s="1"/>
  <c r="CI197" i="6" s="1"/>
  <c r="CI198" i="6" s="1"/>
  <c r="CI199" i="6" s="1"/>
  <c r="CI200" i="6" s="1"/>
  <c r="CI201" i="6" s="1"/>
  <c r="CI202" i="6" s="1"/>
  <c r="CI203" i="6" s="1"/>
  <c r="CI204" i="6" s="1"/>
  <c r="CI205" i="6" s="1"/>
  <c r="CI206" i="6" s="1"/>
  <c r="CI207" i="6" s="1"/>
  <c r="CI208" i="6" s="1"/>
  <c r="CI209" i="6" s="1"/>
  <c r="CI210" i="6" s="1"/>
  <c r="CI211" i="6" s="1"/>
  <c r="CI212" i="6" s="1"/>
  <c r="CI213" i="6" s="1"/>
  <c r="CI214" i="6" s="1"/>
  <c r="CI215" i="6" s="1"/>
  <c r="CI216" i="6" s="1"/>
  <c r="CI217" i="6" s="1"/>
  <c r="CI218" i="6" s="1"/>
  <c r="CI219" i="6" s="1"/>
  <c r="CI220" i="6" s="1"/>
  <c r="CI221" i="6" s="1"/>
  <c r="CI222" i="6" s="1"/>
  <c r="CI223" i="6" s="1"/>
  <c r="CI224" i="6" s="1"/>
  <c r="CI225" i="6" s="1"/>
  <c r="CI226" i="6" s="1"/>
  <c r="CI227" i="6" s="1"/>
  <c r="CI228" i="6" s="1"/>
  <c r="CI229" i="6" s="1"/>
  <c r="CI230" i="6" s="1"/>
  <c r="CI231" i="6" s="1"/>
  <c r="CI232" i="6" s="1"/>
  <c r="CI233" i="6" s="1"/>
  <c r="CI234" i="6" s="1"/>
  <c r="CI235" i="6" s="1"/>
  <c r="CI236" i="6" s="1"/>
  <c r="CI237" i="6" s="1"/>
  <c r="CI238" i="6" s="1"/>
  <c r="CI239" i="6" s="1"/>
  <c r="CI240" i="6" s="1"/>
  <c r="CI241" i="6" s="1"/>
  <c r="CI242" i="6" s="1"/>
  <c r="CI243" i="6" s="1"/>
  <c r="CI244" i="6" s="1"/>
  <c r="CI245" i="6" s="1"/>
  <c r="CI246" i="6" s="1"/>
  <c r="CI247" i="6" s="1"/>
  <c r="CI248" i="6" s="1"/>
  <c r="CI249" i="6" s="1"/>
  <c r="CI250" i="6" s="1"/>
  <c r="CI251" i="6" s="1"/>
  <c r="CI252" i="6" s="1"/>
  <c r="CI253" i="6" s="1"/>
  <c r="CI254" i="6" s="1"/>
  <c r="CI255" i="6" s="1"/>
  <c r="CJ4" i="6"/>
  <c r="CK4" i="6"/>
  <c r="CK5" i="6" s="1"/>
  <c r="CK6" i="6" s="1"/>
  <c r="CK7" i="6" s="1"/>
  <c r="CK8" i="6" s="1"/>
  <c r="CK9" i="6" s="1"/>
  <c r="CK10" i="6" s="1"/>
  <c r="CK11" i="6" s="1"/>
  <c r="CK12" i="6" s="1"/>
  <c r="CK13" i="6" s="1"/>
  <c r="CK14" i="6" s="1"/>
  <c r="CK15" i="6" s="1"/>
  <c r="CK16" i="6" s="1"/>
  <c r="CK17" i="6" s="1"/>
  <c r="CK18" i="6" s="1"/>
  <c r="CK19" i="6" s="1"/>
  <c r="CK20" i="6" s="1"/>
  <c r="CK21" i="6" s="1"/>
  <c r="CK22" i="6" s="1"/>
  <c r="CK23" i="6" s="1"/>
  <c r="CK24" i="6" s="1"/>
  <c r="CK25" i="6" s="1"/>
  <c r="CK26" i="6" s="1"/>
  <c r="CK27" i="6" s="1"/>
  <c r="CK28" i="6" s="1"/>
  <c r="CK29" i="6" s="1"/>
  <c r="CK30" i="6" s="1"/>
  <c r="CK31" i="6" s="1"/>
  <c r="CK32" i="6" s="1"/>
  <c r="CK33" i="6" s="1"/>
  <c r="CK34" i="6" s="1"/>
  <c r="CK35" i="6" s="1"/>
  <c r="CK36" i="6" s="1"/>
  <c r="CK37" i="6" s="1"/>
  <c r="CK38" i="6" s="1"/>
  <c r="CK39" i="6" s="1"/>
  <c r="CK40" i="6" s="1"/>
  <c r="CK41" i="6" s="1"/>
  <c r="CK42" i="6" s="1"/>
  <c r="CK43" i="6" s="1"/>
  <c r="CK44" i="6" s="1"/>
  <c r="CK45" i="6" s="1"/>
  <c r="CK46" i="6" s="1"/>
  <c r="CK47" i="6" s="1"/>
  <c r="CK48" i="6" s="1"/>
  <c r="CK49" i="6" s="1"/>
  <c r="CK50" i="6" s="1"/>
  <c r="CK51" i="6" s="1"/>
  <c r="CK52" i="6" s="1"/>
  <c r="CK53" i="6" s="1"/>
  <c r="CK54" i="6" s="1"/>
  <c r="CK55" i="6" s="1"/>
  <c r="CK56" i="6" s="1"/>
  <c r="CK57" i="6" s="1"/>
  <c r="CK58" i="6" s="1"/>
  <c r="CK59" i="6" s="1"/>
  <c r="CK60" i="6" s="1"/>
  <c r="CK61" i="6" s="1"/>
  <c r="CK62" i="6" s="1"/>
  <c r="CK63" i="6" s="1"/>
  <c r="CK64" i="6" s="1"/>
  <c r="CK65" i="6" s="1"/>
  <c r="CK66" i="6" s="1"/>
  <c r="CK67" i="6" s="1"/>
  <c r="CK68" i="6" s="1"/>
  <c r="CK69" i="6" s="1"/>
  <c r="CK70" i="6" s="1"/>
  <c r="CK71" i="6" s="1"/>
  <c r="CK72" i="6" s="1"/>
  <c r="CK73" i="6" s="1"/>
  <c r="CK74" i="6" s="1"/>
  <c r="CK75" i="6" s="1"/>
  <c r="CK76" i="6" s="1"/>
  <c r="CK77" i="6" s="1"/>
  <c r="CK78" i="6" s="1"/>
  <c r="CK79" i="6" s="1"/>
  <c r="CK80" i="6" s="1"/>
  <c r="CK81" i="6" s="1"/>
  <c r="CK82" i="6" s="1"/>
  <c r="CK83" i="6" s="1"/>
  <c r="CK84" i="6" s="1"/>
  <c r="CK85" i="6" s="1"/>
  <c r="CK86" i="6" s="1"/>
  <c r="CK87" i="6" s="1"/>
  <c r="CK88" i="6" s="1"/>
  <c r="CK89" i="6" s="1"/>
  <c r="CK90" i="6" s="1"/>
  <c r="CK91" i="6" s="1"/>
  <c r="CK92" i="6" s="1"/>
  <c r="CK93" i="6" s="1"/>
  <c r="CK94" i="6" s="1"/>
  <c r="CK95" i="6" s="1"/>
  <c r="CK96" i="6" s="1"/>
  <c r="CK97" i="6" s="1"/>
  <c r="CK98" i="6" s="1"/>
  <c r="CK99" i="6" s="1"/>
  <c r="CK100" i="6" s="1"/>
  <c r="CK101" i="6" s="1"/>
  <c r="CK102" i="6" s="1"/>
  <c r="CK103" i="6" s="1"/>
  <c r="CK104" i="6" s="1"/>
  <c r="CK105" i="6" s="1"/>
  <c r="CK106" i="6" s="1"/>
  <c r="CK107" i="6" s="1"/>
  <c r="CK108" i="6" s="1"/>
  <c r="CK109" i="6" s="1"/>
  <c r="CK110" i="6" s="1"/>
  <c r="CK111" i="6" s="1"/>
  <c r="CK112" i="6" s="1"/>
  <c r="CK113" i="6" s="1"/>
  <c r="CK114" i="6" s="1"/>
  <c r="CK115" i="6" s="1"/>
  <c r="CK116" i="6" s="1"/>
  <c r="CK117" i="6" s="1"/>
  <c r="CK118" i="6" s="1"/>
  <c r="CK119" i="6" s="1"/>
  <c r="CK120" i="6" s="1"/>
  <c r="CK121" i="6" s="1"/>
  <c r="CK122" i="6" s="1"/>
  <c r="CK123" i="6" s="1"/>
  <c r="CK124" i="6" s="1"/>
  <c r="CK125" i="6" s="1"/>
  <c r="CK126" i="6" s="1"/>
  <c r="CK127" i="6" s="1"/>
  <c r="CK128" i="6" s="1"/>
  <c r="CK129" i="6" s="1"/>
  <c r="CK130" i="6" s="1"/>
  <c r="CK131" i="6" s="1"/>
  <c r="CK132" i="6" s="1"/>
  <c r="CK133" i="6" s="1"/>
  <c r="CK134" i="6" s="1"/>
  <c r="CK135" i="6" s="1"/>
  <c r="CK136" i="6" s="1"/>
  <c r="CK137" i="6" s="1"/>
  <c r="CK138" i="6" s="1"/>
  <c r="CK139" i="6" s="1"/>
  <c r="CK140" i="6" s="1"/>
  <c r="CK141" i="6" s="1"/>
  <c r="CK142" i="6" s="1"/>
  <c r="CK143" i="6" s="1"/>
  <c r="CK144" i="6" s="1"/>
  <c r="CK145" i="6" s="1"/>
  <c r="CK146" i="6" s="1"/>
  <c r="CK147" i="6" s="1"/>
  <c r="CK148" i="6" s="1"/>
  <c r="CK149" i="6" s="1"/>
  <c r="CK150" i="6" s="1"/>
  <c r="CK151" i="6" s="1"/>
  <c r="CK152" i="6" s="1"/>
  <c r="CK153" i="6" s="1"/>
  <c r="CK154" i="6" s="1"/>
  <c r="CK155" i="6" s="1"/>
  <c r="CK156" i="6" s="1"/>
  <c r="CK157" i="6" s="1"/>
  <c r="CK158" i="6" s="1"/>
  <c r="CK159" i="6" s="1"/>
  <c r="CK160" i="6" s="1"/>
  <c r="CK161" i="6" s="1"/>
  <c r="CK162" i="6" s="1"/>
  <c r="CK163" i="6" s="1"/>
  <c r="CK164" i="6" s="1"/>
  <c r="CK165" i="6" s="1"/>
  <c r="CK166" i="6" s="1"/>
  <c r="CK167" i="6" s="1"/>
  <c r="CK168" i="6" s="1"/>
  <c r="CK169" i="6" s="1"/>
  <c r="CK170" i="6" s="1"/>
  <c r="CK171" i="6" s="1"/>
  <c r="CK172" i="6" s="1"/>
  <c r="CK173" i="6" s="1"/>
  <c r="CK174" i="6" s="1"/>
  <c r="CK175" i="6" s="1"/>
  <c r="CK176" i="6" s="1"/>
  <c r="CK177" i="6" s="1"/>
  <c r="CK178" i="6" s="1"/>
  <c r="CK179" i="6" s="1"/>
  <c r="CK180" i="6" s="1"/>
  <c r="CK181" i="6" s="1"/>
  <c r="CK182" i="6" s="1"/>
  <c r="CK183" i="6" s="1"/>
  <c r="CK184" i="6" s="1"/>
  <c r="CK185" i="6" s="1"/>
  <c r="CK186" i="6" s="1"/>
  <c r="CK187" i="6" s="1"/>
  <c r="CK188" i="6" s="1"/>
  <c r="CK189" i="6" s="1"/>
  <c r="CK190" i="6" s="1"/>
  <c r="CK191" i="6" s="1"/>
  <c r="CK192" i="6" s="1"/>
  <c r="CK193" i="6" s="1"/>
  <c r="CK194" i="6" s="1"/>
  <c r="CK195" i="6" s="1"/>
  <c r="CK196" i="6" s="1"/>
  <c r="CK197" i="6" s="1"/>
  <c r="CK198" i="6" s="1"/>
  <c r="CK199" i="6" s="1"/>
  <c r="CK200" i="6" s="1"/>
  <c r="CK201" i="6" s="1"/>
  <c r="CK202" i="6" s="1"/>
  <c r="CK203" i="6" s="1"/>
  <c r="CK204" i="6" s="1"/>
  <c r="CK205" i="6" s="1"/>
  <c r="CK206" i="6" s="1"/>
  <c r="CK207" i="6" s="1"/>
  <c r="CK208" i="6" s="1"/>
  <c r="CK209" i="6" s="1"/>
  <c r="CK210" i="6" s="1"/>
  <c r="CK211" i="6" s="1"/>
  <c r="CK212" i="6" s="1"/>
  <c r="CK213" i="6" s="1"/>
  <c r="CK214" i="6" s="1"/>
  <c r="CK215" i="6" s="1"/>
  <c r="CK216" i="6" s="1"/>
  <c r="CK217" i="6" s="1"/>
  <c r="CK218" i="6" s="1"/>
  <c r="CK219" i="6" s="1"/>
  <c r="CK220" i="6" s="1"/>
  <c r="CK221" i="6" s="1"/>
  <c r="CK222" i="6" s="1"/>
  <c r="CK223" i="6" s="1"/>
  <c r="CK224" i="6" s="1"/>
  <c r="CK225" i="6" s="1"/>
  <c r="CK226" i="6" s="1"/>
  <c r="CK227" i="6" s="1"/>
  <c r="CK228" i="6" s="1"/>
  <c r="CK229" i="6" s="1"/>
  <c r="CK230" i="6" s="1"/>
  <c r="CK231" i="6" s="1"/>
  <c r="CK232" i="6" s="1"/>
  <c r="CK233" i="6" s="1"/>
  <c r="CK234" i="6" s="1"/>
  <c r="CK235" i="6" s="1"/>
  <c r="CK236" i="6" s="1"/>
  <c r="CK237" i="6" s="1"/>
  <c r="CK238" i="6" s="1"/>
  <c r="CK239" i="6" s="1"/>
  <c r="CK240" i="6" s="1"/>
  <c r="CK241" i="6" s="1"/>
  <c r="CK242" i="6" s="1"/>
  <c r="CK243" i="6" s="1"/>
  <c r="CK244" i="6" s="1"/>
  <c r="CK245" i="6" s="1"/>
  <c r="CK246" i="6" s="1"/>
  <c r="CK247" i="6" s="1"/>
  <c r="CK248" i="6" s="1"/>
  <c r="CK249" i="6" s="1"/>
  <c r="CK250" i="6" s="1"/>
  <c r="CK251" i="6" s="1"/>
  <c r="CK252" i="6" s="1"/>
  <c r="CK253" i="6" s="1"/>
  <c r="CK254" i="6" s="1"/>
  <c r="CK255" i="6" s="1"/>
  <c r="CL4" i="6"/>
  <c r="CL5" i="6" s="1"/>
  <c r="CL6" i="6" s="1"/>
  <c r="CL7" i="6" s="1"/>
  <c r="CL8" i="6" s="1"/>
  <c r="CL9" i="6" s="1"/>
  <c r="CL10" i="6" s="1"/>
  <c r="CL11" i="6" s="1"/>
  <c r="CL12" i="6" s="1"/>
  <c r="CL13" i="6" s="1"/>
  <c r="CL14" i="6" s="1"/>
  <c r="CL15" i="6" s="1"/>
  <c r="CL16" i="6" s="1"/>
  <c r="CL17" i="6" s="1"/>
  <c r="CL18" i="6" s="1"/>
  <c r="CL19" i="6" s="1"/>
  <c r="CL20" i="6" s="1"/>
  <c r="CL21" i="6" s="1"/>
  <c r="CL22" i="6" s="1"/>
  <c r="CL23" i="6" s="1"/>
  <c r="CL24" i="6" s="1"/>
  <c r="CL25" i="6" s="1"/>
  <c r="CL26" i="6" s="1"/>
  <c r="CL27" i="6" s="1"/>
  <c r="CL28" i="6" s="1"/>
  <c r="CL29" i="6" s="1"/>
  <c r="CL30" i="6" s="1"/>
  <c r="CL31" i="6" s="1"/>
  <c r="CL32" i="6" s="1"/>
  <c r="CL33" i="6" s="1"/>
  <c r="CL34" i="6" s="1"/>
  <c r="CL35" i="6" s="1"/>
  <c r="CL36" i="6" s="1"/>
  <c r="CL37" i="6" s="1"/>
  <c r="CL38" i="6" s="1"/>
  <c r="CL39" i="6" s="1"/>
  <c r="CL40" i="6" s="1"/>
  <c r="CL41" i="6" s="1"/>
  <c r="CL42" i="6" s="1"/>
  <c r="CL43" i="6" s="1"/>
  <c r="CL44" i="6" s="1"/>
  <c r="CL45" i="6" s="1"/>
  <c r="CL46" i="6" s="1"/>
  <c r="CL47" i="6" s="1"/>
  <c r="CL48" i="6" s="1"/>
  <c r="CL49" i="6" s="1"/>
  <c r="CL50" i="6" s="1"/>
  <c r="CL51" i="6" s="1"/>
  <c r="CL52" i="6" s="1"/>
  <c r="CL53" i="6" s="1"/>
  <c r="CL54" i="6" s="1"/>
  <c r="CL55" i="6" s="1"/>
  <c r="CL56" i="6" s="1"/>
  <c r="CL57" i="6" s="1"/>
  <c r="CL58" i="6" s="1"/>
  <c r="CL59" i="6" s="1"/>
  <c r="CL60" i="6" s="1"/>
  <c r="CL61" i="6" s="1"/>
  <c r="CL62" i="6" s="1"/>
  <c r="CL63" i="6" s="1"/>
  <c r="CL64" i="6" s="1"/>
  <c r="CL65" i="6" s="1"/>
  <c r="CL66" i="6" s="1"/>
  <c r="CL67" i="6" s="1"/>
  <c r="CL68" i="6" s="1"/>
  <c r="CL69" i="6" s="1"/>
  <c r="CL70" i="6" s="1"/>
  <c r="CL71" i="6" s="1"/>
  <c r="CL72" i="6" s="1"/>
  <c r="CL73" i="6" s="1"/>
  <c r="CL74" i="6" s="1"/>
  <c r="CL75" i="6" s="1"/>
  <c r="CL76" i="6" s="1"/>
  <c r="CL77" i="6" s="1"/>
  <c r="CL78" i="6" s="1"/>
  <c r="CL79" i="6" s="1"/>
  <c r="CL80" i="6" s="1"/>
  <c r="CL81" i="6" s="1"/>
  <c r="CL82" i="6" s="1"/>
  <c r="CL83" i="6" s="1"/>
  <c r="CL84" i="6" s="1"/>
  <c r="CL85" i="6" s="1"/>
  <c r="CL86" i="6" s="1"/>
  <c r="CL87" i="6" s="1"/>
  <c r="CL88" i="6" s="1"/>
  <c r="CL89" i="6" s="1"/>
  <c r="CL90" i="6" s="1"/>
  <c r="CL91" i="6" s="1"/>
  <c r="CL92" i="6" s="1"/>
  <c r="CL93" i="6" s="1"/>
  <c r="CL94" i="6" s="1"/>
  <c r="CL95" i="6" s="1"/>
  <c r="CL96" i="6" s="1"/>
  <c r="CL97" i="6" s="1"/>
  <c r="CL98" i="6" s="1"/>
  <c r="CL99" i="6" s="1"/>
  <c r="CL100" i="6" s="1"/>
  <c r="CL101" i="6" s="1"/>
  <c r="CL102" i="6" s="1"/>
  <c r="CL103" i="6" s="1"/>
  <c r="CL104" i="6" s="1"/>
  <c r="CL105" i="6" s="1"/>
  <c r="CL106" i="6" s="1"/>
  <c r="CL107" i="6" s="1"/>
  <c r="CL108" i="6" s="1"/>
  <c r="CL109" i="6" s="1"/>
  <c r="CL110" i="6" s="1"/>
  <c r="CL111" i="6" s="1"/>
  <c r="CL112" i="6" s="1"/>
  <c r="CL113" i="6" s="1"/>
  <c r="CL114" i="6" s="1"/>
  <c r="CL115" i="6" s="1"/>
  <c r="CL116" i="6" s="1"/>
  <c r="CL117" i="6" s="1"/>
  <c r="CL118" i="6" s="1"/>
  <c r="CL119" i="6" s="1"/>
  <c r="CL120" i="6" s="1"/>
  <c r="CL121" i="6" s="1"/>
  <c r="CL122" i="6" s="1"/>
  <c r="CL123" i="6" s="1"/>
  <c r="CL124" i="6" s="1"/>
  <c r="CL125" i="6" s="1"/>
  <c r="CL126" i="6" s="1"/>
  <c r="CL127" i="6" s="1"/>
  <c r="CL128" i="6" s="1"/>
  <c r="CL129" i="6" s="1"/>
  <c r="CL130" i="6" s="1"/>
  <c r="CL131" i="6" s="1"/>
  <c r="CL132" i="6" s="1"/>
  <c r="CL133" i="6" s="1"/>
  <c r="CL134" i="6" s="1"/>
  <c r="CL135" i="6" s="1"/>
  <c r="CL136" i="6" s="1"/>
  <c r="CL137" i="6" s="1"/>
  <c r="CL138" i="6" s="1"/>
  <c r="CL139" i="6" s="1"/>
  <c r="CL140" i="6" s="1"/>
  <c r="CL141" i="6" s="1"/>
  <c r="CL142" i="6" s="1"/>
  <c r="CL143" i="6" s="1"/>
  <c r="CL144" i="6" s="1"/>
  <c r="CL145" i="6" s="1"/>
  <c r="CL146" i="6" s="1"/>
  <c r="CL147" i="6" s="1"/>
  <c r="CL148" i="6" s="1"/>
  <c r="CL149" i="6" s="1"/>
  <c r="CL150" i="6" s="1"/>
  <c r="CL151" i="6" s="1"/>
  <c r="CL152" i="6" s="1"/>
  <c r="CL153" i="6" s="1"/>
  <c r="CL154" i="6" s="1"/>
  <c r="CL155" i="6" s="1"/>
  <c r="CL156" i="6" s="1"/>
  <c r="CL157" i="6" s="1"/>
  <c r="CL158" i="6" s="1"/>
  <c r="CL159" i="6" s="1"/>
  <c r="CL160" i="6" s="1"/>
  <c r="CL161" i="6" s="1"/>
  <c r="CL162" i="6" s="1"/>
  <c r="CL163" i="6" s="1"/>
  <c r="CL164" i="6" s="1"/>
  <c r="CL165" i="6" s="1"/>
  <c r="CL166" i="6" s="1"/>
  <c r="CL167" i="6" s="1"/>
  <c r="CL168" i="6" s="1"/>
  <c r="CL169" i="6" s="1"/>
  <c r="CL170" i="6" s="1"/>
  <c r="CL171" i="6" s="1"/>
  <c r="CL172" i="6" s="1"/>
  <c r="CL173" i="6" s="1"/>
  <c r="CL174" i="6" s="1"/>
  <c r="CL175" i="6" s="1"/>
  <c r="CL176" i="6" s="1"/>
  <c r="CL177" i="6" s="1"/>
  <c r="CL178" i="6" s="1"/>
  <c r="CL179" i="6" s="1"/>
  <c r="CL180" i="6" s="1"/>
  <c r="CL181" i="6" s="1"/>
  <c r="CL182" i="6" s="1"/>
  <c r="CL183" i="6" s="1"/>
  <c r="CL184" i="6" s="1"/>
  <c r="CL185" i="6" s="1"/>
  <c r="CL186" i="6" s="1"/>
  <c r="CL187" i="6" s="1"/>
  <c r="CL188" i="6" s="1"/>
  <c r="CL189" i="6" s="1"/>
  <c r="CL190" i="6" s="1"/>
  <c r="CL191" i="6" s="1"/>
  <c r="CL192" i="6" s="1"/>
  <c r="CL193" i="6" s="1"/>
  <c r="CL194" i="6" s="1"/>
  <c r="CL195" i="6" s="1"/>
  <c r="CL196" i="6" s="1"/>
  <c r="CL197" i="6" s="1"/>
  <c r="CL198" i="6" s="1"/>
  <c r="CL199" i="6" s="1"/>
  <c r="CL200" i="6" s="1"/>
  <c r="CL201" i="6" s="1"/>
  <c r="CL202" i="6" s="1"/>
  <c r="CL203" i="6" s="1"/>
  <c r="CL204" i="6" s="1"/>
  <c r="CL205" i="6" s="1"/>
  <c r="CL206" i="6" s="1"/>
  <c r="CL207" i="6" s="1"/>
  <c r="CL208" i="6" s="1"/>
  <c r="CL209" i="6" s="1"/>
  <c r="CL210" i="6" s="1"/>
  <c r="CL211" i="6" s="1"/>
  <c r="CL212" i="6" s="1"/>
  <c r="CL213" i="6" s="1"/>
  <c r="CL214" i="6" s="1"/>
  <c r="CL215" i="6" s="1"/>
  <c r="CL216" i="6" s="1"/>
  <c r="CL217" i="6" s="1"/>
  <c r="CL218" i="6" s="1"/>
  <c r="CL219" i="6" s="1"/>
  <c r="CL220" i="6" s="1"/>
  <c r="CL221" i="6" s="1"/>
  <c r="CL222" i="6" s="1"/>
  <c r="CL223" i="6" s="1"/>
  <c r="CL224" i="6" s="1"/>
  <c r="CL225" i="6" s="1"/>
  <c r="CL226" i="6" s="1"/>
  <c r="CL227" i="6" s="1"/>
  <c r="CL228" i="6" s="1"/>
  <c r="CL229" i="6" s="1"/>
  <c r="CL230" i="6" s="1"/>
  <c r="CL231" i="6" s="1"/>
  <c r="CL232" i="6" s="1"/>
  <c r="CL233" i="6" s="1"/>
  <c r="CL234" i="6" s="1"/>
  <c r="CL235" i="6" s="1"/>
  <c r="CL236" i="6" s="1"/>
  <c r="CL237" i="6" s="1"/>
  <c r="CL238" i="6" s="1"/>
  <c r="CL239" i="6" s="1"/>
  <c r="CL240" i="6" s="1"/>
  <c r="CL241" i="6" s="1"/>
  <c r="CL242" i="6" s="1"/>
  <c r="CL243" i="6" s="1"/>
  <c r="CL244" i="6" s="1"/>
  <c r="CL245" i="6" s="1"/>
  <c r="CL246" i="6" s="1"/>
  <c r="CL247" i="6" s="1"/>
  <c r="CL248" i="6" s="1"/>
  <c r="CL249" i="6" s="1"/>
  <c r="CL250" i="6" s="1"/>
  <c r="CL251" i="6" s="1"/>
  <c r="CL252" i="6" s="1"/>
  <c r="CL253" i="6" s="1"/>
  <c r="CL254" i="6" s="1"/>
  <c r="CL255" i="6" s="1"/>
  <c r="CM4" i="6"/>
  <c r="CN4" i="6"/>
  <c r="CN5" i="6" s="1"/>
  <c r="CN6" i="6" s="1"/>
  <c r="CN7" i="6" s="1"/>
  <c r="CN8" i="6" s="1"/>
  <c r="CN9" i="6" s="1"/>
  <c r="CN10" i="6" s="1"/>
  <c r="CN11" i="6" s="1"/>
  <c r="CN12" i="6" s="1"/>
  <c r="CN13" i="6" s="1"/>
  <c r="CN14" i="6" s="1"/>
  <c r="CN15" i="6" s="1"/>
  <c r="CN16" i="6" s="1"/>
  <c r="CN17" i="6" s="1"/>
  <c r="CN18" i="6" s="1"/>
  <c r="CN19" i="6" s="1"/>
  <c r="CN20" i="6" s="1"/>
  <c r="CN21" i="6" s="1"/>
  <c r="CN22" i="6" s="1"/>
  <c r="CN23" i="6" s="1"/>
  <c r="CN24" i="6" s="1"/>
  <c r="CN25" i="6" s="1"/>
  <c r="CN26" i="6" s="1"/>
  <c r="CN27" i="6" s="1"/>
  <c r="CN28" i="6" s="1"/>
  <c r="CN29" i="6" s="1"/>
  <c r="CN30" i="6" s="1"/>
  <c r="CN31" i="6" s="1"/>
  <c r="CN32" i="6" s="1"/>
  <c r="CN33" i="6" s="1"/>
  <c r="CN34" i="6" s="1"/>
  <c r="CN35" i="6" s="1"/>
  <c r="CN36" i="6" s="1"/>
  <c r="CN37" i="6" s="1"/>
  <c r="CN38" i="6" s="1"/>
  <c r="CN39" i="6" s="1"/>
  <c r="CN40" i="6" s="1"/>
  <c r="CN41" i="6" s="1"/>
  <c r="CN42" i="6" s="1"/>
  <c r="CN43" i="6" s="1"/>
  <c r="CN44" i="6" s="1"/>
  <c r="CN45" i="6" s="1"/>
  <c r="CN46" i="6" s="1"/>
  <c r="CN47" i="6" s="1"/>
  <c r="CN48" i="6" s="1"/>
  <c r="CN49" i="6" s="1"/>
  <c r="CN50" i="6" s="1"/>
  <c r="CN51" i="6" s="1"/>
  <c r="CN52" i="6" s="1"/>
  <c r="CN53" i="6" s="1"/>
  <c r="CN54" i="6" s="1"/>
  <c r="CN55" i="6" s="1"/>
  <c r="CN56" i="6" s="1"/>
  <c r="CN57" i="6" s="1"/>
  <c r="CN58" i="6" s="1"/>
  <c r="CN59" i="6" s="1"/>
  <c r="CN60" i="6" s="1"/>
  <c r="CN61" i="6" s="1"/>
  <c r="CN62" i="6" s="1"/>
  <c r="CN63" i="6" s="1"/>
  <c r="CN64" i="6" s="1"/>
  <c r="CN65" i="6" s="1"/>
  <c r="CN66" i="6" s="1"/>
  <c r="CN67" i="6" s="1"/>
  <c r="CN68" i="6" s="1"/>
  <c r="CN69" i="6" s="1"/>
  <c r="CN70" i="6" s="1"/>
  <c r="CN71" i="6" s="1"/>
  <c r="CN72" i="6" s="1"/>
  <c r="CN73" i="6" s="1"/>
  <c r="CN74" i="6" s="1"/>
  <c r="CN75" i="6" s="1"/>
  <c r="CN76" i="6" s="1"/>
  <c r="CN77" i="6" s="1"/>
  <c r="CN78" i="6" s="1"/>
  <c r="CN79" i="6" s="1"/>
  <c r="CN80" i="6" s="1"/>
  <c r="CN81" i="6" s="1"/>
  <c r="CN82" i="6" s="1"/>
  <c r="CN83" i="6" s="1"/>
  <c r="CN84" i="6" s="1"/>
  <c r="CN85" i="6" s="1"/>
  <c r="CN86" i="6" s="1"/>
  <c r="CN87" i="6" s="1"/>
  <c r="CN88" i="6" s="1"/>
  <c r="CN89" i="6" s="1"/>
  <c r="CN90" i="6" s="1"/>
  <c r="CN91" i="6" s="1"/>
  <c r="CN92" i="6" s="1"/>
  <c r="CN93" i="6" s="1"/>
  <c r="CN94" i="6" s="1"/>
  <c r="CN95" i="6" s="1"/>
  <c r="CN96" i="6" s="1"/>
  <c r="CN97" i="6" s="1"/>
  <c r="CN98" i="6" s="1"/>
  <c r="CN99" i="6" s="1"/>
  <c r="CN100" i="6" s="1"/>
  <c r="CN101" i="6" s="1"/>
  <c r="CN102" i="6" s="1"/>
  <c r="CN103" i="6" s="1"/>
  <c r="CN104" i="6" s="1"/>
  <c r="CN105" i="6" s="1"/>
  <c r="CN106" i="6" s="1"/>
  <c r="CN107" i="6" s="1"/>
  <c r="CN108" i="6" s="1"/>
  <c r="CN109" i="6" s="1"/>
  <c r="CN110" i="6" s="1"/>
  <c r="CN111" i="6" s="1"/>
  <c r="CN112" i="6" s="1"/>
  <c r="CN113" i="6" s="1"/>
  <c r="CN114" i="6" s="1"/>
  <c r="CN115" i="6" s="1"/>
  <c r="CN116" i="6" s="1"/>
  <c r="CN117" i="6" s="1"/>
  <c r="CN118" i="6" s="1"/>
  <c r="CN119" i="6" s="1"/>
  <c r="CN120" i="6" s="1"/>
  <c r="CN121" i="6" s="1"/>
  <c r="CN122" i="6" s="1"/>
  <c r="CN123" i="6" s="1"/>
  <c r="CN124" i="6" s="1"/>
  <c r="CN125" i="6" s="1"/>
  <c r="CN126" i="6" s="1"/>
  <c r="CN127" i="6" s="1"/>
  <c r="CN128" i="6" s="1"/>
  <c r="CN129" i="6" s="1"/>
  <c r="CN130" i="6" s="1"/>
  <c r="CN131" i="6" s="1"/>
  <c r="CN132" i="6" s="1"/>
  <c r="CN133" i="6" s="1"/>
  <c r="CN134" i="6" s="1"/>
  <c r="CN135" i="6" s="1"/>
  <c r="CN136" i="6" s="1"/>
  <c r="CN137" i="6" s="1"/>
  <c r="CN138" i="6" s="1"/>
  <c r="CN139" i="6" s="1"/>
  <c r="CN140" i="6" s="1"/>
  <c r="CN141" i="6" s="1"/>
  <c r="CN142" i="6" s="1"/>
  <c r="CN143" i="6" s="1"/>
  <c r="CN144" i="6" s="1"/>
  <c r="CN145" i="6" s="1"/>
  <c r="CN146" i="6" s="1"/>
  <c r="CN147" i="6" s="1"/>
  <c r="CN148" i="6" s="1"/>
  <c r="CN149" i="6" s="1"/>
  <c r="CN150" i="6" s="1"/>
  <c r="CN151" i="6" s="1"/>
  <c r="CN152" i="6" s="1"/>
  <c r="CN153" i="6" s="1"/>
  <c r="CN154" i="6" s="1"/>
  <c r="CN155" i="6" s="1"/>
  <c r="CN156" i="6" s="1"/>
  <c r="CN157" i="6" s="1"/>
  <c r="CN158" i="6" s="1"/>
  <c r="CN159" i="6" s="1"/>
  <c r="CN160" i="6" s="1"/>
  <c r="CN161" i="6" s="1"/>
  <c r="CN162" i="6" s="1"/>
  <c r="CN163" i="6" s="1"/>
  <c r="CN164" i="6" s="1"/>
  <c r="CN165" i="6" s="1"/>
  <c r="CN166" i="6" s="1"/>
  <c r="CN167" i="6" s="1"/>
  <c r="CN168" i="6" s="1"/>
  <c r="CN169" i="6" s="1"/>
  <c r="CN170" i="6" s="1"/>
  <c r="CN171" i="6" s="1"/>
  <c r="CN172" i="6" s="1"/>
  <c r="CN173" i="6" s="1"/>
  <c r="CN174" i="6" s="1"/>
  <c r="CN175" i="6" s="1"/>
  <c r="CN176" i="6" s="1"/>
  <c r="CN177" i="6" s="1"/>
  <c r="CN178" i="6" s="1"/>
  <c r="CN179" i="6" s="1"/>
  <c r="CN180" i="6" s="1"/>
  <c r="CN181" i="6" s="1"/>
  <c r="CN182" i="6" s="1"/>
  <c r="CN183" i="6" s="1"/>
  <c r="CN184" i="6" s="1"/>
  <c r="CN185" i="6" s="1"/>
  <c r="CN186" i="6" s="1"/>
  <c r="CN187" i="6" s="1"/>
  <c r="CN188" i="6" s="1"/>
  <c r="CN189" i="6" s="1"/>
  <c r="CN190" i="6" s="1"/>
  <c r="CN191" i="6" s="1"/>
  <c r="CN192" i="6" s="1"/>
  <c r="CN193" i="6" s="1"/>
  <c r="CN194" i="6" s="1"/>
  <c r="CN195" i="6" s="1"/>
  <c r="CN196" i="6" s="1"/>
  <c r="CN197" i="6" s="1"/>
  <c r="CN198" i="6" s="1"/>
  <c r="CN199" i="6" s="1"/>
  <c r="CN200" i="6" s="1"/>
  <c r="CN201" i="6" s="1"/>
  <c r="CN202" i="6" s="1"/>
  <c r="CN203" i="6" s="1"/>
  <c r="CN204" i="6" s="1"/>
  <c r="CN205" i="6" s="1"/>
  <c r="CN206" i="6" s="1"/>
  <c r="CN207" i="6" s="1"/>
  <c r="CN208" i="6" s="1"/>
  <c r="CN209" i="6" s="1"/>
  <c r="CN210" i="6" s="1"/>
  <c r="CN211" i="6" s="1"/>
  <c r="CN212" i="6" s="1"/>
  <c r="CN213" i="6" s="1"/>
  <c r="CN214" i="6" s="1"/>
  <c r="CN215" i="6" s="1"/>
  <c r="CN216" i="6" s="1"/>
  <c r="CN217" i="6" s="1"/>
  <c r="CN218" i="6" s="1"/>
  <c r="CN219" i="6" s="1"/>
  <c r="CN220" i="6" s="1"/>
  <c r="CN221" i="6" s="1"/>
  <c r="CN222" i="6" s="1"/>
  <c r="CN223" i="6" s="1"/>
  <c r="CN224" i="6" s="1"/>
  <c r="CN225" i="6" s="1"/>
  <c r="CN226" i="6" s="1"/>
  <c r="CN227" i="6" s="1"/>
  <c r="CN228" i="6" s="1"/>
  <c r="CN229" i="6" s="1"/>
  <c r="CN230" i="6" s="1"/>
  <c r="CN231" i="6" s="1"/>
  <c r="CN232" i="6" s="1"/>
  <c r="CN233" i="6" s="1"/>
  <c r="CN234" i="6" s="1"/>
  <c r="CN235" i="6" s="1"/>
  <c r="CN236" i="6" s="1"/>
  <c r="CN237" i="6" s="1"/>
  <c r="CN238" i="6" s="1"/>
  <c r="CN239" i="6" s="1"/>
  <c r="CN240" i="6" s="1"/>
  <c r="CN241" i="6" s="1"/>
  <c r="CN242" i="6" s="1"/>
  <c r="CN243" i="6" s="1"/>
  <c r="CN244" i="6" s="1"/>
  <c r="CN245" i="6" s="1"/>
  <c r="CN246" i="6" s="1"/>
  <c r="CN247" i="6" s="1"/>
  <c r="CN248" i="6" s="1"/>
  <c r="CN249" i="6" s="1"/>
  <c r="CN250" i="6" s="1"/>
  <c r="CN251" i="6" s="1"/>
  <c r="CN252" i="6" s="1"/>
  <c r="CN253" i="6" s="1"/>
  <c r="CN254" i="6" s="1"/>
  <c r="CN255" i="6" s="1"/>
  <c r="CO4" i="6"/>
  <c r="CO5" i="6" s="1"/>
  <c r="CO6" i="6" s="1"/>
  <c r="CO7" i="6" s="1"/>
  <c r="CO8" i="6" s="1"/>
  <c r="CO9" i="6" s="1"/>
  <c r="CO10" i="6" s="1"/>
  <c r="CO11" i="6" s="1"/>
  <c r="CO12" i="6" s="1"/>
  <c r="CO13" i="6" s="1"/>
  <c r="CO14" i="6" s="1"/>
  <c r="CO15" i="6" s="1"/>
  <c r="CO16" i="6" s="1"/>
  <c r="CO17" i="6" s="1"/>
  <c r="CO18" i="6" s="1"/>
  <c r="CO19" i="6" s="1"/>
  <c r="CO20" i="6" s="1"/>
  <c r="CO21" i="6" s="1"/>
  <c r="CO22" i="6" s="1"/>
  <c r="CO23" i="6" s="1"/>
  <c r="CO24" i="6" s="1"/>
  <c r="CO25" i="6" s="1"/>
  <c r="CO26" i="6" s="1"/>
  <c r="CO27" i="6" s="1"/>
  <c r="CO28" i="6" s="1"/>
  <c r="CO29" i="6" s="1"/>
  <c r="CO30" i="6" s="1"/>
  <c r="CO31" i="6" s="1"/>
  <c r="CO32" i="6" s="1"/>
  <c r="CO33" i="6" s="1"/>
  <c r="CO34" i="6" s="1"/>
  <c r="CO35" i="6" s="1"/>
  <c r="CO36" i="6" s="1"/>
  <c r="CO37" i="6" s="1"/>
  <c r="CO38" i="6" s="1"/>
  <c r="CO39" i="6" s="1"/>
  <c r="CO40" i="6" s="1"/>
  <c r="CO41" i="6" s="1"/>
  <c r="CO42" i="6" s="1"/>
  <c r="CO43" i="6" s="1"/>
  <c r="CO44" i="6" s="1"/>
  <c r="CO45" i="6" s="1"/>
  <c r="CO46" i="6" s="1"/>
  <c r="CO47" i="6" s="1"/>
  <c r="CO48" i="6" s="1"/>
  <c r="CO49" i="6" s="1"/>
  <c r="CO50" i="6" s="1"/>
  <c r="CO51" i="6" s="1"/>
  <c r="CO52" i="6" s="1"/>
  <c r="CO53" i="6" s="1"/>
  <c r="CO54" i="6" s="1"/>
  <c r="CO55" i="6" s="1"/>
  <c r="CO56" i="6" s="1"/>
  <c r="CO57" i="6" s="1"/>
  <c r="CO58" i="6" s="1"/>
  <c r="CO59" i="6" s="1"/>
  <c r="CO60" i="6" s="1"/>
  <c r="CO61" i="6" s="1"/>
  <c r="CO62" i="6" s="1"/>
  <c r="CO63" i="6" s="1"/>
  <c r="CO64" i="6" s="1"/>
  <c r="CO65" i="6" s="1"/>
  <c r="CO66" i="6" s="1"/>
  <c r="CO67" i="6" s="1"/>
  <c r="CO68" i="6" s="1"/>
  <c r="CO69" i="6" s="1"/>
  <c r="CO70" i="6" s="1"/>
  <c r="CO71" i="6" s="1"/>
  <c r="CO72" i="6" s="1"/>
  <c r="CO73" i="6" s="1"/>
  <c r="CO74" i="6" s="1"/>
  <c r="CO75" i="6" s="1"/>
  <c r="CO76" i="6" s="1"/>
  <c r="CO77" i="6" s="1"/>
  <c r="CO78" i="6" s="1"/>
  <c r="CO79" i="6" s="1"/>
  <c r="CO80" i="6" s="1"/>
  <c r="CO81" i="6" s="1"/>
  <c r="CO82" i="6" s="1"/>
  <c r="CO83" i="6" s="1"/>
  <c r="CO84" i="6" s="1"/>
  <c r="CO85" i="6" s="1"/>
  <c r="CO86" i="6" s="1"/>
  <c r="CO87" i="6" s="1"/>
  <c r="CO88" i="6" s="1"/>
  <c r="CO89" i="6" s="1"/>
  <c r="CO90" i="6" s="1"/>
  <c r="CO91" i="6" s="1"/>
  <c r="CO92" i="6" s="1"/>
  <c r="CO93" i="6" s="1"/>
  <c r="CO94" i="6" s="1"/>
  <c r="CO95" i="6" s="1"/>
  <c r="CO96" i="6" s="1"/>
  <c r="CO97" i="6" s="1"/>
  <c r="CO98" i="6" s="1"/>
  <c r="CO99" i="6" s="1"/>
  <c r="CO100" i="6" s="1"/>
  <c r="CO101" i="6" s="1"/>
  <c r="CO102" i="6" s="1"/>
  <c r="CO103" i="6" s="1"/>
  <c r="CO104" i="6" s="1"/>
  <c r="CO105" i="6" s="1"/>
  <c r="CO106" i="6" s="1"/>
  <c r="CO107" i="6" s="1"/>
  <c r="CO108" i="6" s="1"/>
  <c r="CO109" i="6" s="1"/>
  <c r="CO110" i="6" s="1"/>
  <c r="CO111" i="6" s="1"/>
  <c r="CO112" i="6" s="1"/>
  <c r="CO113" i="6" s="1"/>
  <c r="CO114" i="6" s="1"/>
  <c r="CO115" i="6" s="1"/>
  <c r="CO116" i="6" s="1"/>
  <c r="CO117" i="6" s="1"/>
  <c r="CO118" i="6" s="1"/>
  <c r="CO119" i="6" s="1"/>
  <c r="CO120" i="6" s="1"/>
  <c r="CO121" i="6" s="1"/>
  <c r="CO122" i="6" s="1"/>
  <c r="CO123" i="6" s="1"/>
  <c r="CO124" i="6" s="1"/>
  <c r="CO125" i="6" s="1"/>
  <c r="CO126" i="6" s="1"/>
  <c r="CO127" i="6" s="1"/>
  <c r="CO128" i="6" s="1"/>
  <c r="CO129" i="6" s="1"/>
  <c r="CO130" i="6" s="1"/>
  <c r="CO131" i="6" s="1"/>
  <c r="CO132" i="6" s="1"/>
  <c r="CO133" i="6" s="1"/>
  <c r="CO134" i="6" s="1"/>
  <c r="CO135" i="6" s="1"/>
  <c r="CO136" i="6" s="1"/>
  <c r="CO137" i="6" s="1"/>
  <c r="CO138" i="6" s="1"/>
  <c r="CO139" i="6" s="1"/>
  <c r="CO140" i="6" s="1"/>
  <c r="CO141" i="6" s="1"/>
  <c r="CO142" i="6" s="1"/>
  <c r="CO143" i="6" s="1"/>
  <c r="CO144" i="6" s="1"/>
  <c r="CO145" i="6" s="1"/>
  <c r="CO146" i="6" s="1"/>
  <c r="CO147" i="6" s="1"/>
  <c r="CO148" i="6" s="1"/>
  <c r="CO149" i="6" s="1"/>
  <c r="CO150" i="6" s="1"/>
  <c r="CO151" i="6" s="1"/>
  <c r="CO152" i="6" s="1"/>
  <c r="CO153" i="6" s="1"/>
  <c r="CO154" i="6" s="1"/>
  <c r="CO155" i="6" s="1"/>
  <c r="CO156" i="6" s="1"/>
  <c r="CO157" i="6" s="1"/>
  <c r="CO158" i="6" s="1"/>
  <c r="CO159" i="6" s="1"/>
  <c r="CO160" i="6" s="1"/>
  <c r="CO161" i="6" s="1"/>
  <c r="CO162" i="6" s="1"/>
  <c r="CO163" i="6" s="1"/>
  <c r="CO164" i="6" s="1"/>
  <c r="CO165" i="6" s="1"/>
  <c r="CO166" i="6" s="1"/>
  <c r="CO167" i="6" s="1"/>
  <c r="CO168" i="6" s="1"/>
  <c r="CO169" i="6" s="1"/>
  <c r="CO170" i="6" s="1"/>
  <c r="CO171" i="6" s="1"/>
  <c r="CO172" i="6" s="1"/>
  <c r="CO173" i="6" s="1"/>
  <c r="CO174" i="6" s="1"/>
  <c r="CO175" i="6" s="1"/>
  <c r="CO176" i="6" s="1"/>
  <c r="CO177" i="6" s="1"/>
  <c r="CO178" i="6" s="1"/>
  <c r="CO179" i="6" s="1"/>
  <c r="CO180" i="6" s="1"/>
  <c r="CO181" i="6" s="1"/>
  <c r="CO182" i="6" s="1"/>
  <c r="CO183" i="6" s="1"/>
  <c r="CO184" i="6" s="1"/>
  <c r="CO185" i="6" s="1"/>
  <c r="CO186" i="6" s="1"/>
  <c r="CO187" i="6" s="1"/>
  <c r="CO188" i="6" s="1"/>
  <c r="CO189" i="6" s="1"/>
  <c r="CO190" i="6" s="1"/>
  <c r="CO191" i="6" s="1"/>
  <c r="CO192" i="6" s="1"/>
  <c r="CO193" i="6" s="1"/>
  <c r="CO194" i="6" s="1"/>
  <c r="CO195" i="6" s="1"/>
  <c r="CO196" i="6" s="1"/>
  <c r="CO197" i="6" s="1"/>
  <c r="CO198" i="6" s="1"/>
  <c r="CO199" i="6" s="1"/>
  <c r="CO200" i="6" s="1"/>
  <c r="CO201" i="6" s="1"/>
  <c r="CO202" i="6" s="1"/>
  <c r="CO203" i="6" s="1"/>
  <c r="CO204" i="6" s="1"/>
  <c r="CO205" i="6" s="1"/>
  <c r="CO206" i="6" s="1"/>
  <c r="CO207" i="6" s="1"/>
  <c r="CO208" i="6" s="1"/>
  <c r="CO209" i="6" s="1"/>
  <c r="CO210" i="6" s="1"/>
  <c r="CO211" i="6" s="1"/>
  <c r="CO212" i="6" s="1"/>
  <c r="CO213" i="6" s="1"/>
  <c r="CO214" i="6" s="1"/>
  <c r="CO215" i="6" s="1"/>
  <c r="CO216" i="6" s="1"/>
  <c r="CO217" i="6" s="1"/>
  <c r="CO218" i="6" s="1"/>
  <c r="CO219" i="6" s="1"/>
  <c r="CO220" i="6" s="1"/>
  <c r="CO221" i="6" s="1"/>
  <c r="CO222" i="6" s="1"/>
  <c r="CO223" i="6" s="1"/>
  <c r="CO224" i="6" s="1"/>
  <c r="CO225" i="6" s="1"/>
  <c r="CO226" i="6" s="1"/>
  <c r="CO227" i="6" s="1"/>
  <c r="CO228" i="6" s="1"/>
  <c r="CO229" i="6" s="1"/>
  <c r="CO230" i="6" s="1"/>
  <c r="CO231" i="6" s="1"/>
  <c r="CO232" i="6" s="1"/>
  <c r="CO233" i="6" s="1"/>
  <c r="CO234" i="6" s="1"/>
  <c r="CO235" i="6" s="1"/>
  <c r="CO236" i="6" s="1"/>
  <c r="CO237" i="6" s="1"/>
  <c r="CO238" i="6" s="1"/>
  <c r="CO239" i="6" s="1"/>
  <c r="CO240" i="6" s="1"/>
  <c r="CO241" i="6" s="1"/>
  <c r="CO242" i="6" s="1"/>
  <c r="CO243" i="6" s="1"/>
  <c r="CO244" i="6" s="1"/>
  <c r="CO245" i="6" s="1"/>
  <c r="CO246" i="6" s="1"/>
  <c r="CO247" i="6" s="1"/>
  <c r="CO248" i="6" s="1"/>
  <c r="CO249" i="6" s="1"/>
  <c r="CO250" i="6" s="1"/>
  <c r="CO251" i="6" s="1"/>
  <c r="CO252" i="6" s="1"/>
  <c r="CO253" i="6" s="1"/>
  <c r="CO254" i="6" s="1"/>
  <c r="CO255" i="6" s="1"/>
  <c r="CP4" i="6"/>
  <c r="CP5" i="6" s="1"/>
  <c r="CP6" i="6" s="1"/>
  <c r="CP7" i="6" s="1"/>
  <c r="CP8" i="6" s="1"/>
  <c r="CP9" i="6" s="1"/>
  <c r="CP10" i="6" s="1"/>
  <c r="CP11" i="6" s="1"/>
  <c r="CP12" i="6" s="1"/>
  <c r="CP13" i="6" s="1"/>
  <c r="CP14" i="6" s="1"/>
  <c r="CP15" i="6" s="1"/>
  <c r="CP16" i="6" s="1"/>
  <c r="CP17" i="6" s="1"/>
  <c r="CP18" i="6" s="1"/>
  <c r="CP19" i="6" s="1"/>
  <c r="CP20" i="6" s="1"/>
  <c r="CP21" i="6" s="1"/>
  <c r="CP22" i="6" s="1"/>
  <c r="CP23" i="6" s="1"/>
  <c r="CP24" i="6" s="1"/>
  <c r="CP25" i="6" s="1"/>
  <c r="CP26" i="6" s="1"/>
  <c r="CP27" i="6" s="1"/>
  <c r="CP28" i="6" s="1"/>
  <c r="CP29" i="6" s="1"/>
  <c r="CP30" i="6" s="1"/>
  <c r="CP31" i="6" s="1"/>
  <c r="CP32" i="6" s="1"/>
  <c r="CP33" i="6" s="1"/>
  <c r="CP34" i="6" s="1"/>
  <c r="CP35" i="6" s="1"/>
  <c r="CP36" i="6" s="1"/>
  <c r="CP37" i="6" s="1"/>
  <c r="CP38" i="6" s="1"/>
  <c r="CP39" i="6" s="1"/>
  <c r="CP40" i="6" s="1"/>
  <c r="CP41" i="6" s="1"/>
  <c r="CP42" i="6" s="1"/>
  <c r="CP43" i="6" s="1"/>
  <c r="CP44" i="6" s="1"/>
  <c r="CP45" i="6" s="1"/>
  <c r="CP46" i="6" s="1"/>
  <c r="CP47" i="6" s="1"/>
  <c r="CP48" i="6" s="1"/>
  <c r="CP49" i="6" s="1"/>
  <c r="CP50" i="6" s="1"/>
  <c r="CP51" i="6" s="1"/>
  <c r="CP52" i="6" s="1"/>
  <c r="CP53" i="6" s="1"/>
  <c r="CP54" i="6" s="1"/>
  <c r="CP55" i="6" s="1"/>
  <c r="CP56" i="6" s="1"/>
  <c r="CP57" i="6" s="1"/>
  <c r="CP58" i="6" s="1"/>
  <c r="CP59" i="6" s="1"/>
  <c r="CP60" i="6" s="1"/>
  <c r="CP61" i="6" s="1"/>
  <c r="CP62" i="6" s="1"/>
  <c r="CP63" i="6" s="1"/>
  <c r="CP64" i="6" s="1"/>
  <c r="CP65" i="6" s="1"/>
  <c r="CP66" i="6" s="1"/>
  <c r="CP67" i="6" s="1"/>
  <c r="CP68" i="6" s="1"/>
  <c r="CP69" i="6" s="1"/>
  <c r="CP70" i="6" s="1"/>
  <c r="CP71" i="6" s="1"/>
  <c r="CP72" i="6" s="1"/>
  <c r="CP73" i="6" s="1"/>
  <c r="CP74" i="6" s="1"/>
  <c r="CP75" i="6" s="1"/>
  <c r="CP76" i="6" s="1"/>
  <c r="CP77" i="6" s="1"/>
  <c r="CP78" i="6" s="1"/>
  <c r="CP79" i="6" s="1"/>
  <c r="CP80" i="6" s="1"/>
  <c r="CP81" i="6" s="1"/>
  <c r="CP82" i="6" s="1"/>
  <c r="CP83" i="6" s="1"/>
  <c r="CP84" i="6" s="1"/>
  <c r="CP85" i="6" s="1"/>
  <c r="CP86" i="6" s="1"/>
  <c r="CP87" i="6" s="1"/>
  <c r="CP88" i="6" s="1"/>
  <c r="CP89" i="6" s="1"/>
  <c r="CP90" i="6" s="1"/>
  <c r="CP91" i="6" s="1"/>
  <c r="CP92" i="6" s="1"/>
  <c r="CP93" i="6" s="1"/>
  <c r="CP94" i="6" s="1"/>
  <c r="CP95" i="6" s="1"/>
  <c r="CP96" i="6" s="1"/>
  <c r="CP97" i="6" s="1"/>
  <c r="CP98" i="6" s="1"/>
  <c r="CP99" i="6" s="1"/>
  <c r="CP100" i="6" s="1"/>
  <c r="CP101" i="6" s="1"/>
  <c r="CP102" i="6" s="1"/>
  <c r="CP103" i="6" s="1"/>
  <c r="CP104" i="6" s="1"/>
  <c r="CP105" i="6" s="1"/>
  <c r="CP106" i="6" s="1"/>
  <c r="CP107" i="6" s="1"/>
  <c r="CP108" i="6" s="1"/>
  <c r="CP109" i="6" s="1"/>
  <c r="CP110" i="6" s="1"/>
  <c r="CP111" i="6" s="1"/>
  <c r="CP112" i="6" s="1"/>
  <c r="CP113" i="6" s="1"/>
  <c r="CP114" i="6" s="1"/>
  <c r="CP115" i="6" s="1"/>
  <c r="CP116" i="6" s="1"/>
  <c r="CP117" i="6" s="1"/>
  <c r="CP118" i="6" s="1"/>
  <c r="CP119" i="6" s="1"/>
  <c r="CP120" i="6" s="1"/>
  <c r="CP121" i="6" s="1"/>
  <c r="CP122" i="6" s="1"/>
  <c r="CP123" i="6" s="1"/>
  <c r="CP124" i="6" s="1"/>
  <c r="CP125" i="6" s="1"/>
  <c r="CP126" i="6" s="1"/>
  <c r="CP127" i="6" s="1"/>
  <c r="CP128" i="6" s="1"/>
  <c r="CP129" i="6" s="1"/>
  <c r="CP130" i="6" s="1"/>
  <c r="CP131" i="6" s="1"/>
  <c r="CP132" i="6" s="1"/>
  <c r="CP133" i="6" s="1"/>
  <c r="CP134" i="6" s="1"/>
  <c r="CP135" i="6" s="1"/>
  <c r="CP136" i="6" s="1"/>
  <c r="CP137" i="6" s="1"/>
  <c r="CP138" i="6" s="1"/>
  <c r="CP139" i="6" s="1"/>
  <c r="CP140" i="6" s="1"/>
  <c r="CP141" i="6" s="1"/>
  <c r="CP142" i="6" s="1"/>
  <c r="CP143" i="6" s="1"/>
  <c r="CP144" i="6" s="1"/>
  <c r="CP145" i="6" s="1"/>
  <c r="CP146" i="6" s="1"/>
  <c r="CP147" i="6" s="1"/>
  <c r="CP148" i="6" s="1"/>
  <c r="CP149" i="6" s="1"/>
  <c r="CP150" i="6" s="1"/>
  <c r="CP151" i="6" s="1"/>
  <c r="CP152" i="6" s="1"/>
  <c r="CP153" i="6" s="1"/>
  <c r="CP154" i="6" s="1"/>
  <c r="CP155" i="6" s="1"/>
  <c r="CP156" i="6" s="1"/>
  <c r="CP157" i="6" s="1"/>
  <c r="CP158" i="6" s="1"/>
  <c r="CP159" i="6" s="1"/>
  <c r="CP160" i="6" s="1"/>
  <c r="CP161" i="6" s="1"/>
  <c r="CP162" i="6" s="1"/>
  <c r="CP163" i="6" s="1"/>
  <c r="CP164" i="6" s="1"/>
  <c r="CP165" i="6" s="1"/>
  <c r="CP166" i="6" s="1"/>
  <c r="CP167" i="6" s="1"/>
  <c r="CP168" i="6" s="1"/>
  <c r="CP169" i="6" s="1"/>
  <c r="CP170" i="6" s="1"/>
  <c r="CP171" i="6" s="1"/>
  <c r="CP172" i="6" s="1"/>
  <c r="CP173" i="6" s="1"/>
  <c r="CP174" i="6" s="1"/>
  <c r="CP175" i="6" s="1"/>
  <c r="CP176" i="6" s="1"/>
  <c r="CP177" i="6" s="1"/>
  <c r="CP178" i="6" s="1"/>
  <c r="CP179" i="6" s="1"/>
  <c r="CP180" i="6" s="1"/>
  <c r="CP181" i="6" s="1"/>
  <c r="CP182" i="6" s="1"/>
  <c r="CP183" i="6" s="1"/>
  <c r="CP184" i="6" s="1"/>
  <c r="CP185" i="6" s="1"/>
  <c r="CP186" i="6" s="1"/>
  <c r="CP187" i="6" s="1"/>
  <c r="CP188" i="6" s="1"/>
  <c r="CP189" i="6" s="1"/>
  <c r="CP190" i="6" s="1"/>
  <c r="CP191" i="6" s="1"/>
  <c r="CP192" i="6" s="1"/>
  <c r="CP193" i="6" s="1"/>
  <c r="CP194" i="6" s="1"/>
  <c r="CP195" i="6" s="1"/>
  <c r="CP196" i="6" s="1"/>
  <c r="CP197" i="6" s="1"/>
  <c r="CP198" i="6" s="1"/>
  <c r="CP199" i="6" s="1"/>
  <c r="CP200" i="6" s="1"/>
  <c r="CP201" i="6" s="1"/>
  <c r="CP202" i="6" s="1"/>
  <c r="CP203" i="6" s="1"/>
  <c r="CP204" i="6" s="1"/>
  <c r="CP205" i="6" s="1"/>
  <c r="CP206" i="6" s="1"/>
  <c r="CP207" i="6" s="1"/>
  <c r="CP208" i="6" s="1"/>
  <c r="CP209" i="6" s="1"/>
  <c r="CP210" i="6" s="1"/>
  <c r="CP211" i="6" s="1"/>
  <c r="CP212" i="6" s="1"/>
  <c r="CP213" i="6" s="1"/>
  <c r="CP214" i="6" s="1"/>
  <c r="CP215" i="6" s="1"/>
  <c r="CP216" i="6" s="1"/>
  <c r="CP217" i="6" s="1"/>
  <c r="CP218" i="6" s="1"/>
  <c r="CP219" i="6" s="1"/>
  <c r="CP220" i="6" s="1"/>
  <c r="CP221" i="6" s="1"/>
  <c r="CP222" i="6" s="1"/>
  <c r="CP223" i="6" s="1"/>
  <c r="CP224" i="6" s="1"/>
  <c r="CP225" i="6" s="1"/>
  <c r="CP226" i="6" s="1"/>
  <c r="CP227" i="6" s="1"/>
  <c r="CP228" i="6" s="1"/>
  <c r="CP229" i="6" s="1"/>
  <c r="CP230" i="6" s="1"/>
  <c r="CP231" i="6" s="1"/>
  <c r="CP232" i="6" s="1"/>
  <c r="CP233" i="6" s="1"/>
  <c r="CP234" i="6" s="1"/>
  <c r="CP235" i="6" s="1"/>
  <c r="CP236" i="6" s="1"/>
  <c r="CP237" i="6" s="1"/>
  <c r="CP238" i="6" s="1"/>
  <c r="CP239" i="6" s="1"/>
  <c r="CP240" i="6" s="1"/>
  <c r="CP241" i="6" s="1"/>
  <c r="CP242" i="6" s="1"/>
  <c r="CP243" i="6" s="1"/>
  <c r="CP244" i="6" s="1"/>
  <c r="CP245" i="6" s="1"/>
  <c r="CP246" i="6" s="1"/>
  <c r="CP247" i="6" s="1"/>
  <c r="CP248" i="6" s="1"/>
  <c r="CP249" i="6" s="1"/>
  <c r="CP250" i="6" s="1"/>
  <c r="CP251" i="6" s="1"/>
  <c r="CP252" i="6" s="1"/>
  <c r="CP253" i="6" s="1"/>
  <c r="CP254" i="6" s="1"/>
  <c r="CP255" i="6" s="1"/>
  <c r="CQ4" i="6"/>
  <c r="CQ5" i="6" s="1"/>
  <c r="CQ6" i="6" s="1"/>
  <c r="CQ7" i="6" s="1"/>
  <c r="CQ8" i="6" s="1"/>
  <c r="CQ9" i="6" s="1"/>
  <c r="CQ10" i="6" s="1"/>
  <c r="CQ11" i="6" s="1"/>
  <c r="CQ12" i="6" s="1"/>
  <c r="CQ13" i="6" s="1"/>
  <c r="CQ14" i="6" s="1"/>
  <c r="CQ15" i="6" s="1"/>
  <c r="CQ16" i="6" s="1"/>
  <c r="CQ17" i="6" s="1"/>
  <c r="CQ18" i="6" s="1"/>
  <c r="CQ19" i="6" s="1"/>
  <c r="CQ20" i="6" s="1"/>
  <c r="CQ21" i="6" s="1"/>
  <c r="CQ22" i="6" s="1"/>
  <c r="CQ23" i="6" s="1"/>
  <c r="CQ24" i="6" s="1"/>
  <c r="CQ25" i="6" s="1"/>
  <c r="CQ26" i="6" s="1"/>
  <c r="CQ27" i="6" s="1"/>
  <c r="CQ28" i="6" s="1"/>
  <c r="CQ29" i="6" s="1"/>
  <c r="CQ30" i="6" s="1"/>
  <c r="CQ31" i="6" s="1"/>
  <c r="CQ32" i="6" s="1"/>
  <c r="CQ33" i="6" s="1"/>
  <c r="CQ34" i="6" s="1"/>
  <c r="CQ35" i="6" s="1"/>
  <c r="CQ36" i="6" s="1"/>
  <c r="CQ37" i="6" s="1"/>
  <c r="CQ38" i="6" s="1"/>
  <c r="CQ39" i="6" s="1"/>
  <c r="CQ40" i="6" s="1"/>
  <c r="CQ41" i="6" s="1"/>
  <c r="CQ42" i="6" s="1"/>
  <c r="CQ43" i="6" s="1"/>
  <c r="CQ44" i="6" s="1"/>
  <c r="CQ45" i="6" s="1"/>
  <c r="CQ46" i="6" s="1"/>
  <c r="CQ47" i="6" s="1"/>
  <c r="CQ48" i="6" s="1"/>
  <c r="CQ49" i="6" s="1"/>
  <c r="CQ50" i="6" s="1"/>
  <c r="CQ51" i="6" s="1"/>
  <c r="CQ52" i="6" s="1"/>
  <c r="CQ53" i="6" s="1"/>
  <c r="CQ54" i="6" s="1"/>
  <c r="CQ55" i="6" s="1"/>
  <c r="CQ56" i="6" s="1"/>
  <c r="CQ57" i="6" s="1"/>
  <c r="CQ58" i="6" s="1"/>
  <c r="CQ59" i="6" s="1"/>
  <c r="CQ60" i="6" s="1"/>
  <c r="CQ61" i="6" s="1"/>
  <c r="CQ62" i="6" s="1"/>
  <c r="CQ63" i="6" s="1"/>
  <c r="CQ64" i="6" s="1"/>
  <c r="CQ65" i="6" s="1"/>
  <c r="CQ66" i="6" s="1"/>
  <c r="CQ67" i="6" s="1"/>
  <c r="CQ68" i="6" s="1"/>
  <c r="CQ69" i="6" s="1"/>
  <c r="CQ70" i="6" s="1"/>
  <c r="CQ71" i="6" s="1"/>
  <c r="CQ72" i="6" s="1"/>
  <c r="CQ73" i="6" s="1"/>
  <c r="CQ74" i="6" s="1"/>
  <c r="CQ75" i="6" s="1"/>
  <c r="CQ76" i="6" s="1"/>
  <c r="CQ77" i="6" s="1"/>
  <c r="CQ78" i="6" s="1"/>
  <c r="CQ79" i="6" s="1"/>
  <c r="CQ80" i="6" s="1"/>
  <c r="CQ81" i="6" s="1"/>
  <c r="CQ82" i="6" s="1"/>
  <c r="CQ83" i="6" s="1"/>
  <c r="CQ84" i="6" s="1"/>
  <c r="CQ85" i="6" s="1"/>
  <c r="CQ86" i="6" s="1"/>
  <c r="CQ87" i="6" s="1"/>
  <c r="CQ88" i="6" s="1"/>
  <c r="CQ89" i="6" s="1"/>
  <c r="CQ90" i="6" s="1"/>
  <c r="CQ91" i="6" s="1"/>
  <c r="CQ92" i="6" s="1"/>
  <c r="CQ93" i="6" s="1"/>
  <c r="CQ94" i="6" s="1"/>
  <c r="CQ95" i="6" s="1"/>
  <c r="CQ96" i="6" s="1"/>
  <c r="CQ97" i="6" s="1"/>
  <c r="CQ98" i="6" s="1"/>
  <c r="CQ99" i="6" s="1"/>
  <c r="CQ100" i="6" s="1"/>
  <c r="CQ101" i="6" s="1"/>
  <c r="CQ102" i="6" s="1"/>
  <c r="CQ103" i="6" s="1"/>
  <c r="CQ104" i="6" s="1"/>
  <c r="CQ105" i="6" s="1"/>
  <c r="CQ106" i="6" s="1"/>
  <c r="CQ107" i="6" s="1"/>
  <c r="CQ108" i="6" s="1"/>
  <c r="CQ109" i="6" s="1"/>
  <c r="CQ110" i="6" s="1"/>
  <c r="CQ111" i="6" s="1"/>
  <c r="CQ112" i="6" s="1"/>
  <c r="CQ113" i="6" s="1"/>
  <c r="CQ114" i="6" s="1"/>
  <c r="CQ115" i="6" s="1"/>
  <c r="CQ116" i="6" s="1"/>
  <c r="CQ117" i="6" s="1"/>
  <c r="CQ118" i="6" s="1"/>
  <c r="CQ119" i="6" s="1"/>
  <c r="CQ120" i="6" s="1"/>
  <c r="CQ121" i="6" s="1"/>
  <c r="CQ122" i="6" s="1"/>
  <c r="CQ123" i="6" s="1"/>
  <c r="CQ124" i="6" s="1"/>
  <c r="CQ125" i="6" s="1"/>
  <c r="CQ126" i="6" s="1"/>
  <c r="CQ127" i="6" s="1"/>
  <c r="CQ128" i="6" s="1"/>
  <c r="CQ129" i="6" s="1"/>
  <c r="CQ130" i="6" s="1"/>
  <c r="CQ131" i="6" s="1"/>
  <c r="CQ132" i="6" s="1"/>
  <c r="CQ133" i="6" s="1"/>
  <c r="CQ134" i="6" s="1"/>
  <c r="CQ135" i="6" s="1"/>
  <c r="CQ136" i="6" s="1"/>
  <c r="CQ137" i="6" s="1"/>
  <c r="CQ138" i="6" s="1"/>
  <c r="CQ139" i="6" s="1"/>
  <c r="CQ140" i="6" s="1"/>
  <c r="CQ141" i="6" s="1"/>
  <c r="CQ142" i="6" s="1"/>
  <c r="CQ143" i="6" s="1"/>
  <c r="CQ144" i="6" s="1"/>
  <c r="CQ145" i="6" s="1"/>
  <c r="CQ146" i="6" s="1"/>
  <c r="CQ147" i="6" s="1"/>
  <c r="CQ148" i="6" s="1"/>
  <c r="CQ149" i="6" s="1"/>
  <c r="CQ150" i="6" s="1"/>
  <c r="CQ151" i="6" s="1"/>
  <c r="CQ152" i="6" s="1"/>
  <c r="CQ153" i="6" s="1"/>
  <c r="CQ154" i="6" s="1"/>
  <c r="CQ155" i="6" s="1"/>
  <c r="CQ156" i="6" s="1"/>
  <c r="CQ157" i="6" s="1"/>
  <c r="CQ158" i="6" s="1"/>
  <c r="CQ159" i="6" s="1"/>
  <c r="CQ160" i="6" s="1"/>
  <c r="CQ161" i="6" s="1"/>
  <c r="CQ162" i="6" s="1"/>
  <c r="CQ163" i="6" s="1"/>
  <c r="CQ164" i="6" s="1"/>
  <c r="CQ165" i="6" s="1"/>
  <c r="CQ166" i="6" s="1"/>
  <c r="CQ167" i="6" s="1"/>
  <c r="CQ168" i="6" s="1"/>
  <c r="CQ169" i="6" s="1"/>
  <c r="CQ170" i="6" s="1"/>
  <c r="CQ171" i="6" s="1"/>
  <c r="CQ172" i="6" s="1"/>
  <c r="CQ173" i="6" s="1"/>
  <c r="CQ174" i="6" s="1"/>
  <c r="CQ175" i="6" s="1"/>
  <c r="CQ176" i="6" s="1"/>
  <c r="CQ177" i="6" s="1"/>
  <c r="CQ178" i="6" s="1"/>
  <c r="CQ179" i="6" s="1"/>
  <c r="CQ180" i="6" s="1"/>
  <c r="CQ181" i="6" s="1"/>
  <c r="CQ182" i="6" s="1"/>
  <c r="CQ183" i="6" s="1"/>
  <c r="CQ184" i="6" s="1"/>
  <c r="CQ185" i="6" s="1"/>
  <c r="CQ186" i="6" s="1"/>
  <c r="CQ187" i="6" s="1"/>
  <c r="CQ188" i="6" s="1"/>
  <c r="CQ189" i="6" s="1"/>
  <c r="CQ190" i="6" s="1"/>
  <c r="CQ191" i="6" s="1"/>
  <c r="CQ192" i="6" s="1"/>
  <c r="CQ193" i="6" s="1"/>
  <c r="CQ194" i="6" s="1"/>
  <c r="CQ195" i="6" s="1"/>
  <c r="CQ196" i="6" s="1"/>
  <c r="CQ197" i="6" s="1"/>
  <c r="CQ198" i="6" s="1"/>
  <c r="CQ199" i="6" s="1"/>
  <c r="CQ200" i="6" s="1"/>
  <c r="CQ201" i="6" s="1"/>
  <c r="CQ202" i="6" s="1"/>
  <c r="CQ203" i="6" s="1"/>
  <c r="CQ204" i="6" s="1"/>
  <c r="CQ205" i="6" s="1"/>
  <c r="CQ206" i="6" s="1"/>
  <c r="CQ207" i="6" s="1"/>
  <c r="CQ208" i="6" s="1"/>
  <c r="CQ209" i="6" s="1"/>
  <c r="CQ210" i="6" s="1"/>
  <c r="CQ211" i="6" s="1"/>
  <c r="CQ212" i="6" s="1"/>
  <c r="CQ213" i="6" s="1"/>
  <c r="CQ214" i="6" s="1"/>
  <c r="CQ215" i="6" s="1"/>
  <c r="CQ216" i="6" s="1"/>
  <c r="CQ217" i="6" s="1"/>
  <c r="CQ218" i="6" s="1"/>
  <c r="CQ219" i="6" s="1"/>
  <c r="CQ220" i="6" s="1"/>
  <c r="CQ221" i="6" s="1"/>
  <c r="CQ222" i="6" s="1"/>
  <c r="CQ223" i="6" s="1"/>
  <c r="CQ224" i="6" s="1"/>
  <c r="CQ225" i="6" s="1"/>
  <c r="CQ226" i="6" s="1"/>
  <c r="CQ227" i="6" s="1"/>
  <c r="CQ228" i="6" s="1"/>
  <c r="CQ229" i="6" s="1"/>
  <c r="CQ230" i="6" s="1"/>
  <c r="CQ231" i="6" s="1"/>
  <c r="CQ232" i="6" s="1"/>
  <c r="CQ233" i="6" s="1"/>
  <c r="CQ234" i="6" s="1"/>
  <c r="CQ235" i="6" s="1"/>
  <c r="CQ236" i="6" s="1"/>
  <c r="CQ237" i="6" s="1"/>
  <c r="CQ238" i="6" s="1"/>
  <c r="CQ239" i="6" s="1"/>
  <c r="CQ240" i="6" s="1"/>
  <c r="CQ241" i="6" s="1"/>
  <c r="CQ242" i="6" s="1"/>
  <c r="CQ243" i="6" s="1"/>
  <c r="CQ244" i="6" s="1"/>
  <c r="CQ245" i="6" s="1"/>
  <c r="CQ246" i="6" s="1"/>
  <c r="CQ247" i="6" s="1"/>
  <c r="CQ248" i="6" s="1"/>
  <c r="CQ249" i="6" s="1"/>
  <c r="CQ250" i="6" s="1"/>
  <c r="CQ251" i="6" s="1"/>
  <c r="CQ252" i="6" s="1"/>
  <c r="CQ253" i="6" s="1"/>
  <c r="CQ254" i="6" s="1"/>
  <c r="CQ255" i="6" s="1"/>
  <c r="CR4" i="6"/>
  <c r="CR5" i="6" s="1"/>
  <c r="CR6" i="6" s="1"/>
  <c r="CR7" i="6" s="1"/>
  <c r="CR8" i="6" s="1"/>
  <c r="CR9" i="6" s="1"/>
  <c r="CR10" i="6" s="1"/>
  <c r="CR11" i="6" s="1"/>
  <c r="CR12" i="6" s="1"/>
  <c r="CR13" i="6" s="1"/>
  <c r="CR14" i="6" s="1"/>
  <c r="CR15" i="6" s="1"/>
  <c r="CR16" i="6" s="1"/>
  <c r="CR17" i="6" s="1"/>
  <c r="CR18" i="6" s="1"/>
  <c r="CR19" i="6" s="1"/>
  <c r="CR20" i="6" s="1"/>
  <c r="CR21" i="6" s="1"/>
  <c r="CR22" i="6" s="1"/>
  <c r="CR23" i="6" s="1"/>
  <c r="CR24" i="6" s="1"/>
  <c r="CR25" i="6" s="1"/>
  <c r="CR26" i="6" s="1"/>
  <c r="CR27" i="6" s="1"/>
  <c r="CR28" i="6" s="1"/>
  <c r="CR29" i="6" s="1"/>
  <c r="CR30" i="6" s="1"/>
  <c r="CR31" i="6" s="1"/>
  <c r="CR32" i="6" s="1"/>
  <c r="CR33" i="6" s="1"/>
  <c r="CR34" i="6" s="1"/>
  <c r="CR35" i="6" s="1"/>
  <c r="CR36" i="6" s="1"/>
  <c r="CR37" i="6" s="1"/>
  <c r="CR38" i="6" s="1"/>
  <c r="CR39" i="6" s="1"/>
  <c r="CR40" i="6" s="1"/>
  <c r="CR41" i="6" s="1"/>
  <c r="CR42" i="6" s="1"/>
  <c r="CR43" i="6" s="1"/>
  <c r="CR44" i="6" s="1"/>
  <c r="CR45" i="6" s="1"/>
  <c r="CR46" i="6" s="1"/>
  <c r="CR47" i="6" s="1"/>
  <c r="CR48" i="6" s="1"/>
  <c r="CR49" i="6" s="1"/>
  <c r="CR50" i="6" s="1"/>
  <c r="CR51" i="6" s="1"/>
  <c r="CR52" i="6" s="1"/>
  <c r="CR53" i="6" s="1"/>
  <c r="CR54" i="6" s="1"/>
  <c r="CR55" i="6" s="1"/>
  <c r="CR56" i="6" s="1"/>
  <c r="CR57" i="6" s="1"/>
  <c r="CR58" i="6" s="1"/>
  <c r="CR59" i="6" s="1"/>
  <c r="CR60" i="6" s="1"/>
  <c r="CR61" i="6" s="1"/>
  <c r="CR62" i="6" s="1"/>
  <c r="CR63" i="6" s="1"/>
  <c r="CR64" i="6" s="1"/>
  <c r="CR65" i="6" s="1"/>
  <c r="CR66" i="6" s="1"/>
  <c r="CR67" i="6" s="1"/>
  <c r="CR68" i="6" s="1"/>
  <c r="CR69" i="6" s="1"/>
  <c r="CR70" i="6" s="1"/>
  <c r="CR71" i="6" s="1"/>
  <c r="CR72" i="6" s="1"/>
  <c r="CR73" i="6" s="1"/>
  <c r="CR74" i="6" s="1"/>
  <c r="CR75" i="6" s="1"/>
  <c r="CR76" i="6" s="1"/>
  <c r="CR77" i="6" s="1"/>
  <c r="CR78" i="6" s="1"/>
  <c r="CR79" i="6" s="1"/>
  <c r="CR80" i="6" s="1"/>
  <c r="CR81" i="6" s="1"/>
  <c r="CR82" i="6" s="1"/>
  <c r="CR83" i="6" s="1"/>
  <c r="CR84" i="6" s="1"/>
  <c r="CR85" i="6" s="1"/>
  <c r="CR86" i="6" s="1"/>
  <c r="CR87" i="6" s="1"/>
  <c r="CR88" i="6" s="1"/>
  <c r="CR89" i="6" s="1"/>
  <c r="CR90" i="6" s="1"/>
  <c r="CR91" i="6" s="1"/>
  <c r="CR92" i="6" s="1"/>
  <c r="CR93" i="6" s="1"/>
  <c r="CR94" i="6" s="1"/>
  <c r="CR95" i="6" s="1"/>
  <c r="CR96" i="6" s="1"/>
  <c r="CR97" i="6" s="1"/>
  <c r="CR98" i="6" s="1"/>
  <c r="CR99" i="6" s="1"/>
  <c r="CR100" i="6" s="1"/>
  <c r="CR101" i="6" s="1"/>
  <c r="CR102" i="6" s="1"/>
  <c r="CR103" i="6" s="1"/>
  <c r="CR104" i="6" s="1"/>
  <c r="CR105" i="6" s="1"/>
  <c r="CR106" i="6" s="1"/>
  <c r="CR107" i="6" s="1"/>
  <c r="CR108" i="6" s="1"/>
  <c r="CR109" i="6" s="1"/>
  <c r="CR110" i="6" s="1"/>
  <c r="CR111" i="6" s="1"/>
  <c r="CR112" i="6" s="1"/>
  <c r="CR113" i="6" s="1"/>
  <c r="CR114" i="6" s="1"/>
  <c r="CR115" i="6" s="1"/>
  <c r="CR116" i="6" s="1"/>
  <c r="CR117" i="6" s="1"/>
  <c r="CR118" i="6" s="1"/>
  <c r="CR119" i="6" s="1"/>
  <c r="CR120" i="6" s="1"/>
  <c r="CR121" i="6" s="1"/>
  <c r="CR122" i="6" s="1"/>
  <c r="CR123" i="6" s="1"/>
  <c r="CR124" i="6" s="1"/>
  <c r="CR125" i="6" s="1"/>
  <c r="CR126" i="6" s="1"/>
  <c r="CR127" i="6" s="1"/>
  <c r="CR128" i="6" s="1"/>
  <c r="CR129" i="6" s="1"/>
  <c r="CR130" i="6" s="1"/>
  <c r="CR131" i="6" s="1"/>
  <c r="CR132" i="6" s="1"/>
  <c r="CR133" i="6" s="1"/>
  <c r="CR134" i="6" s="1"/>
  <c r="CR135" i="6" s="1"/>
  <c r="CR136" i="6" s="1"/>
  <c r="CR137" i="6" s="1"/>
  <c r="CR138" i="6" s="1"/>
  <c r="CR139" i="6" s="1"/>
  <c r="CR140" i="6" s="1"/>
  <c r="CR141" i="6" s="1"/>
  <c r="CR142" i="6" s="1"/>
  <c r="CR143" i="6" s="1"/>
  <c r="CR144" i="6" s="1"/>
  <c r="CR145" i="6" s="1"/>
  <c r="CR146" i="6" s="1"/>
  <c r="CR147" i="6" s="1"/>
  <c r="CR148" i="6" s="1"/>
  <c r="CR149" i="6" s="1"/>
  <c r="CR150" i="6" s="1"/>
  <c r="CR151" i="6" s="1"/>
  <c r="CR152" i="6" s="1"/>
  <c r="CR153" i="6" s="1"/>
  <c r="CR154" i="6" s="1"/>
  <c r="CR155" i="6" s="1"/>
  <c r="CR156" i="6" s="1"/>
  <c r="CR157" i="6" s="1"/>
  <c r="CR158" i="6" s="1"/>
  <c r="CR159" i="6" s="1"/>
  <c r="CR160" i="6" s="1"/>
  <c r="CR161" i="6" s="1"/>
  <c r="CR162" i="6" s="1"/>
  <c r="CR163" i="6" s="1"/>
  <c r="CR164" i="6" s="1"/>
  <c r="CR165" i="6" s="1"/>
  <c r="CR166" i="6" s="1"/>
  <c r="CR167" i="6" s="1"/>
  <c r="CR168" i="6" s="1"/>
  <c r="CR169" i="6" s="1"/>
  <c r="CR170" i="6" s="1"/>
  <c r="CR171" i="6" s="1"/>
  <c r="CR172" i="6" s="1"/>
  <c r="CR173" i="6" s="1"/>
  <c r="CR174" i="6" s="1"/>
  <c r="CR175" i="6" s="1"/>
  <c r="CR176" i="6" s="1"/>
  <c r="CR177" i="6" s="1"/>
  <c r="CR178" i="6" s="1"/>
  <c r="CR179" i="6" s="1"/>
  <c r="CR180" i="6" s="1"/>
  <c r="CR181" i="6" s="1"/>
  <c r="CR182" i="6" s="1"/>
  <c r="CR183" i="6" s="1"/>
  <c r="CR184" i="6" s="1"/>
  <c r="CR185" i="6" s="1"/>
  <c r="CR186" i="6" s="1"/>
  <c r="CR187" i="6" s="1"/>
  <c r="CR188" i="6" s="1"/>
  <c r="CR189" i="6" s="1"/>
  <c r="CR190" i="6" s="1"/>
  <c r="CR191" i="6" s="1"/>
  <c r="CR192" i="6" s="1"/>
  <c r="CR193" i="6" s="1"/>
  <c r="CR194" i="6" s="1"/>
  <c r="CR195" i="6" s="1"/>
  <c r="CR196" i="6" s="1"/>
  <c r="CR197" i="6" s="1"/>
  <c r="CR198" i="6" s="1"/>
  <c r="CR199" i="6" s="1"/>
  <c r="CR200" i="6" s="1"/>
  <c r="CR201" i="6" s="1"/>
  <c r="CR202" i="6" s="1"/>
  <c r="CR203" i="6" s="1"/>
  <c r="CR204" i="6" s="1"/>
  <c r="CR205" i="6" s="1"/>
  <c r="CR206" i="6" s="1"/>
  <c r="CR207" i="6" s="1"/>
  <c r="CR208" i="6" s="1"/>
  <c r="CR209" i="6" s="1"/>
  <c r="CR210" i="6" s="1"/>
  <c r="CR211" i="6" s="1"/>
  <c r="CR212" i="6" s="1"/>
  <c r="CR213" i="6" s="1"/>
  <c r="CR214" i="6" s="1"/>
  <c r="CR215" i="6" s="1"/>
  <c r="CR216" i="6" s="1"/>
  <c r="CR217" i="6" s="1"/>
  <c r="CR218" i="6" s="1"/>
  <c r="CR219" i="6" s="1"/>
  <c r="CR220" i="6" s="1"/>
  <c r="CR221" i="6" s="1"/>
  <c r="CR222" i="6" s="1"/>
  <c r="CR223" i="6" s="1"/>
  <c r="CR224" i="6" s="1"/>
  <c r="CR225" i="6" s="1"/>
  <c r="CR226" i="6" s="1"/>
  <c r="CR227" i="6" s="1"/>
  <c r="CR228" i="6" s="1"/>
  <c r="CR229" i="6" s="1"/>
  <c r="CR230" i="6" s="1"/>
  <c r="CR231" i="6" s="1"/>
  <c r="CR232" i="6" s="1"/>
  <c r="CR233" i="6" s="1"/>
  <c r="CR234" i="6" s="1"/>
  <c r="CR235" i="6" s="1"/>
  <c r="CR236" i="6" s="1"/>
  <c r="CR237" i="6" s="1"/>
  <c r="CR238" i="6" s="1"/>
  <c r="CR239" i="6" s="1"/>
  <c r="CR240" i="6" s="1"/>
  <c r="CR241" i="6" s="1"/>
  <c r="CR242" i="6" s="1"/>
  <c r="CR243" i="6" s="1"/>
  <c r="CR244" i="6" s="1"/>
  <c r="CR245" i="6" s="1"/>
  <c r="CR246" i="6" s="1"/>
  <c r="CR247" i="6" s="1"/>
  <c r="CR248" i="6" s="1"/>
  <c r="CR249" i="6" s="1"/>
  <c r="CR250" i="6" s="1"/>
  <c r="CR251" i="6" s="1"/>
  <c r="CR252" i="6" s="1"/>
  <c r="CR253" i="6" s="1"/>
  <c r="CR254" i="6" s="1"/>
  <c r="CR255" i="6" s="1"/>
  <c r="CS4" i="6"/>
  <c r="CS5" i="6" s="1"/>
  <c r="CS6" i="6" s="1"/>
  <c r="CS7" i="6" s="1"/>
  <c r="CS8" i="6" s="1"/>
  <c r="CS9" i="6" s="1"/>
  <c r="CS10" i="6" s="1"/>
  <c r="CS11" i="6" s="1"/>
  <c r="CS12" i="6" s="1"/>
  <c r="CS13" i="6" s="1"/>
  <c r="CS14" i="6" s="1"/>
  <c r="CS15" i="6" s="1"/>
  <c r="CS16" i="6" s="1"/>
  <c r="CS17" i="6" s="1"/>
  <c r="CS18" i="6" s="1"/>
  <c r="CS19" i="6" s="1"/>
  <c r="CS20" i="6" s="1"/>
  <c r="CS21" i="6" s="1"/>
  <c r="CS22" i="6" s="1"/>
  <c r="CS23" i="6" s="1"/>
  <c r="CS24" i="6" s="1"/>
  <c r="CS25" i="6" s="1"/>
  <c r="CS26" i="6" s="1"/>
  <c r="CS27" i="6" s="1"/>
  <c r="CS28" i="6" s="1"/>
  <c r="CS29" i="6" s="1"/>
  <c r="CS30" i="6" s="1"/>
  <c r="CS31" i="6" s="1"/>
  <c r="CS32" i="6" s="1"/>
  <c r="CS33" i="6" s="1"/>
  <c r="CS34" i="6" s="1"/>
  <c r="CS35" i="6" s="1"/>
  <c r="CS36" i="6" s="1"/>
  <c r="CS37" i="6" s="1"/>
  <c r="CS38" i="6" s="1"/>
  <c r="CS39" i="6" s="1"/>
  <c r="CS40" i="6" s="1"/>
  <c r="CS41" i="6" s="1"/>
  <c r="CS42" i="6" s="1"/>
  <c r="CS43" i="6" s="1"/>
  <c r="CS44" i="6" s="1"/>
  <c r="CS45" i="6" s="1"/>
  <c r="CS46" i="6" s="1"/>
  <c r="CS47" i="6" s="1"/>
  <c r="CS48" i="6" s="1"/>
  <c r="CS49" i="6" s="1"/>
  <c r="CS50" i="6" s="1"/>
  <c r="CS51" i="6" s="1"/>
  <c r="CS52" i="6" s="1"/>
  <c r="CS53" i="6" s="1"/>
  <c r="CS54" i="6" s="1"/>
  <c r="CS55" i="6" s="1"/>
  <c r="CS56" i="6" s="1"/>
  <c r="CS57" i="6" s="1"/>
  <c r="CS58" i="6" s="1"/>
  <c r="CS59" i="6" s="1"/>
  <c r="CS60" i="6" s="1"/>
  <c r="CS61" i="6" s="1"/>
  <c r="CS62" i="6" s="1"/>
  <c r="CS63" i="6" s="1"/>
  <c r="CS64" i="6" s="1"/>
  <c r="CS65" i="6" s="1"/>
  <c r="CS66" i="6" s="1"/>
  <c r="CS67" i="6" s="1"/>
  <c r="CS68" i="6" s="1"/>
  <c r="CS69" i="6" s="1"/>
  <c r="CS70" i="6" s="1"/>
  <c r="CS71" i="6" s="1"/>
  <c r="CS72" i="6" s="1"/>
  <c r="CS73" i="6" s="1"/>
  <c r="CS74" i="6" s="1"/>
  <c r="CS75" i="6" s="1"/>
  <c r="CS76" i="6" s="1"/>
  <c r="CS77" i="6" s="1"/>
  <c r="CS78" i="6" s="1"/>
  <c r="CS79" i="6" s="1"/>
  <c r="CS80" i="6" s="1"/>
  <c r="CS81" i="6" s="1"/>
  <c r="CS82" i="6" s="1"/>
  <c r="CS83" i="6" s="1"/>
  <c r="CS84" i="6" s="1"/>
  <c r="CS85" i="6" s="1"/>
  <c r="CS86" i="6" s="1"/>
  <c r="CS87" i="6" s="1"/>
  <c r="CS88" i="6" s="1"/>
  <c r="CS89" i="6" s="1"/>
  <c r="CS90" i="6" s="1"/>
  <c r="CS91" i="6" s="1"/>
  <c r="CS92" i="6" s="1"/>
  <c r="CS93" i="6" s="1"/>
  <c r="CS94" i="6" s="1"/>
  <c r="CS95" i="6" s="1"/>
  <c r="CS96" i="6" s="1"/>
  <c r="CS97" i="6" s="1"/>
  <c r="CS98" i="6" s="1"/>
  <c r="CS99" i="6" s="1"/>
  <c r="CS100" i="6" s="1"/>
  <c r="CS101" i="6" s="1"/>
  <c r="CS102" i="6" s="1"/>
  <c r="CS103" i="6" s="1"/>
  <c r="CS104" i="6" s="1"/>
  <c r="CS105" i="6" s="1"/>
  <c r="CS106" i="6" s="1"/>
  <c r="CS107" i="6" s="1"/>
  <c r="CS108" i="6" s="1"/>
  <c r="CS109" i="6" s="1"/>
  <c r="CS110" i="6" s="1"/>
  <c r="CS111" i="6" s="1"/>
  <c r="CS112" i="6" s="1"/>
  <c r="CS113" i="6" s="1"/>
  <c r="CS114" i="6" s="1"/>
  <c r="CS115" i="6" s="1"/>
  <c r="CS116" i="6" s="1"/>
  <c r="CS117" i="6" s="1"/>
  <c r="CS118" i="6" s="1"/>
  <c r="CS119" i="6" s="1"/>
  <c r="CS120" i="6" s="1"/>
  <c r="CS121" i="6" s="1"/>
  <c r="CS122" i="6" s="1"/>
  <c r="CS123" i="6" s="1"/>
  <c r="CS124" i="6" s="1"/>
  <c r="CS125" i="6" s="1"/>
  <c r="CS126" i="6" s="1"/>
  <c r="CS127" i="6" s="1"/>
  <c r="CS128" i="6" s="1"/>
  <c r="CS129" i="6" s="1"/>
  <c r="CS130" i="6" s="1"/>
  <c r="CS131" i="6" s="1"/>
  <c r="CS132" i="6" s="1"/>
  <c r="CS133" i="6" s="1"/>
  <c r="CS134" i="6" s="1"/>
  <c r="CS135" i="6" s="1"/>
  <c r="CS136" i="6" s="1"/>
  <c r="CS137" i="6" s="1"/>
  <c r="CS138" i="6" s="1"/>
  <c r="CS139" i="6" s="1"/>
  <c r="CS140" i="6" s="1"/>
  <c r="CS141" i="6" s="1"/>
  <c r="CS142" i="6" s="1"/>
  <c r="CS143" i="6" s="1"/>
  <c r="CS144" i="6" s="1"/>
  <c r="CS145" i="6" s="1"/>
  <c r="CS146" i="6" s="1"/>
  <c r="CS147" i="6" s="1"/>
  <c r="CS148" i="6" s="1"/>
  <c r="CS149" i="6" s="1"/>
  <c r="CS150" i="6" s="1"/>
  <c r="CS151" i="6" s="1"/>
  <c r="CS152" i="6" s="1"/>
  <c r="CS153" i="6" s="1"/>
  <c r="CS154" i="6" s="1"/>
  <c r="CS155" i="6" s="1"/>
  <c r="CS156" i="6" s="1"/>
  <c r="CS157" i="6" s="1"/>
  <c r="CS158" i="6" s="1"/>
  <c r="CS159" i="6" s="1"/>
  <c r="CS160" i="6" s="1"/>
  <c r="CS161" i="6" s="1"/>
  <c r="CS162" i="6" s="1"/>
  <c r="CS163" i="6" s="1"/>
  <c r="CS164" i="6" s="1"/>
  <c r="CS165" i="6" s="1"/>
  <c r="CS166" i="6" s="1"/>
  <c r="CS167" i="6" s="1"/>
  <c r="CS168" i="6" s="1"/>
  <c r="CS169" i="6" s="1"/>
  <c r="CS170" i="6" s="1"/>
  <c r="CS171" i="6" s="1"/>
  <c r="CS172" i="6" s="1"/>
  <c r="CS173" i="6" s="1"/>
  <c r="CS174" i="6" s="1"/>
  <c r="CS175" i="6" s="1"/>
  <c r="CS176" i="6" s="1"/>
  <c r="CS177" i="6" s="1"/>
  <c r="CS178" i="6" s="1"/>
  <c r="CS179" i="6" s="1"/>
  <c r="CS180" i="6" s="1"/>
  <c r="CS181" i="6" s="1"/>
  <c r="CS182" i="6" s="1"/>
  <c r="CS183" i="6" s="1"/>
  <c r="CS184" i="6" s="1"/>
  <c r="CS185" i="6" s="1"/>
  <c r="CS186" i="6" s="1"/>
  <c r="CS187" i="6" s="1"/>
  <c r="CS188" i="6" s="1"/>
  <c r="CS189" i="6" s="1"/>
  <c r="CS190" i="6" s="1"/>
  <c r="CS191" i="6" s="1"/>
  <c r="CS192" i="6" s="1"/>
  <c r="CS193" i="6" s="1"/>
  <c r="CS194" i="6" s="1"/>
  <c r="CS195" i="6" s="1"/>
  <c r="CS196" i="6" s="1"/>
  <c r="CS197" i="6" s="1"/>
  <c r="CS198" i="6" s="1"/>
  <c r="CS199" i="6" s="1"/>
  <c r="CS200" i="6" s="1"/>
  <c r="CS201" i="6" s="1"/>
  <c r="CS202" i="6" s="1"/>
  <c r="CS203" i="6" s="1"/>
  <c r="CS204" i="6" s="1"/>
  <c r="CS205" i="6" s="1"/>
  <c r="CS206" i="6" s="1"/>
  <c r="CS207" i="6" s="1"/>
  <c r="CS208" i="6" s="1"/>
  <c r="CS209" i="6" s="1"/>
  <c r="CS210" i="6" s="1"/>
  <c r="CS211" i="6" s="1"/>
  <c r="CS212" i="6" s="1"/>
  <c r="CS213" i="6" s="1"/>
  <c r="CS214" i="6" s="1"/>
  <c r="CS215" i="6" s="1"/>
  <c r="CS216" i="6" s="1"/>
  <c r="CS217" i="6" s="1"/>
  <c r="CS218" i="6" s="1"/>
  <c r="CS219" i="6" s="1"/>
  <c r="CS220" i="6" s="1"/>
  <c r="CS221" i="6" s="1"/>
  <c r="CS222" i="6" s="1"/>
  <c r="CS223" i="6" s="1"/>
  <c r="CS224" i="6" s="1"/>
  <c r="CS225" i="6" s="1"/>
  <c r="CS226" i="6" s="1"/>
  <c r="CS227" i="6" s="1"/>
  <c r="CS228" i="6" s="1"/>
  <c r="CS229" i="6" s="1"/>
  <c r="CS230" i="6" s="1"/>
  <c r="CS231" i="6" s="1"/>
  <c r="CS232" i="6" s="1"/>
  <c r="CS233" i="6" s="1"/>
  <c r="CS234" i="6" s="1"/>
  <c r="CS235" i="6" s="1"/>
  <c r="CS236" i="6" s="1"/>
  <c r="CS237" i="6" s="1"/>
  <c r="CS238" i="6" s="1"/>
  <c r="CS239" i="6" s="1"/>
  <c r="CS240" i="6" s="1"/>
  <c r="CS241" i="6" s="1"/>
  <c r="CS242" i="6" s="1"/>
  <c r="CS243" i="6" s="1"/>
  <c r="CS244" i="6" s="1"/>
  <c r="CS245" i="6" s="1"/>
  <c r="CS246" i="6" s="1"/>
  <c r="CS247" i="6" s="1"/>
  <c r="CS248" i="6" s="1"/>
  <c r="CS249" i="6" s="1"/>
  <c r="CS250" i="6" s="1"/>
  <c r="CS251" i="6" s="1"/>
  <c r="CS252" i="6" s="1"/>
  <c r="CS253" i="6" s="1"/>
  <c r="CS254" i="6" s="1"/>
  <c r="CS255" i="6" s="1"/>
  <c r="CT4" i="6"/>
  <c r="CT5" i="6" s="1"/>
  <c r="CT6" i="6" s="1"/>
  <c r="CT7" i="6" s="1"/>
  <c r="CT8" i="6" s="1"/>
  <c r="CT9" i="6" s="1"/>
  <c r="CT10" i="6" s="1"/>
  <c r="CT11" i="6" s="1"/>
  <c r="CT12" i="6" s="1"/>
  <c r="CT13" i="6" s="1"/>
  <c r="CT14" i="6" s="1"/>
  <c r="CT15" i="6" s="1"/>
  <c r="CT16" i="6" s="1"/>
  <c r="CT17" i="6" s="1"/>
  <c r="CT18" i="6" s="1"/>
  <c r="CT19" i="6" s="1"/>
  <c r="CT20" i="6" s="1"/>
  <c r="CT21" i="6" s="1"/>
  <c r="CT22" i="6" s="1"/>
  <c r="CT23" i="6" s="1"/>
  <c r="CT24" i="6" s="1"/>
  <c r="CT25" i="6" s="1"/>
  <c r="CT26" i="6" s="1"/>
  <c r="CT27" i="6" s="1"/>
  <c r="CT28" i="6" s="1"/>
  <c r="CT29" i="6" s="1"/>
  <c r="CT30" i="6" s="1"/>
  <c r="CT31" i="6" s="1"/>
  <c r="CT32" i="6" s="1"/>
  <c r="CT33" i="6" s="1"/>
  <c r="CT34" i="6" s="1"/>
  <c r="CT35" i="6" s="1"/>
  <c r="CT36" i="6" s="1"/>
  <c r="CT37" i="6" s="1"/>
  <c r="CT38" i="6" s="1"/>
  <c r="CT39" i="6" s="1"/>
  <c r="CT40" i="6" s="1"/>
  <c r="CT41" i="6" s="1"/>
  <c r="CT42" i="6" s="1"/>
  <c r="CT43" i="6" s="1"/>
  <c r="CT44" i="6" s="1"/>
  <c r="CT45" i="6" s="1"/>
  <c r="CT46" i="6" s="1"/>
  <c r="CT47" i="6" s="1"/>
  <c r="CT48" i="6" s="1"/>
  <c r="CT49" i="6" s="1"/>
  <c r="CT50" i="6" s="1"/>
  <c r="CT51" i="6" s="1"/>
  <c r="CT52" i="6" s="1"/>
  <c r="CT53" i="6" s="1"/>
  <c r="CT54" i="6" s="1"/>
  <c r="CT55" i="6" s="1"/>
  <c r="CT56" i="6" s="1"/>
  <c r="CT57" i="6" s="1"/>
  <c r="CT58" i="6" s="1"/>
  <c r="CT59" i="6" s="1"/>
  <c r="CT60" i="6" s="1"/>
  <c r="CT61" i="6" s="1"/>
  <c r="CT62" i="6" s="1"/>
  <c r="CT63" i="6" s="1"/>
  <c r="CT64" i="6" s="1"/>
  <c r="CT65" i="6" s="1"/>
  <c r="CT66" i="6" s="1"/>
  <c r="CT67" i="6" s="1"/>
  <c r="CT68" i="6" s="1"/>
  <c r="CT69" i="6" s="1"/>
  <c r="CT70" i="6" s="1"/>
  <c r="CT71" i="6" s="1"/>
  <c r="CT72" i="6" s="1"/>
  <c r="CT73" i="6" s="1"/>
  <c r="CT74" i="6" s="1"/>
  <c r="CT75" i="6" s="1"/>
  <c r="CT76" i="6" s="1"/>
  <c r="CT77" i="6" s="1"/>
  <c r="CT78" i="6" s="1"/>
  <c r="CT79" i="6" s="1"/>
  <c r="CT80" i="6" s="1"/>
  <c r="CT81" i="6" s="1"/>
  <c r="CT82" i="6" s="1"/>
  <c r="CT83" i="6" s="1"/>
  <c r="CT84" i="6" s="1"/>
  <c r="CT85" i="6" s="1"/>
  <c r="CT86" i="6" s="1"/>
  <c r="CT87" i="6" s="1"/>
  <c r="CT88" i="6" s="1"/>
  <c r="CT89" i="6" s="1"/>
  <c r="CT90" i="6" s="1"/>
  <c r="CT91" i="6" s="1"/>
  <c r="CT92" i="6" s="1"/>
  <c r="CT93" i="6" s="1"/>
  <c r="CT94" i="6" s="1"/>
  <c r="CT95" i="6" s="1"/>
  <c r="CT96" i="6" s="1"/>
  <c r="CT97" i="6" s="1"/>
  <c r="CT98" i="6" s="1"/>
  <c r="CT99" i="6" s="1"/>
  <c r="CT100" i="6" s="1"/>
  <c r="CT101" i="6" s="1"/>
  <c r="CT102" i="6" s="1"/>
  <c r="CT103" i="6" s="1"/>
  <c r="CT104" i="6" s="1"/>
  <c r="CT105" i="6" s="1"/>
  <c r="CT106" i="6" s="1"/>
  <c r="CT107" i="6" s="1"/>
  <c r="CT108" i="6" s="1"/>
  <c r="CT109" i="6" s="1"/>
  <c r="CT110" i="6" s="1"/>
  <c r="CT111" i="6" s="1"/>
  <c r="CT112" i="6" s="1"/>
  <c r="CT113" i="6" s="1"/>
  <c r="CT114" i="6" s="1"/>
  <c r="CT115" i="6" s="1"/>
  <c r="CT116" i="6" s="1"/>
  <c r="CT117" i="6" s="1"/>
  <c r="CT118" i="6" s="1"/>
  <c r="CT119" i="6" s="1"/>
  <c r="CT120" i="6" s="1"/>
  <c r="CT121" i="6" s="1"/>
  <c r="CT122" i="6" s="1"/>
  <c r="CT123" i="6" s="1"/>
  <c r="CT124" i="6" s="1"/>
  <c r="CT125" i="6" s="1"/>
  <c r="CT126" i="6" s="1"/>
  <c r="CT127" i="6" s="1"/>
  <c r="CT128" i="6" s="1"/>
  <c r="CT129" i="6" s="1"/>
  <c r="CT130" i="6" s="1"/>
  <c r="CT131" i="6" s="1"/>
  <c r="CT132" i="6" s="1"/>
  <c r="CT133" i="6" s="1"/>
  <c r="CT134" i="6" s="1"/>
  <c r="CT135" i="6" s="1"/>
  <c r="CT136" i="6" s="1"/>
  <c r="CT137" i="6" s="1"/>
  <c r="CT138" i="6" s="1"/>
  <c r="CT139" i="6" s="1"/>
  <c r="CT140" i="6" s="1"/>
  <c r="CT141" i="6" s="1"/>
  <c r="CT142" i="6" s="1"/>
  <c r="CT143" i="6" s="1"/>
  <c r="CT144" i="6" s="1"/>
  <c r="CT145" i="6" s="1"/>
  <c r="CT146" i="6" s="1"/>
  <c r="CT147" i="6" s="1"/>
  <c r="CT148" i="6" s="1"/>
  <c r="CT149" i="6" s="1"/>
  <c r="CT150" i="6" s="1"/>
  <c r="CT151" i="6" s="1"/>
  <c r="CT152" i="6" s="1"/>
  <c r="CT153" i="6" s="1"/>
  <c r="CT154" i="6" s="1"/>
  <c r="CT155" i="6" s="1"/>
  <c r="CT156" i="6" s="1"/>
  <c r="CT157" i="6" s="1"/>
  <c r="CT158" i="6" s="1"/>
  <c r="CT159" i="6" s="1"/>
  <c r="CT160" i="6" s="1"/>
  <c r="CT161" i="6" s="1"/>
  <c r="CT162" i="6" s="1"/>
  <c r="CT163" i="6" s="1"/>
  <c r="CT164" i="6" s="1"/>
  <c r="CT165" i="6" s="1"/>
  <c r="CT166" i="6" s="1"/>
  <c r="CT167" i="6" s="1"/>
  <c r="CT168" i="6" s="1"/>
  <c r="CT169" i="6" s="1"/>
  <c r="CT170" i="6" s="1"/>
  <c r="CT171" i="6" s="1"/>
  <c r="CT172" i="6" s="1"/>
  <c r="CT173" i="6" s="1"/>
  <c r="CT174" i="6" s="1"/>
  <c r="CT175" i="6" s="1"/>
  <c r="CT176" i="6" s="1"/>
  <c r="CT177" i="6" s="1"/>
  <c r="CT178" i="6" s="1"/>
  <c r="CT179" i="6" s="1"/>
  <c r="CT180" i="6" s="1"/>
  <c r="CT181" i="6" s="1"/>
  <c r="CT182" i="6" s="1"/>
  <c r="CT183" i="6" s="1"/>
  <c r="CT184" i="6" s="1"/>
  <c r="CT185" i="6" s="1"/>
  <c r="CT186" i="6" s="1"/>
  <c r="CT187" i="6" s="1"/>
  <c r="CT188" i="6" s="1"/>
  <c r="CT189" i="6" s="1"/>
  <c r="CT190" i="6" s="1"/>
  <c r="CT191" i="6" s="1"/>
  <c r="CT192" i="6" s="1"/>
  <c r="CT193" i="6" s="1"/>
  <c r="CT194" i="6" s="1"/>
  <c r="CT195" i="6" s="1"/>
  <c r="CT196" i="6" s="1"/>
  <c r="CT197" i="6" s="1"/>
  <c r="CT198" i="6" s="1"/>
  <c r="CT199" i="6" s="1"/>
  <c r="CT200" i="6" s="1"/>
  <c r="CT201" i="6" s="1"/>
  <c r="CT202" i="6" s="1"/>
  <c r="CT203" i="6" s="1"/>
  <c r="CT204" i="6" s="1"/>
  <c r="CT205" i="6" s="1"/>
  <c r="CT206" i="6" s="1"/>
  <c r="CT207" i="6" s="1"/>
  <c r="CT208" i="6" s="1"/>
  <c r="CT209" i="6" s="1"/>
  <c r="CT210" i="6" s="1"/>
  <c r="CT211" i="6" s="1"/>
  <c r="CT212" i="6" s="1"/>
  <c r="CT213" i="6" s="1"/>
  <c r="CT214" i="6" s="1"/>
  <c r="CT215" i="6" s="1"/>
  <c r="CT216" i="6" s="1"/>
  <c r="CT217" i="6" s="1"/>
  <c r="CT218" i="6" s="1"/>
  <c r="CT219" i="6" s="1"/>
  <c r="CT220" i="6" s="1"/>
  <c r="CT221" i="6" s="1"/>
  <c r="CT222" i="6" s="1"/>
  <c r="CT223" i="6" s="1"/>
  <c r="CT224" i="6" s="1"/>
  <c r="CT225" i="6" s="1"/>
  <c r="CT226" i="6" s="1"/>
  <c r="CT227" i="6" s="1"/>
  <c r="CT228" i="6" s="1"/>
  <c r="CT229" i="6" s="1"/>
  <c r="CT230" i="6" s="1"/>
  <c r="CT231" i="6" s="1"/>
  <c r="CT232" i="6" s="1"/>
  <c r="CT233" i="6" s="1"/>
  <c r="CT234" i="6" s="1"/>
  <c r="CT235" i="6" s="1"/>
  <c r="CT236" i="6" s="1"/>
  <c r="CT237" i="6" s="1"/>
  <c r="CT238" i="6" s="1"/>
  <c r="CT239" i="6" s="1"/>
  <c r="CT240" i="6" s="1"/>
  <c r="CT241" i="6" s="1"/>
  <c r="CT242" i="6" s="1"/>
  <c r="CT243" i="6" s="1"/>
  <c r="CT244" i="6" s="1"/>
  <c r="CT245" i="6" s="1"/>
  <c r="CT246" i="6" s="1"/>
  <c r="CT247" i="6" s="1"/>
  <c r="CT248" i="6" s="1"/>
  <c r="CT249" i="6" s="1"/>
  <c r="CT250" i="6" s="1"/>
  <c r="CT251" i="6" s="1"/>
  <c r="CT252" i="6" s="1"/>
  <c r="CT253" i="6" s="1"/>
  <c r="CT254" i="6" s="1"/>
  <c r="CT255" i="6" s="1"/>
  <c r="CU4" i="6"/>
  <c r="CV4" i="6"/>
  <c r="CW4" i="6"/>
  <c r="CW5" i="6" s="1"/>
  <c r="CW6" i="6" s="1"/>
  <c r="CW7" i="6" s="1"/>
  <c r="CW8" i="6" s="1"/>
  <c r="CW9" i="6" s="1"/>
  <c r="CW10" i="6" s="1"/>
  <c r="CW11" i="6" s="1"/>
  <c r="CW12" i="6" s="1"/>
  <c r="CW13" i="6" s="1"/>
  <c r="CW14" i="6" s="1"/>
  <c r="CW15" i="6" s="1"/>
  <c r="CW16" i="6" s="1"/>
  <c r="CW17" i="6" s="1"/>
  <c r="CW18" i="6" s="1"/>
  <c r="CW19" i="6" s="1"/>
  <c r="CW20" i="6" s="1"/>
  <c r="CW21" i="6" s="1"/>
  <c r="CW22" i="6" s="1"/>
  <c r="CW23" i="6" s="1"/>
  <c r="CW24" i="6" s="1"/>
  <c r="CW25" i="6" s="1"/>
  <c r="CW26" i="6" s="1"/>
  <c r="CW27" i="6" s="1"/>
  <c r="CW28" i="6" s="1"/>
  <c r="CW29" i="6" s="1"/>
  <c r="CW30" i="6" s="1"/>
  <c r="CW31" i="6" s="1"/>
  <c r="CW32" i="6" s="1"/>
  <c r="CW33" i="6" s="1"/>
  <c r="CW34" i="6" s="1"/>
  <c r="CW35" i="6" s="1"/>
  <c r="CW36" i="6" s="1"/>
  <c r="CW37" i="6" s="1"/>
  <c r="CW38" i="6" s="1"/>
  <c r="CW39" i="6" s="1"/>
  <c r="CW40" i="6" s="1"/>
  <c r="CW41" i="6" s="1"/>
  <c r="CW42" i="6" s="1"/>
  <c r="CW43" i="6" s="1"/>
  <c r="CW44" i="6" s="1"/>
  <c r="CW45" i="6" s="1"/>
  <c r="CW46" i="6" s="1"/>
  <c r="CW47" i="6" s="1"/>
  <c r="CW48" i="6" s="1"/>
  <c r="CW49" i="6" s="1"/>
  <c r="CW50" i="6" s="1"/>
  <c r="CW51" i="6" s="1"/>
  <c r="CW52" i="6" s="1"/>
  <c r="CW53" i="6" s="1"/>
  <c r="CW54" i="6" s="1"/>
  <c r="CW55" i="6" s="1"/>
  <c r="CW56" i="6" s="1"/>
  <c r="CW57" i="6" s="1"/>
  <c r="CW58" i="6" s="1"/>
  <c r="CW59" i="6" s="1"/>
  <c r="CW60" i="6" s="1"/>
  <c r="CW61" i="6" s="1"/>
  <c r="CW62" i="6" s="1"/>
  <c r="CW63" i="6" s="1"/>
  <c r="CW64" i="6" s="1"/>
  <c r="CW65" i="6" s="1"/>
  <c r="CW66" i="6" s="1"/>
  <c r="CW67" i="6" s="1"/>
  <c r="CW68" i="6" s="1"/>
  <c r="CW69" i="6" s="1"/>
  <c r="CW70" i="6" s="1"/>
  <c r="CW71" i="6" s="1"/>
  <c r="CW72" i="6" s="1"/>
  <c r="CW73" i="6" s="1"/>
  <c r="CW74" i="6" s="1"/>
  <c r="CW75" i="6" s="1"/>
  <c r="CW76" i="6" s="1"/>
  <c r="CW77" i="6" s="1"/>
  <c r="CW78" i="6" s="1"/>
  <c r="CW79" i="6" s="1"/>
  <c r="CW80" i="6" s="1"/>
  <c r="CW81" i="6" s="1"/>
  <c r="CW82" i="6" s="1"/>
  <c r="CW83" i="6" s="1"/>
  <c r="CW84" i="6" s="1"/>
  <c r="CW85" i="6" s="1"/>
  <c r="CW86" i="6" s="1"/>
  <c r="CW87" i="6" s="1"/>
  <c r="CW88" i="6" s="1"/>
  <c r="CW89" i="6" s="1"/>
  <c r="CW90" i="6" s="1"/>
  <c r="CW91" i="6" s="1"/>
  <c r="CW92" i="6" s="1"/>
  <c r="CW93" i="6" s="1"/>
  <c r="CW94" i="6" s="1"/>
  <c r="CW95" i="6" s="1"/>
  <c r="CW96" i="6" s="1"/>
  <c r="CW97" i="6" s="1"/>
  <c r="CW98" i="6" s="1"/>
  <c r="CW99" i="6" s="1"/>
  <c r="CW100" i="6" s="1"/>
  <c r="CW101" i="6" s="1"/>
  <c r="CW102" i="6" s="1"/>
  <c r="CW103" i="6" s="1"/>
  <c r="CW104" i="6" s="1"/>
  <c r="CW105" i="6" s="1"/>
  <c r="CW106" i="6" s="1"/>
  <c r="CW107" i="6" s="1"/>
  <c r="CW108" i="6" s="1"/>
  <c r="CW109" i="6" s="1"/>
  <c r="CW110" i="6" s="1"/>
  <c r="CW111" i="6" s="1"/>
  <c r="CW112" i="6" s="1"/>
  <c r="CW113" i="6" s="1"/>
  <c r="CW114" i="6" s="1"/>
  <c r="CW115" i="6" s="1"/>
  <c r="CW116" i="6" s="1"/>
  <c r="CW117" i="6" s="1"/>
  <c r="CW118" i="6" s="1"/>
  <c r="CW119" i="6" s="1"/>
  <c r="CW120" i="6" s="1"/>
  <c r="CW121" i="6" s="1"/>
  <c r="CW122" i="6" s="1"/>
  <c r="CW123" i="6" s="1"/>
  <c r="CW124" i="6" s="1"/>
  <c r="CW125" i="6" s="1"/>
  <c r="CW126" i="6" s="1"/>
  <c r="CW127" i="6" s="1"/>
  <c r="CW128" i="6" s="1"/>
  <c r="CW129" i="6" s="1"/>
  <c r="CW130" i="6" s="1"/>
  <c r="CW131" i="6" s="1"/>
  <c r="CW132" i="6" s="1"/>
  <c r="CW133" i="6" s="1"/>
  <c r="CW134" i="6" s="1"/>
  <c r="CW135" i="6" s="1"/>
  <c r="CW136" i="6" s="1"/>
  <c r="CW137" i="6" s="1"/>
  <c r="CW138" i="6" s="1"/>
  <c r="CW139" i="6" s="1"/>
  <c r="CW140" i="6" s="1"/>
  <c r="CW141" i="6" s="1"/>
  <c r="CW142" i="6" s="1"/>
  <c r="CW143" i="6" s="1"/>
  <c r="CW144" i="6" s="1"/>
  <c r="CW145" i="6" s="1"/>
  <c r="CW146" i="6" s="1"/>
  <c r="CW147" i="6" s="1"/>
  <c r="CW148" i="6" s="1"/>
  <c r="CW149" i="6" s="1"/>
  <c r="CW150" i="6" s="1"/>
  <c r="CW151" i="6" s="1"/>
  <c r="CW152" i="6" s="1"/>
  <c r="CW153" i="6" s="1"/>
  <c r="CW154" i="6" s="1"/>
  <c r="CW155" i="6" s="1"/>
  <c r="CW156" i="6" s="1"/>
  <c r="CW157" i="6" s="1"/>
  <c r="CW158" i="6" s="1"/>
  <c r="CW159" i="6" s="1"/>
  <c r="CW160" i="6" s="1"/>
  <c r="CW161" i="6" s="1"/>
  <c r="CW162" i="6" s="1"/>
  <c r="CW163" i="6" s="1"/>
  <c r="CW164" i="6" s="1"/>
  <c r="CW165" i="6" s="1"/>
  <c r="CW166" i="6" s="1"/>
  <c r="CW167" i="6" s="1"/>
  <c r="CW168" i="6" s="1"/>
  <c r="CW169" i="6" s="1"/>
  <c r="CW170" i="6" s="1"/>
  <c r="CW171" i="6" s="1"/>
  <c r="CW172" i="6" s="1"/>
  <c r="CW173" i="6" s="1"/>
  <c r="CW174" i="6" s="1"/>
  <c r="CW175" i="6" s="1"/>
  <c r="CW176" i="6" s="1"/>
  <c r="CW177" i="6" s="1"/>
  <c r="CW178" i="6" s="1"/>
  <c r="CW179" i="6" s="1"/>
  <c r="CW180" i="6" s="1"/>
  <c r="CW181" i="6" s="1"/>
  <c r="CW182" i="6" s="1"/>
  <c r="CW183" i="6" s="1"/>
  <c r="CW184" i="6" s="1"/>
  <c r="CW185" i="6" s="1"/>
  <c r="CW186" i="6" s="1"/>
  <c r="CW187" i="6" s="1"/>
  <c r="CW188" i="6" s="1"/>
  <c r="CW189" i="6" s="1"/>
  <c r="CW190" i="6" s="1"/>
  <c r="CW191" i="6" s="1"/>
  <c r="CW192" i="6" s="1"/>
  <c r="CW193" i="6" s="1"/>
  <c r="CW194" i="6" s="1"/>
  <c r="CW195" i="6" s="1"/>
  <c r="CW196" i="6" s="1"/>
  <c r="CW197" i="6" s="1"/>
  <c r="CW198" i="6" s="1"/>
  <c r="CW199" i="6" s="1"/>
  <c r="CW200" i="6" s="1"/>
  <c r="CW201" i="6" s="1"/>
  <c r="CW202" i="6" s="1"/>
  <c r="CW203" i="6" s="1"/>
  <c r="CW204" i="6" s="1"/>
  <c r="CW205" i="6" s="1"/>
  <c r="CW206" i="6" s="1"/>
  <c r="CW207" i="6" s="1"/>
  <c r="CW208" i="6" s="1"/>
  <c r="CW209" i="6" s="1"/>
  <c r="CW210" i="6" s="1"/>
  <c r="CW211" i="6" s="1"/>
  <c r="CW212" i="6" s="1"/>
  <c r="CW213" i="6" s="1"/>
  <c r="CW214" i="6" s="1"/>
  <c r="CW215" i="6" s="1"/>
  <c r="CW216" i="6" s="1"/>
  <c r="CW217" i="6" s="1"/>
  <c r="CW218" i="6" s="1"/>
  <c r="CW219" i="6" s="1"/>
  <c r="CW220" i="6" s="1"/>
  <c r="CW221" i="6" s="1"/>
  <c r="CW222" i="6" s="1"/>
  <c r="CW223" i="6" s="1"/>
  <c r="CW224" i="6" s="1"/>
  <c r="CW225" i="6" s="1"/>
  <c r="CW226" i="6" s="1"/>
  <c r="CW227" i="6" s="1"/>
  <c r="CW228" i="6" s="1"/>
  <c r="CW229" i="6" s="1"/>
  <c r="CW230" i="6" s="1"/>
  <c r="CW231" i="6" s="1"/>
  <c r="CW232" i="6" s="1"/>
  <c r="CW233" i="6" s="1"/>
  <c r="CW234" i="6" s="1"/>
  <c r="CW235" i="6" s="1"/>
  <c r="CW236" i="6" s="1"/>
  <c r="CW237" i="6" s="1"/>
  <c r="CW238" i="6" s="1"/>
  <c r="CW239" i="6" s="1"/>
  <c r="CW240" i="6" s="1"/>
  <c r="CW241" i="6" s="1"/>
  <c r="CW242" i="6" s="1"/>
  <c r="CW243" i="6" s="1"/>
  <c r="CW244" i="6" s="1"/>
  <c r="CW245" i="6" s="1"/>
  <c r="CW246" i="6" s="1"/>
  <c r="CW247" i="6" s="1"/>
  <c r="CW248" i="6" s="1"/>
  <c r="CW249" i="6" s="1"/>
  <c r="CW250" i="6" s="1"/>
  <c r="CW251" i="6" s="1"/>
  <c r="CW252" i="6" s="1"/>
  <c r="CW253" i="6" s="1"/>
  <c r="CW254" i="6" s="1"/>
  <c r="CW255" i="6" s="1"/>
  <c r="C5" i="6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H5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K5" i="6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L5" i="6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L129" i="6" s="1"/>
  <c r="L130" i="6" s="1"/>
  <c r="L131" i="6" s="1"/>
  <c r="L132" i="6" s="1"/>
  <c r="L133" i="6" s="1"/>
  <c r="L134" i="6" s="1"/>
  <c r="L135" i="6" s="1"/>
  <c r="L136" i="6" s="1"/>
  <c r="L137" i="6" s="1"/>
  <c r="L138" i="6" s="1"/>
  <c r="L139" i="6" s="1"/>
  <c r="L140" i="6" s="1"/>
  <c r="L141" i="6" s="1"/>
  <c r="L142" i="6" s="1"/>
  <c r="L143" i="6" s="1"/>
  <c r="L144" i="6" s="1"/>
  <c r="L145" i="6" s="1"/>
  <c r="L146" i="6" s="1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L162" i="6" s="1"/>
  <c r="L163" i="6" s="1"/>
  <c r="L164" i="6" s="1"/>
  <c r="L165" i="6" s="1"/>
  <c r="L166" i="6" s="1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L231" i="6" s="1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L248" i="6" s="1"/>
  <c r="L249" i="6" s="1"/>
  <c r="L250" i="6" s="1"/>
  <c r="L251" i="6" s="1"/>
  <c r="L252" i="6" s="1"/>
  <c r="L253" i="6" s="1"/>
  <c r="L254" i="6" s="1"/>
  <c r="L255" i="6" s="1"/>
  <c r="M5" i="6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M129" i="6" s="1"/>
  <c r="M130" i="6" s="1"/>
  <c r="M131" i="6" s="1"/>
  <c r="M132" i="6" s="1"/>
  <c r="M133" i="6" s="1"/>
  <c r="M134" i="6" s="1"/>
  <c r="M135" i="6" s="1"/>
  <c r="M136" i="6" s="1"/>
  <c r="M137" i="6" s="1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M161" i="6" s="1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M217" i="6" s="1"/>
  <c r="M218" i="6" s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N5" i="6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O5" i="6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S5" i="6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S93" i="6" s="1"/>
  <c r="S94" i="6" s="1"/>
  <c r="S95" i="6" s="1"/>
  <c r="S96" i="6" s="1"/>
  <c r="S97" i="6" s="1"/>
  <c r="S98" i="6" s="1"/>
  <c r="S99" i="6" s="1"/>
  <c r="S100" i="6" s="1"/>
  <c r="S101" i="6" s="1"/>
  <c r="S102" i="6" s="1"/>
  <c r="S103" i="6" s="1"/>
  <c r="S104" i="6" s="1"/>
  <c r="S105" i="6" s="1"/>
  <c r="S106" i="6" s="1"/>
  <c r="S107" i="6" s="1"/>
  <c r="S108" i="6" s="1"/>
  <c r="S109" i="6" s="1"/>
  <c r="S110" i="6" s="1"/>
  <c r="S111" i="6" s="1"/>
  <c r="S112" i="6" s="1"/>
  <c r="S113" i="6" s="1"/>
  <c r="S114" i="6" s="1"/>
  <c r="S115" i="6" s="1"/>
  <c r="S116" i="6" s="1"/>
  <c r="S117" i="6" s="1"/>
  <c r="S118" i="6" s="1"/>
  <c r="S119" i="6" s="1"/>
  <c r="S120" i="6" s="1"/>
  <c r="S121" i="6" s="1"/>
  <c r="S122" i="6" s="1"/>
  <c r="S123" i="6" s="1"/>
  <c r="S124" i="6" s="1"/>
  <c r="S125" i="6" s="1"/>
  <c r="S126" i="6" s="1"/>
  <c r="S127" i="6" s="1"/>
  <c r="S128" i="6" s="1"/>
  <c r="S129" i="6" s="1"/>
  <c r="S130" i="6" s="1"/>
  <c r="S131" i="6" s="1"/>
  <c r="S132" i="6" s="1"/>
  <c r="S133" i="6" s="1"/>
  <c r="S134" i="6" s="1"/>
  <c r="S135" i="6" s="1"/>
  <c r="S136" i="6" s="1"/>
  <c r="S137" i="6" s="1"/>
  <c r="S138" i="6" s="1"/>
  <c r="S139" i="6" s="1"/>
  <c r="S140" i="6" s="1"/>
  <c r="S141" i="6" s="1"/>
  <c r="S142" i="6" s="1"/>
  <c r="S143" i="6" s="1"/>
  <c r="S144" i="6" s="1"/>
  <c r="S145" i="6" s="1"/>
  <c r="S146" i="6" s="1"/>
  <c r="S147" i="6" s="1"/>
  <c r="S148" i="6" s="1"/>
  <c r="S149" i="6" s="1"/>
  <c r="S150" i="6" s="1"/>
  <c r="S151" i="6" s="1"/>
  <c r="S152" i="6" s="1"/>
  <c r="S153" i="6" s="1"/>
  <c r="S154" i="6" s="1"/>
  <c r="S155" i="6" s="1"/>
  <c r="S156" i="6" s="1"/>
  <c r="S157" i="6" s="1"/>
  <c r="S158" i="6" s="1"/>
  <c r="S159" i="6" s="1"/>
  <c r="S160" i="6" s="1"/>
  <c r="S161" i="6" s="1"/>
  <c r="S162" i="6" s="1"/>
  <c r="S163" i="6" s="1"/>
  <c r="S164" i="6" s="1"/>
  <c r="S165" i="6" s="1"/>
  <c r="S166" i="6" s="1"/>
  <c r="S167" i="6" s="1"/>
  <c r="S168" i="6" s="1"/>
  <c r="S169" i="6" s="1"/>
  <c r="S170" i="6" s="1"/>
  <c r="S171" i="6" s="1"/>
  <c r="S172" i="6" s="1"/>
  <c r="S173" i="6" s="1"/>
  <c r="S174" i="6" s="1"/>
  <c r="S175" i="6" s="1"/>
  <c r="S176" i="6" s="1"/>
  <c r="S177" i="6" s="1"/>
  <c r="S178" i="6" s="1"/>
  <c r="S179" i="6" s="1"/>
  <c r="S180" i="6" s="1"/>
  <c r="S181" i="6" s="1"/>
  <c r="S182" i="6" s="1"/>
  <c r="S183" i="6" s="1"/>
  <c r="S184" i="6" s="1"/>
  <c r="S185" i="6" s="1"/>
  <c r="S186" i="6" s="1"/>
  <c r="S187" i="6" s="1"/>
  <c r="S188" i="6" s="1"/>
  <c r="S189" i="6" s="1"/>
  <c r="S190" i="6" s="1"/>
  <c r="S191" i="6" s="1"/>
  <c r="S192" i="6" s="1"/>
  <c r="S193" i="6" s="1"/>
  <c r="S194" i="6" s="1"/>
  <c r="S195" i="6" s="1"/>
  <c r="S196" i="6" s="1"/>
  <c r="S197" i="6" s="1"/>
  <c r="S198" i="6" s="1"/>
  <c r="S199" i="6" s="1"/>
  <c r="S200" i="6" s="1"/>
  <c r="S201" i="6" s="1"/>
  <c r="S202" i="6" s="1"/>
  <c r="S203" i="6" s="1"/>
  <c r="S204" i="6" s="1"/>
  <c r="S205" i="6" s="1"/>
  <c r="S206" i="6" s="1"/>
  <c r="S207" i="6" s="1"/>
  <c r="S208" i="6" s="1"/>
  <c r="S209" i="6" s="1"/>
  <c r="S210" i="6" s="1"/>
  <c r="S211" i="6" s="1"/>
  <c r="S212" i="6" s="1"/>
  <c r="S213" i="6" s="1"/>
  <c r="S214" i="6" s="1"/>
  <c r="S215" i="6" s="1"/>
  <c r="S216" i="6" s="1"/>
  <c r="S217" i="6" s="1"/>
  <c r="S218" i="6" s="1"/>
  <c r="S219" i="6" s="1"/>
  <c r="S220" i="6" s="1"/>
  <c r="S221" i="6" s="1"/>
  <c r="S222" i="6" s="1"/>
  <c r="S223" i="6" s="1"/>
  <c r="S224" i="6" s="1"/>
  <c r="S225" i="6" s="1"/>
  <c r="S226" i="6" s="1"/>
  <c r="S227" i="6" s="1"/>
  <c r="S228" i="6" s="1"/>
  <c r="S229" i="6" s="1"/>
  <c r="S230" i="6" s="1"/>
  <c r="S231" i="6" s="1"/>
  <c r="S232" i="6" s="1"/>
  <c r="S233" i="6" s="1"/>
  <c r="S234" i="6" s="1"/>
  <c r="S235" i="6" s="1"/>
  <c r="S236" i="6" s="1"/>
  <c r="S237" i="6" s="1"/>
  <c r="S238" i="6" s="1"/>
  <c r="S239" i="6" s="1"/>
  <c r="S240" i="6" s="1"/>
  <c r="S241" i="6" s="1"/>
  <c r="S242" i="6" s="1"/>
  <c r="S243" i="6" s="1"/>
  <c r="S244" i="6" s="1"/>
  <c r="S245" i="6" s="1"/>
  <c r="S246" i="6" s="1"/>
  <c r="S247" i="6" s="1"/>
  <c r="S248" i="6" s="1"/>
  <c r="S249" i="6" s="1"/>
  <c r="S250" i="6" s="1"/>
  <c r="S251" i="6" s="1"/>
  <c r="S252" i="6" s="1"/>
  <c r="S253" i="6" s="1"/>
  <c r="S254" i="6" s="1"/>
  <c r="S255" i="6" s="1"/>
  <c r="T5" i="6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T95" i="6" s="1"/>
  <c r="T96" i="6" s="1"/>
  <c r="T97" i="6" s="1"/>
  <c r="T98" i="6" s="1"/>
  <c r="T99" i="6" s="1"/>
  <c r="T100" i="6" s="1"/>
  <c r="T101" i="6" s="1"/>
  <c r="T102" i="6" s="1"/>
  <c r="T103" i="6" s="1"/>
  <c r="T104" i="6" s="1"/>
  <c r="T105" i="6" s="1"/>
  <c r="T106" i="6" s="1"/>
  <c r="T107" i="6" s="1"/>
  <c r="T108" i="6" s="1"/>
  <c r="T109" i="6" s="1"/>
  <c r="T110" i="6" s="1"/>
  <c r="T111" i="6" s="1"/>
  <c r="T112" i="6" s="1"/>
  <c r="T113" i="6" s="1"/>
  <c r="T114" i="6" s="1"/>
  <c r="T115" i="6" s="1"/>
  <c r="T116" i="6" s="1"/>
  <c r="T117" i="6" s="1"/>
  <c r="T118" i="6" s="1"/>
  <c r="T119" i="6" s="1"/>
  <c r="T120" i="6" s="1"/>
  <c r="T121" i="6" s="1"/>
  <c r="T122" i="6" s="1"/>
  <c r="T123" i="6" s="1"/>
  <c r="T124" i="6" s="1"/>
  <c r="T125" i="6" s="1"/>
  <c r="T126" i="6" s="1"/>
  <c r="T127" i="6" s="1"/>
  <c r="T128" i="6" s="1"/>
  <c r="T129" i="6" s="1"/>
  <c r="T130" i="6" s="1"/>
  <c r="T131" i="6" s="1"/>
  <c r="T132" i="6" s="1"/>
  <c r="T133" i="6" s="1"/>
  <c r="T134" i="6" s="1"/>
  <c r="T135" i="6" s="1"/>
  <c r="T136" i="6" s="1"/>
  <c r="T137" i="6" s="1"/>
  <c r="T138" i="6" s="1"/>
  <c r="T139" i="6" s="1"/>
  <c r="T140" i="6" s="1"/>
  <c r="T141" i="6" s="1"/>
  <c r="T142" i="6" s="1"/>
  <c r="T143" i="6" s="1"/>
  <c r="T144" i="6" s="1"/>
  <c r="T145" i="6" s="1"/>
  <c r="T146" i="6" s="1"/>
  <c r="T147" i="6" s="1"/>
  <c r="T148" i="6" s="1"/>
  <c r="T149" i="6" s="1"/>
  <c r="T150" i="6" s="1"/>
  <c r="T151" i="6" s="1"/>
  <c r="T152" i="6" s="1"/>
  <c r="T153" i="6" s="1"/>
  <c r="T154" i="6" s="1"/>
  <c r="T155" i="6" s="1"/>
  <c r="T156" i="6" s="1"/>
  <c r="T157" i="6" s="1"/>
  <c r="T158" i="6" s="1"/>
  <c r="T159" i="6" s="1"/>
  <c r="T160" i="6" s="1"/>
  <c r="T161" i="6" s="1"/>
  <c r="T162" i="6" s="1"/>
  <c r="T163" i="6" s="1"/>
  <c r="T164" i="6" s="1"/>
  <c r="T165" i="6" s="1"/>
  <c r="T166" i="6" s="1"/>
  <c r="T167" i="6" s="1"/>
  <c r="T168" i="6" s="1"/>
  <c r="T169" i="6" s="1"/>
  <c r="T170" i="6" s="1"/>
  <c r="T171" i="6" s="1"/>
  <c r="T172" i="6" s="1"/>
  <c r="T173" i="6" s="1"/>
  <c r="T174" i="6" s="1"/>
  <c r="T175" i="6" s="1"/>
  <c r="T176" i="6" s="1"/>
  <c r="T177" i="6" s="1"/>
  <c r="T178" i="6" s="1"/>
  <c r="T179" i="6" s="1"/>
  <c r="T180" i="6" s="1"/>
  <c r="T181" i="6" s="1"/>
  <c r="T182" i="6" s="1"/>
  <c r="T183" i="6" s="1"/>
  <c r="T184" i="6" s="1"/>
  <c r="T185" i="6" s="1"/>
  <c r="T186" i="6" s="1"/>
  <c r="T187" i="6" s="1"/>
  <c r="T188" i="6" s="1"/>
  <c r="T189" i="6" s="1"/>
  <c r="T190" i="6" s="1"/>
  <c r="T191" i="6" s="1"/>
  <c r="T192" i="6" s="1"/>
  <c r="T193" i="6" s="1"/>
  <c r="T194" i="6" s="1"/>
  <c r="T195" i="6" s="1"/>
  <c r="T196" i="6" s="1"/>
  <c r="T197" i="6" s="1"/>
  <c r="T198" i="6" s="1"/>
  <c r="T199" i="6" s="1"/>
  <c r="T200" i="6" s="1"/>
  <c r="T201" i="6" s="1"/>
  <c r="T202" i="6" s="1"/>
  <c r="T203" i="6" s="1"/>
  <c r="T204" i="6" s="1"/>
  <c r="T205" i="6" s="1"/>
  <c r="T206" i="6" s="1"/>
  <c r="T207" i="6" s="1"/>
  <c r="T208" i="6" s="1"/>
  <c r="T209" i="6" s="1"/>
  <c r="T210" i="6" s="1"/>
  <c r="T211" i="6" s="1"/>
  <c r="T212" i="6" s="1"/>
  <c r="T213" i="6" s="1"/>
  <c r="T214" i="6" s="1"/>
  <c r="T215" i="6" s="1"/>
  <c r="T216" i="6" s="1"/>
  <c r="T217" i="6" s="1"/>
  <c r="T218" i="6" s="1"/>
  <c r="T219" i="6" s="1"/>
  <c r="T220" i="6" s="1"/>
  <c r="T221" i="6" s="1"/>
  <c r="T222" i="6" s="1"/>
  <c r="T223" i="6" s="1"/>
  <c r="T224" i="6" s="1"/>
  <c r="T225" i="6" s="1"/>
  <c r="T226" i="6" s="1"/>
  <c r="T227" i="6" s="1"/>
  <c r="T228" i="6" s="1"/>
  <c r="T229" i="6" s="1"/>
  <c r="T230" i="6" s="1"/>
  <c r="T231" i="6" s="1"/>
  <c r="T232" i="6" s="1"/>
  <c r="T233" i="6" s="1"/>
  <c r="T234" i="6" s="1"/>
  <c r="T235" i="6" s="1"/>
  <c r="T236" i="6" s="1"/>
  <c r="T237" i="6" s="1"/>
  <c r="T238" i="6" s="1"/>
  <c r="T239" i="6" s="1"/>
  <c r="T240" i="6" s="1"/>
  <c r="T241" i="6" s="1"/>
  <c r="T242" i="6" s="1"/>
  <c r="T243" i="6" s="1"/>
  <c r="T244" i="6" s="1"/>
  <c r="T245" i="6" s="1"/>
  <c r="T246" i="6" s="1"/>
  <c r="T247" i="6" s="1"/>
  <c r="T248" i="6" s="1"/>
  <c r="T249" i="6" s="1"/>
  <c r="T250" i="6" s="1"/>
  <c r="T251" i="6" s="1"/>
  <c r="T252" i="6" s="1"/>
  <c r="T253" i="6" s="1"/>
  <c r="T254" i="6" s="1"/>
  <c r="T255" i="6" s="1"/>
  <c r="W5" i="6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W93" i="6" s="1"/>
  <c r="W94" i="6" s="1"/>
  <c r="W95" i="6" s="1"/>
  <c r="W96" i="6" s="1"/>
  <c r="W97" i="6" s="1"/>
  <c r="W98" i="6" s="1"/>
  <c r="W99" i="6" s="1"/>
  <c r="W100" i="6" s="1"/>
  <c r="W101" i="6" s="1"/>
  <c r="W102" i="6" s="1"/>
  <c r="W103" i="6" s="1"/>
  <c r="W104" i="6" s="1"/>
  <c r="W105" i="6" s="1"/>
  <c r="W106" i="6" s="1"/>
  <c r="W107" i="6" s="1"/>
  <c r="W108" i="6" s="1"/>
  <c r="W109" i="6" s="1"/>
  <c r="W110" i="6" s="1"/>
  <c r="W111" i="6" s="1"/>
  <c r="W112" i="6" s="1"/>
  <c r="W113" i="6" s="1"/>
  <c r="W114" i="6" s="1"/>
  <c r="W115" i="6" s="1"/>
  <c r="W116" i="6" s="1"/>
  <c r="W117" i="6" s="1"/>
  <c r="W118" i="6" s="1"/>
  <c r="W119" i="6" s="1"/>
  <c r="W120" i="6" s="1"/>
  <c r="W121" i="6" s="1"/>
  <c r="W122" i="6" s="1"/>
  <c r="W123" i="6" s="1"/>
  <c r="W124" i="6" s="1"/>
  <c r="W125" i="6" s="1"/>
  <c r="W126" i="6" s="1"/>
  <c r="W127" i="6" s="1"/>
  <c r="W128" i="6" s="1"/>
  <c r="W129" i="6" s="1"/>
  <c r="W130" i="6" s="1"/>
  <c r="W131" i="6" s="1"/>
  <c r="W132" i="6" s="1"/>
  <c r="W133" i="6" s="1"/>
  <c r="W134" i="6" s="1"/>
  <c r="W135" i="6" s="1"/>
  <c r="W136" i="6" s="1"/>
  <c r="W137" i="6" s="1"/>
  <c r="W138" i="6" s="1"/>
  <c r="W139" i="6" s="1"/>
  <c r="W140" i="6" s="1"/>
  <c r="W141" i="6" s="1"/>
  <c r="W142" i="6" s="1"/>
  <c r="W143" i="6" s="1"/>
  <c r="W144" i="6" s="1"/>
  <c r="W145" i="6" s="1"/>
  <c r="W146" i="6" s="1"/>
  <c r="W147" i="6" s="1"/>
  <c r="W148" i="6" s="1"/>
  <c r="W149" i="6" s="1"/>
  <c r="W150" i="6" s="1"/>
  <c r="W151" i="6" s="1"/>
  <c r="W152" i="6" s="1"/>
  <c r="W153" i="6" s="1"/>
  <c r="W154" i="6" s="1"/>
  <c r="W155" i="6" s="1"/>
  <c r="W156" i="6" s="1"/>
  <c r="W157" i="6" s="1"/>
  <c r="W158" i="6" s="1"/>
  <c r="W159" i="6" s="1"/>
  <c r="W160" i="6" s="1"/>
  <c r="W161" i="6" s="1"/>
  <c r="W162" i="6" s="1"/>
  <c r="W163" i="6" s="1"/>
  <c r="W164" i="6" s="1"/>
  <c r="W165" i="6" s="1"/>
  <c r="W166" i="6" s="1"/>
  <c r="W167" i="6" s="1"/>
  <c r="W168" i="6" s="1"/>
  <c r="W169" i="6" s="1"/>
  <c r="W170" i="6" s="1"/>
  <c r="W171" i="6" s="1"/>
  <c r="W172" i="6" s="1"/>
  <c r="W173" i="6" s="1"/>
  <c r="W174" i="6" s="1"/>
  <c r="W175" i="6" s="1"/>
  <c r="W176" i="6" s="1"/>
  <c r="W177" i="6" s="1"/>
  <c r="W178" i="6" s="1"/>
  <c r="W179" i="6" s="1"/>
  <c r="W180" i="6" s="1"/>
  <c r="W181" i="6" s="1"/>
  <c r="W182" i="6" s="1"/>
  <c r="W183" i="6" s="1"/>
  <c r="W184" i="6" s="1"/>
  <c r="W185" i="6" s="1"/>
  <c r="W186" i="6" s="1"/>
  <c r="W187" i="6" s="1"/>
  <c r="W188" i="6" s="1"/>
  <c r="W189" i="6" s="1"/>
  <c r="W190" i="6" s="1"/>
  <c r="W191" i="6" s="1"/>
  <c r="W192" i="6" s="1"/>
  <c r="W193" i="6" s="1"/>
  <c r="W194" i="6" s="1"/>
  <c r="W195" i="6" s="1"/>
  <c r="W196" i="6" s="1"/>
  <c r="W197" i="6" s="1"/>
  <c r="W198" i="6" s="1"/>
  <c r="W199" i="6" s="1"/>
  <c r="W200" i="6" s="1"/>
  <c r="W201" i="6" s="1"/>
  <c r="W202" i="6" s="1"/>
  <c r="W203" i="6" s="1"/>
  <c r="W204" i="6" s="1"/>
  <c r="W205" i="6" s="1"/>
  <c r="W206" i="6" s="1"/>
  <c r="W207" i="6" s="1"/>
  <c r="W208" i="6" s="1"/>
  <c r="W209" i="6" s="1"/>
  <c r="W210" i="6" s="1"/>
  <c r="W211" i="6" s="1"/>
  <c r="W212" i="6" s="1"/>
  <c r="W213" i="6" s="1"/>
  <c r="W214" i="6" s="1"/>
  <c r="W215" i="6" s="1"/>
  <c r="W216" i="6" s="1"/>
  <c r="W217" i="6" s="1"/>
  <c r="W218" i="6" s="1"/>
  <c r="W219" i="6" s="1"/>
  <c r="W220" i="6" s="1"/>
  <c r="W221" i="6" s="1"/>
  <c r="W222" i="6" s="1"/>
  <c r="W223" i="6" s="1"/>
  <c r="W224" i="6" s="1"/>
  <c r="W225" i="6" s="1"/>
  <c r="W226" i="6" s="1"/>
  <c r="W227" i="6" s="1"/>
  <c r="W228" i="6" s="1"/>
  <c r="W229" i="6" s="1"/>
  <c r="W230" i="6" s="1"/>
  <c r="W231" i="6" s="1"/>
  <c r="W232" i="6" s="1"/>
  <c r="W233" i="6" s="1"/>
  <c r="W234" i="6" s="1"/>
  <c r="W235" i="6" s="1"/>
  <c r="W236" i="6" s="1"/>
  <c r="W237" i="6" s="1"/>
  <c r="W238" i="6" s="1"/>
  <c r="W239" i="6" s="1"/>
  <c r="W240" i="6" s="1"/>
  <c r="W241" i="6" s="1"/>
  <c r="W242" i="6" s="1"/>
  <c r="W243" i="6" s="1"/>
  <c r="W244" i="6" s="1"/>
  <c r="W245" i="6" s="1"/>
  <c r="W246" i="6" s="1"/>
  <c r="W247" i="6" s="1"/>
  <c r="W248" i="6" s="1"/>
  <c r="W249" i="6" s="1"/>
  <c r="W250" i="6" s="1"/>
  <c r="W251" i="6" s="1"/>
  <c r="W252" i="6" s="1"/>
  <c r="W253" i="6" s="1"/>
  <c r="W254" i="6" s="1"/>
  <c r="W255" i="6" s="1"/>
  <c r="X5" i="6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X93" i="6" s="1"/>
  <c r="X94" i="6" s="1"/>
  <c r="X95" i="6" s="1"/>
  <c r="X96" i="6" s="1"/>
  <c r="X97" i="6" s="1"/>
  <c r="X98" i="6" s="1"/>
  <c r="X99" i="6" s="1"/>
  <c r="X100" i="6" s="1"/>
  <c r="X101" i="6" s="1"/>
  <c r="X102" i="6" s="1"/>
  <c r="X103" i="6" s="1"/>
  <c r="X104" i="6" s="1"/>
  <c r="X105" i="6" s="1"/>
  <c r="X106" i="6" s="1"/>
  <c r="X107" i="6" s="1"/>
  <c r="X108" i="6" s="1"/>
  <c r="X109" i="6" s="1"/>
  <c r="X110" i="6" s="1"/>
  <c r="X111" i="6" s="1"/>
  <c r="X112" i="6" s="1"/>
  <c r="X113" i="6" s="1"/>
  <c r="X114" i="6" s="1"/>
  <c r="X115" i="6" s="1"/>
  <c r="X116" i="6" s="1"/>
  <c r="X117" i="6" s="1"/>
  <c r="X118" i="6" s="1"/>
  <c r="X119" i="6" s="1"/>
  <c r="X120" i="6" s="1"/>
  <c r="X121" i="6" s="1"/>
  <c r="X122" i="6" s="1"/>
  <c r="X123" i="6" s="1"/>
  <c r="X124" i="6" s="1"/>
  <c r="X125" i="6" s="1"/>
  <c r="X126" i="6" s="1"/>
  <c r="X127" i="6" s="1"/>
  <c r="X128" i="6" s="1"/>
  <c r="X129" i="6" s="1"/>
  <c r="X130" i="6" s="1"/>
  <c r="X131" i="6" s="1"/>
  <c r="X132" i="6" s="1"/>
  <c r="X133" i="6" s="1"/>
  <c r="X134" i="6" s="1"/>
  <c r="X135" i="6" s="1"/>
  <c r="X136" i="6" s="1"/>
  <c r="X137" i="6" s="1"/>
  <c r="X138" i="6" s="1"/>
  <c r="X139" i="6" s="1"/>
  <c r="X140" i="6" s="1"/>
  <c r="X141" i="6" s="1"/>
  <c r="X142" i="6" s="1"/>
  <c r="X143" i="6" s="1"/>
  <c r="X144" i="6" s="1"/>
  <c r="X145" i="6" s="1"/>
  <c r="X146" i="6" s="1"/>
  <c r="X147" i="6" s="1"/>
  <c r="X148" i="6" s="1"/>
  <c r="X149" i="6" s="1"/>
  <c r="X150" i="6" s="1"/>
  <c r="X151" i="6" s="1"/>
  <c r="X152" i="6" s="1"/>
  <c r="X153" i="6" s="1"/>
  <c r="X154" i="6" s="1"/>
  <c r="X155" i="6" s="1"/>
  <c r="X156" i="6" s="1"/>
  <c r="X157" i="6" s="1"/>
  <c r="X158" i="6" s="1"/>
  <c r="X159" i="6" s="1"/>
  <c r="X160" i="6" s="1"/>
  <c r="X161" i="6" s="1"/>
  <c r="X162" i="6" s="1"/>
  <c r="X163" i="6" s="1"/>
  <c r="X164" i="6" s="1"/>
  <c r="X165" i="6" s="1"/>
  <c r="X166" i="6" s="1"/>
  <c r="X167" i="6" s="1"/>
  <c r="X168" i="6" s="1"/>
  <c r="X169" i="6" s="1"/>
  <c r="X170" i="6" s="1"/>
  <c r="X171" i="6" s="1"/>
  <c r="X172" i="6" s="1"/>
  <c r="X173" i="6" s="1"/>
  <c r="X174" i="6" s="1"/>
  <c r="X175" i="6" s="1"/>
  <c r="X176" i="6" s="1"/>
  <c r="X177" i="6" s="1"/>
  <c r="X178" i="6" s="1"/>
  <c r="X179" i="6" s="1"/>
  <c r="X180" i="6" s="1"/>
  <c r="X181" i="6" s="1"/>
  <c r="X182" i="6" s="1"/>
  <c r="X183" i="6" s="1"/>
  <c r="X184" i="6" s="1"/>
  <c r="X185" i="6" s="1"/>
  <c r="X186" i="6" s="1"/>
  <c r="X187" i="6" s="1"/>
  <c r="X188" i="6" s="1"/>
  <c r="X189" i="6" s="1"/>
  <c r="X190" i="6" s="1"/>
  <c r="X191" i="6" s="1"/>
  <c r="X192" i="6" s="1"/>
  <c r="X193" i="6" s="1"/>
  <c r="X194" i="6" s="1"/>
  <c r="X195" i="6" s="1"/>
  <c r="X196" i="6" s="1"/>
  <c r="X197" i="6" s="1"/>
  <c r="X198" i="6" s="1"/>
  <c r="X199" i="6" s="1"/>
  <c r="X200" i="6" s="1"/>
  <c r="X201" i="6" s="1"/>
  <c r="X202" i="6" s="1"/>
  <c r="X203" i="6" s="1"/>
  <c r="X204" i="6" s="1"/>
  <c r="X205" i="6" s="1"/>
  <c r="X206" i="6" s="1"/>
  <c r="X207" i="6" s="1"/>
  <c r="X208" i="6" s="1"/>
  <c r="X209" i="6" s="1"/>
  <c r="X210" i="6" s="1"/>
  <c r="X211" i="6" s="1"/>
  <c r="X212" i="6" s="1"/>
  <c r="X213" i="6" s="1"/>
  <c r="X214" i="6" s="1"/>
  <c r="X215" i="6" s="1"/>
  <c r="X216" i="6" s="1"/>
  <c r="X217" i="6" s="1"/>
  <c r="X218" i="6" s="1"/>
  <c r="X219" i="6" s="1"/>
  <c r="X220" i="6" s="1"/>
  <c r="X221" i="6" s="1"/>
  <c r="X222" i="6" s="1"/>
  <c r="X223" i="6" s="1"/>
  <c r="X224" i="6" s="1"/>
  <c r="X225" i="6" s="1"/>
  <c r="X226" i="6" s="1"/>
  <c r="X227" i="6" s="1"/>
  <c r="X228" i="6" s="1"/>
  <c r="X229" i="6" s="1"/>
  <c r="X230" i="6" s="1"/>
  <c r="X231" i="6" s="1"/>
  <c r="X232" i="6" s="1"/>
  <c r="X233" i="6" s="1"/>
  <c r="X234" i="6" s="1"/>
  <c r="X235" i="6" s="1"/>
  <c r="X236" i="6" s="1"/>
  <c r="X237" i="6" s="1"/>
  <c r="X238" i="6" s="1"/>
  <c r="X239" i="6" s="1"/>
  <c r="X240" i="6" s="1"/>
  <c r="X241" i="6" s="1"/>
  <c r="X242" i="6" s="1"/>
  <c r="X243" i="6" s="1"/>
  <c r="X244" i="6" s="1"/>
  <c r="X245" i="6" s="1"/>
  <c r="X246" i="6" s="1"/>
  <c r="X247" i="6" s="1"/>
  <c r="X248" i="6" s="1"/>
  <c r="X249" i="6" s="1"/>
  <c r="X250" i="6" s="1"/>
  <c r="X251" i="6" s="1"/>
  <c r="X252" i="6" s="1"/>
  <c r="X253" i="6" s="1"/>
  <c r="X254" i="6" s="1"/>
  <c r="X255" i="6" s="1"/>
  <c r="AA5" i="6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I5" i="6"/>
  <c r="AI6" i="6" s="1"/>
  <c r="AI7" i="6" s="1"/>
  <c r="AI8" i="6" s="1"/>
  <c r="AI9" i="6" s="1"/>
  <c r="AI10" i="6" s="1"/>
  <c r="AI11" i="6" s="1"/>
  <c r="AI12" i="6" s="1"/>
  <c r="AI13" i="6" s="1"/>
  <c r="AI14" i="6" s="1"/>
  <c r="AI15" i="6" s="1"/>
  <c r="AI16" i="6" s="1"/>
  <c r="AI17" i="6" s="1"/>
  <c r="AI18" i="6" s="1"/>
  <c r="AI19" i="6" s="1"/>
  <c r="AI20" i="6" s="1"/>
  <c r="AI21" i="6" s="1"/>
  <c r="AI22" i="6" s="1"/>
  <c r="AI23" i="6" s="1"/>
  <c r="AI24" i="6" s="1"/>
  <c r="AI25" i="6" s="1"/>
  <c r="AI26" i="6" s="1"/>
  <c r="AI27" i="6" s="1"/>
  <c r="AI28" i="6" s="1"/>
  <c r="AI29" i="6" s="1"/>
  <c r="AI30" i="6" s="1"/>
  <c r="AI31" i="6" s="1"/>
  <c r="AI32" i="6" s="1"/>
  <c r="AI33" i="6" s="1"/>
  <c r="AI34" i="6" s="1"/>
  <c r="AI35" i="6" s="1"/>
  <c r="AI36" i="6" s="1"/>
  <c r="AI37" i="6" s="1"/>
  <c r="AI38" i="6" s="1"/>
  <c r="AI39" i="6" s="1"/>
  <c r="AI40" i="6" s="1"/>
  <c r="AI41" i="6" s="1"/>
  <c r="AI42" i="6" s="1"/>
  <c r="AI43" i="6" s="1"/>
  <c r="AI44" i="6" s="1"/>
  <c r="AI45" i="6" s="1"/>
  <c r="AI46" i="6" s="1"/>
  <c r="AI47" i="6" s="1"/>
  <c r="AI48" i="6" s="1"/>
  <c r="AI49" i="6" s="1"/>
  <c r="AI50" i="6" s="1"/>
  <c r="AI51" i="6" s="1"/>
  <c r="AI52" i="6" s="1"/>
  <c r="AI53" i="6" s="1"/>
  <c r="AI54" i="6" s="1"/>
  <c r="AI55" i="6" s="1"/>
  <c r="AI56" i="6" s="1"/>
  <c r="AI57" i="6" s="1"/>
  <c r="AI58" i="6" s="1"/>
  <c r="AI59" i="6" s="1"/>
  <c r="AI60" i="6" s="1"/>
  <c r="AI61" i="6" s="1"/>
  <c r="AI62" i="6" s="1"/>
  <c r="AI63" i="6" s="1"/>
  <c r="AI64" i="6" s="1"/>
  <c r="AI65" i="6" s="1"/>
  <c r="AI66" i="6" s="1"/>
  <c r="AI67" i="6" s="1"/>
  <c r="AI68" i="6" s="1"/>
  <c r="AI69" i="6" s="1"/>
  <c r="AI70" i="6" s="1"/>
  <c r="AI71" i="6" s="1"/>
  <c r="AI72" i="6" s="1"/>
  <c r="AI73" i="6" s="1"/>
  <c r="AI74" i="6" s="1"/>
  <c r="AI75" i="6" s="1"/>
  <c r="AI76" i="6" s="1"/>
  <c r="AI77" i="6" s="1"/>
  <c r="AI78" i="6" s="1"/>
  <c r="AI79" i="6" s="1"/>
  <c r="AI80" i="6" s="1"/>
  <c r="AI81" i="6" s="1"/>
  <c r="AI82" i="6" s="1"/>
  <c r="AI83" i="6" s="1"/>
  <c r="AI84" i="6" s="1"/>
  <c r="AI85" i="6" s="1"/>
  <c r="AI86" i="6" s="1"/>
  <c r="AI87" i="6" s="1"/>
  <c r="AI88" i="6" s="1"/>
  <c r="AI89" i="6" s="1"/>
  <c r="AI90" i="6" s="1"/>
  <c r="AI91" i="6" s="1"/>
  <c r="AI92" i="6" s="1"/>
  <c r="AI93" i="6" s="1"/>
  <c r="AI94" i="6" s="1"/>
  <c r="AI95" i="6" s="1"/>
  <c r="AI96" i="6" s="1"/>
  <c r="AI97" i="6" s="1"/>
  <c r="AI98" i="6" s="1"/>
  <c r="AI99" i="6" s="1"/>
  <c r="AI100" i="6" s="1"/>
  <c r="AI101" i="6" s="1"/>
  <c r="AI102" i="6" s="1"/>
  <c r="AI103" i="6" s="1"/>
  <c r="AI104" i="6" s="1"/>
  <c r="AI105" i="6" s="1"/>
  <c r="AI106" i="6" s="1"/>
  <c r="AI107" i="6" s="1"/>
  <c r="AI108" i="6" s="1"/>
  <c r="AI109" i="6" s="1"/>
  <c r="AI110" i="6" s="1"/>
  <c r="AI111" i="6" s="1"/>
  <c r="AI112" i="6" s="1"/>
  <c r="AI113" i="6" s="1"/>
  <c r="AI114" i="6" s="1"/>
  <c r="AI115" i="6" s="1"/>
  <c r="AI116" i="6" s="1"/>
  <c r="AI117" i="6" s="1"/>
  <c r="AI118" i="6" s="1"/>
  <c r="AI119" i="6" s="1"/>
  <c r="AI120" i="6" s="1"/>
  <c r="AI121" i="6" s="1"/>
  <c r="AI122" i="6" s="1"/>
  <c r="AI123" i="6" s="1"/>
  <c r="AI124" i="6" s="1"/>
  <c r="AI125" i="6" s="1"/>
  <c r="AI126" i="6" s="1"/>
  <c r="AI127" i="6" s="1"/>
  <c r="AI128" i="6" s="1"/>
  <c r="AI129" i="6" s="1"/>
  <c r="AI130" i="6" s="1"/>
  <c r="AI131" i="6" s="1"/>
  <c r="AI132" i="6" s="1"/>
  <c r="AI133" i="6" s="1"/>
  <c r="AI134" i="6" s="1"/>
  <c r="AI135" i="6" s="1"/>
  <c r="AI136" i="6" s="1"/>
  <c r="AI137" i="6" s="1"/>
  <c r="AI138" i="6" s="1"/>
  <c r="AI139" i="6" s="1"/>
  <c r="AI140" i="6" s="1"/>
  <c r="AI141" i="6" s="1"/>
  <c r="AI142" i="6" s="1"/>
  <c r="AI143" i="6" s="1"/>
  <c r="AI144" i="6" s="1"/>
  <c r="AI145" i="6" s="1"/>
  <c r="AI146" i="6" s="1"/>
  <c r="AI147" i="6" s="1"/>
  <c r="AI148" i="6" s="1"/>
  <c r="AI149" i="6" s="1"/>
  <c r="AI150" i="6" s="1"/>
  <c r="AI151" i="6" s="1"/>
  <c r="AI152" i="6" s="1"/>
  <c r="AI153" i="6" s="1"/>
  <c r="AI154" i="6" s="1"/>
  <c r="AI155" i="6" s="1"/>
  <c r="AI156" i="6" s="1"/>
  <c r="AI157" i="6" s="1"/>
  <c r="AI158" i="6" s="1"/>
  <c r="AI159" i="6" s="1"/>
  <c r="AI160" i="6" s="1"/>
  <c r="AI161" i="6" s="1"/>
  <c r="AI162" i="6" s="1"/>
  <c r="AI163" i="6" s="1"/>
  <c r="AI164" i="6" s="1"/>
  <c r="AI165" i="6" s="1"/>
  <c r="AI166" i="6" s="1"/>
  <c r="AI167" i="6" s="1"/>
  <c r="AI168" i="6" s="1"/>
  <c r="AI169" i="6" s="1"/>
  <c r="AI170" i="6" s="1"/>
  <c r="AI171" i="6" s="1"/>
  <c r="AI172" i="6" s="1"/>
  <c r="AI173" i="6" s="1"/>
  <c r="AI174" i="6" s="1"/>
  <c r="AI175" i="6" s="1"/>
  <c r="AI176" i="6" s="1"/>
  <c r="AI177" i="6" s="1"/>
  <c r="AI178" i="6" s="1"/>
  <c r="AI179" i="6" s="1"/>
  <c r="AI180" i="6" s="1"/>
  <c r="AI181" i="6" s="1"/>
  <c r="AI182" i="6" s="1"/>
  <c r="AI183" i="6" s="1"/>
  <c r="AI184" i="6" s="1"/>
  <c r="AI185" i="6" s="1"/>
  <c r="AI186" i="6" s="1"/>
  <c r="AI187" i="6" s="1"/>
  <c r="AI188" i="6" s="1"/>
  <c r="AI189" i="6" s="1"/>
  <c r="AI190" i="6" s="1"/>
  <c r="AI191" i="6" s="1"/>
  <c r="AI192" i="6" s="1"/>
  <c r="AI193" i="6" s="1"/>
  <c r="AI194" i="6" s="1"/>
  <c r="AI195" i="6" s="1"/>
  <c r="AI196" i="6" s="1"/>
  <c r="AI197" i="6" s="1"/>
  <c r="AI198" i="6" s="1"/>
  <c r="AI199" i="6" s="1"/>
  <c r="AI200" i="6" s="1"/>
  <c r="AI201" i="6" s="1"/>
  <c r="AI202" i="6" s="1"/>
  <c r="AI203" i="6" s="1"/>
  <c r="AI204" i="6" s="1"/>
  <c r="AI205" i="6" s="1"/>
  <c r="AI206" i="6" s="1"/>
  <c r="AI207" i="6" s="1"/>
  <c r="AI208" i="6" s="1"/>
  <c r="AI209" i="6" s="1"/>
  <c r="AI210" i="6" s="1"/>
  <c r="AI211" i="6" s="1"/>
  <c r="AI212" i="6" s="1"/>
  <c r="AI213" i="6" s="1"/>
  <c r="AI214" i="6" s="1"/>
  <c r="AI215" i="6" s="1"/>
  <c r="AI216" i="6" s="1"/>
  <c r="AI217" i="6" s="1"/>
  <c r="AI218" i="6" s="1"/>
  <c r="AI219" i="6" s="1"/>
  <c r="AI220" i="6" s="1"/>
  <c r="AI221" i="6" s="1"/>
  <c r="AI222" i="6" s="1"/>
  <c r="AI223" i="6" s="1"/>
  <c r="AI224" i="6" s="1"/>
  <c r="AI225" i="6" s="1"/>
  <c r="AI226" i="6" s="1"/>
  <c r="AI227" i="6" s="1"/>
  <c r="AI228" i="6" s="1"/>
  <c r="AI229" i="6" s="1"/>
  <c r="AI230" i="6" s="1"/>
  <c r="AI231" i="6" s="1"/>
  <c r="AI232" i="6" s="1"/>
  <c r="AI233" i="6" s="1"/>
  <c r="AI234" i="6" s="1"/>
  <c r="AI235" i="6" s="1"/>
  <c r="AI236" i="6" s="1"/>
  <c r="AI237" i="6" s="1"/>
  <c r="AI238" i="6" s="1"/>
  <c r="AI239" i="6" s="1"/>
  <c r="AI240" i="6" s="1"/>
  <c r="AI241" i="6" s="1"/>
  <c r="AI242" i="6" s="1"/>
  <c r="AI243" i="6" s="1"/>
  <c r="AI244" i="6" s="1"/>
  <c r="AI245" i="6" s="1"/>
  <c r="AI246" i="6" s="1"/>
  <c r="AI247" i="6" s="1"/>
  <c r="AI248" i="6" s="1"/>
  <c r="AI249" i="6" s="1"/>
  <c r="AI250" i="6" s="1"/>
  <c r="AI251" i="6" s="1"/>
  <c r="AI252" i="6" s="1"/>
  <c r="AI253" i="6" s="1"/>
  <c r="AI254" i="6" s="1"/>
  <c r="AI255" i="6" s="1"/>
  <c r="AJ5" i="6"/>
  <c r="AJ6" i="6" s="1"/>
  <c r="AJ7" i="6" s="1"/>
  <c r="AJ8" i="6" s="1"/>
  <c r="AJ9" i="6" s="1"/>
  <c r="AJ10" i="6" s="1"/>
  <c r="AJ11" i="6" s="1"/>
  <c r="AJ12" i="6" s="1"/>
  <c r="AJ13" i="6" s="1"/>
  <c r="AJ14" i="6" s="1"/>
  <c r="AJ15" i="6" s="1"/>
  <c r="AJ16" i="6" s="1"/>
  <c r="AJ17" i="6" s="1"/>
  <c r="AJ18" i="6" s="1"/>
  <c r="AJ19" i="6" s="1"/>
  <c r="AJ20" i="6" s="1"/>
  <c r="AJ21" i="6" s="1"/>
  <c r="AJ22" i="6" s="1"/>
  <c r="AJ23" i="6" s="1"/>
  <c r="AJ24" i="6" s="1"/>
  <c r="AJ25" i="6" s="1"/>
  <c r="AJ26" i="6" s="1"/>
  <c r="AJ27" i="6" s="1"/>
  <c r="AJ28" i="6" s="1"/>
  <c r="AJ29" i="6" s="1"/>
  <c r="AJ30" i="6" s="1"/>
  <c r="AJ31" i="6" s="1"/>
  <c r="AJ32" i="6" s="1"/>
  <c r="AJ33" i="6" s="1"/>
  <c r="AJ34" i="6" s="1"/>
  <c r="AJ35" i="6" s="1"/>
  <c r="AJ36" i="6" s="1"/>
  <c r="AJ37" i="6" s="1"/>
  <c r="AJ38" i="6" s="1"/>
  <c r="AJ39" i="6" s="1"/>
  <c r="AJ40" i="6" s="1"/>
  <c r="AJ41" i="6" s="1"/>
  <c r="AJ42" i="6" s="1"/>
  <c r="AJ43" i="6" s="1"/>
  <c r="AJ44" i="6" s="1"/>
  <c r="AJ45" i="6" s="1"/>
  <c r="AJ46" i="6" s="1"/>
  <c r="AJ47" i="6" s="1"/>
  <c r="AJ48" i="6" s="1"/>
  <c r="AJ49" i="6" s="1"/>
  <c r="AJ50" i="6" s="1"/>
  <c r="AJ51" i="6" s="1"/>
  <c r="AJ52" i="6" s="1"/>
  <c r="AJ53" i="6" s="1"/>
  <c r="AJ54" i="6" s="1"/>
  <c r="AJ55" i="6" s="1"/>
  <c r="AJ56" i="6" s="1"/>
  <c r="AJ57" i="6" s="1"/>
  <c r="AJ58" i="6" s="1"/>
  <c r="AJ59" i="6" s="1"/>
  <c r="AJ60" i="6" s="1"/>
  <c r="AJ61" i="6" s="1"/>
  <c r="AJ62" i="6" s="1"/>
  <c r="AJ63" i="6" s="1"/>
  <c r="AJ64" i="6" s="1"/>
  <c r="AJ65" i="6" s="1"/>
  <c r="AJ66" i="6" s="1"/>
  <c r="AJ67" i="6" s="1"/>
  <c r="AJ68" i="6" s="1"/>
  <c r="AJ69" i="6" s="1"/>
  <c r="AJ70" i="6" s="1"/>
  <c r="AJ71" i="6" s="1"/>
  <c r="AJ72" i="6" s="1"/>
  <c r="AJ73" i="6" s="1"/>
  <c r="AJ74" i="6" s="1"/>
  <c r="AJ75" i="6" s="1"/>
  <c r="AJ76" i="6" s="1"/>
  <c r="AJ77" i="6" s="1"/>
  <c r="AJ78" i="6" s="1"/>
  <c r="AJ79" i="6" s="1"/>
  <c r="AJ80" i="6" s="1"/>
  <c r="AJ81" i="6" s="1"/>
  <c r="AJ82" i="6" s="1"/>
  <c r="AJ83" i="6" s="1"/>
  <c r="AJ84" i="6" s="1"/>
  <c r="AJ85" i="6" s="1"/>
  <c r="AJ86" i="6" s="1"/>
  <c r="AJ87" i="6" s="1"/>
  <c r="AJ88" i="6" s="1"/>
  <c r="AJ89" i="6" s="1"/>
  <c r="AJ90" i="6" s="1"/>
  <c r="AJ91" i="6" s="1"/>
  <c r="AJ92" i="6" s="1"/>
  <c r="AJ93" i="6" s="1"/>
  <c r="AJ94" i="6" s="1"/>
  <c r="AJ95" i="6" s="1"/>
  <c r="AJ96" i="6" s="1"/>
  <c r="AJ97" i="6" s="1"/>
  <c r="AJ98" i="6" s="1"/>
  <c r="AJ99" i="6" s="1"/>
  <c r="AJ100" i="6" s="1"/>
  <c r="AJ101" i="6" s="1"/>
  <c r="AJ102" i="6" s="1"/>
  <c r="AJ103" i="6" s="1"/>
  <c r="AJ104" i="6" s="1"/>
  <c r="AJ105" i="6" s="1"/>
  <c r="AJ106" i="6" s="1"/>
  <c r="AJ107" i="6" s="1"/>
  <c r="AJ108" i="6" s="1"/>
  <c r="AJ109" i="6" s="1"/>
  <c r="AJ110" i="6" s="1"/>
  <c r="AJ111" i="6" s="1"/>
  <c r="AJ112" i="6" s="1"/>
  <c r="AJ113" i="6" s="1"/>
  <c r="AJ114" i="6" s="1"/>
  <c r="AJ115" i="6" s="1"/>
  <c r="AJ116" i="6" s="1"/>
  <c r="AJ117" i="6" s="1"/>
  <c r="AJ118" i="6" s="1"/>
  <c r="AJ119" i="6" s="1"/>
  <c r="AJ120" i="6" s="1"/>
  <c r="AJ121" i="6" s="1"/>
  <c r="AJ122" i="6" s="1"/>
  <c r="AJ123" i="6" s="1"/>
  <c r="AJ124" i="6" s="1"/>
  <c r="AJ125" i="6" s="1"/>
  <c r="AJ126" i="6" s="1"/>
  <c r="AJ127" i="6" s="1"/>
  <c r="AJ128" i="6" s="1"/>
  <c r="AJ129" i="6" s="1"/>
  <c r="AJ130" i="6" s="1"/>
  <c r="AJ131" i="6" s="1"/>
  <c r="AJ132" i="6" s="1"/>
  <c r="AJ133" i="6" s="1"/>
  <c r="AJ134" i="6" s="1"/>
  <c r="AJ135" i="6" s="1"/>
  <c r="AJ136" i="6" s="1"/>
  <c r="AJ137" i="6" s="1"/>
  <c r="AJ138" i="6" s="1"/>
  <c r="AJ139" i="6" s="1"/>
  <c r="AJ140" i="6" s="1"/>
  <c r="AJ141" i="6" s="1"/>
  <c r="AJ142" i="6" s="1"/>
  <c r="AJ143" i="6" s="1"/>
  <c r="AJ144" i="6" s="1"/>
  <c r="AJ145" i="6" s="1"/>
  <c r="AJ146" i="6" s="1"/>
  <c r="AJ147" i="6" s="1"/>
  <c r="AJ148" i="6" s="1"/>
  <c r="AJ149" i="6" s="1"/>
  <c r="AJ150" i="6" s="1"/>
  <c r="AJ151" i="6" s="1"/>
  <c r="AJ152" i="6" s="1"/>
  <c r="AJ153" i="6" s="1"/>
  <c r="AJ154" i="6" s="1"/>
  <c r="AJ155" i="6" s="1"/>
  <c r="AJ156" i="6" s="1"/>
  <c r="AJ157" i="6" s="1"/>
  <c r="AJ158" i="6" s="1"/>
  <c r="AJ159" i="6" s="1"/>
  <c r="AJ160" i="6" s="1"/>
  <c r="AJ161" i="6" s="1"/>
  <c r="AJ162" i="6" s="1"/>
  <c r="AJ163" i="6" s="1"/>
  <c r="AJ164" i="6" s="1"/>
  <c r="AJ165" i="6" s="1"/>
  <c r="AJ166" i="6" s="1"/>
  <c r="AJ167" i="6" s="1"/>
  <c r="AJ168" i="6" s="1"/>
  <c r="AJ169" i="6" s="1"/>
  <c r="AJ170" i="6" s="1"/>
  <c r="AJ171" i="6" s="1"/>
  <c r="AJ172" i="6" s="1"/>
  <c r="AJ173" i="6" s="1"/>
  <c r="AJ174" i="6" s="1"/>
  <c r="AJ175" i="6" s="1"/>
  <c r="AJ176" i="6" s="1"/>
  <c r="AJ177" i="6" s="1"/>
  <c r="AJ178" i="6" s="1"/>
  <c r="AJ179" i="6" s="1"/>
  <c r="AJ180" i="6" s="1"/>
  <c r="AJ181" i="6" s="1"/>
  <c r="AJ182" i="6" s="1"/>
  <c r="AJ183" i="6" s="1"/>
  <c r="AJ184" i="6" s="1"/>
  <c r="AJ185" i="6" s="1"/>
  <c r="AJ186" i="6" s="1"/>
  <c r="AJ187" i="6" s="1"/>
  <c r="AJ188" i="6" s="1"/>
  <c r="AJ189" i="6" s="1"/>
  <c r="AJ190" i="6" s="1"/>
  <c r="AJ191" i="6" s="1"/>
  <c r="AJ192" i="6" s="1"/>
  <c r="AJ193" i="6" s="1"/>
  <c r="AJ194" i="6" s="1"/>
  <c r="AJ195" i="6" s="1"/>
  <c r="AJ196" i="6" s="1"/>
  <c r="AJ197" i="6" s="1"/>
  <c r="AJ198" i="6" s="1"/>
  <c r="AJ199" i="6" s="1"/>
  <c r="AJ200" i="6" s="1"/>
  <c r="AJ201" i="6" s="1"/>
  <c r="AJ202" i="6" s="1"/>
  <c r="AJ203" i="6" s="1"/>
  <c r="AJ204" i="6" s="1"/>
  <c r="AJ205" i="6" s="1"/>
  <c r="AJ206" i="6" s="1"/>
  <c r="AJ207" i="6" s="1"/>
  <c r="AJ208" i="6" s="1"/>
  <c r="AJ209" i="6" s="1"/>
  <c r="AJ210" i="6" s="1"/>
  <c r="AJ211" i="6" s="1"/>
  <c r="AJ212" i="6" s="1"/>
  <c r="AJ213" i="6" s="1"/>
  <c r="AJ214" i="6" s="1"/>
  <c r="AJ215" i="6" s="1"/>
  <c r="AJ216" i="6" s="1"/>
  <c r="AJ217" i="6" s="1"/>
  <c r="AJ218" i="6" s="1"/>
  <c r="AJ219" i="6" s="1"/>
  <c r="AJ220" i="6" s="1"/>
  <c r="AJ221" i="6" s="1"/>
  <c r="AJ222" i="6" s="1"/>
  <c r="AJ223" i="6" s="1"/>
  <c r="AJ224" i="6" s="1"/>
  <c r="AJ225" i="6" s="1"/>
  <c r="AJ226" i="6" s="1"/>
  <c r="AJ227" i="6" s="1"/>
  <c r="AJ228" i="6" s="1"/>
  <c r="AJ229" i="6" s="1"/>
  <c r="AJ230" i="6" s="1"/>
  <c r="AJ231" i="6" s="1"/>
  <c r="AJ232" i="6" s="1"/>
  <c r="AJ233" i="6" s="1"/>
  <c r="AJ234" i="6" s="1"/>
  <c r="AJ235" i="6" s="1"/>
  <c r="AJ236" i="6" s="1"/>
  <c r="AJ237" i="6" s="1"/>
  <c r="AJ238" i="6" s="1"/>
  <c r="AJ239" i="6" s="1"/>
  <c r="AJ240" i="6" s="1"/>
  <c r="AJ241" i="6" s="1"/>
  <c r="AJ242" i="6" s="1"/>
  <c r="AJ243" i="6" s="1"/>
  <c r="AJ244" i="6" s="1"/>
  <c r="AJ245" i="6" s="1"/>
  <c r="AJ246" i="6" s="1"/>
  <c r="AJ247" i="6" s="1"/>
  <c r="AJ248" i="6" s="1"/>
  <c r="AJ249" i="6" s="1"/>
  <c r="AJ250" i="6" s="1"/>
  <c r="AJ251" i="6" s="1"/>
  <c r="AJ252" i="6" s="1"/>
  <c r="AJ253" i="6" s="1"/>
  <c r="AJ254" i="6" s="1"/>
  <c r="AJ255" i="6" s="1"/>
  <c r="AN5" i="6"/>
  <c r="AN6" i="6" s="1"/>
  <c r="AN7" i="6" s="1"/>
  <c r="AN8" i="6" s="1"/>
  <c r="AN9" i="6" s="1"/>
  <c r="AN10" i="6" s="1"/>
  <c r="AN11" i="6" s="1"/>
  <c r="AN12" i="6" s="1"/>
  <c r="AN13" i="6" s="1"/>
  <c r="AN14" i="6" s="1"/>
  <c r="AN15" i="6" s="1"/>
  <c r="AN16" i="6" s="1"/>
  <c r="AN17" i="6" s="1"/>
  <c r="AN18" i="6" s="1"/>
  <c r="AN19" i="6" s="1"/>
  <c r="AN20" i="6" s="1"/>
  <c r="AN21" i="6" s="1"/>
  <c r="AN22" i="6" s="1"/>
  <c r="AN23" i="6" s="1"/>
  <c r="AN24" i="6" s="1"/>
  <c r="AN25" i="6" s="1"/>
  <c r="AN26" i="6" s="1"/>
  <c r="AN27" i="6" s="1"/>
  <c r="AN28" i="6" s="1"/>
  <c r="AN29" i="6" s="1"/>
  <c r="AN30" i="6" s="1"/>
  <c r="AN31" i="6" s="1"/>
  <c r="AN32" i="6" s="1"/>
  <c r="AN33" i="6" s="1"/>
  <c r="AN34" i="6" s="1"/>
  <c r="AN35" i="6" s="1"/>
  <c r="AN36" i="6" s="1"/>
  <c r="AN37" i="6" s="1"/>
  <c r="AN38" i="6" s="1"/>
  <c r="AN39" i="6" s="1"/>
  <c r="AN40" i="6" s="1"/>
  <c r="AN41" i="6" s="1"/>
  <c r="AN42" i="6" s="1"/>
  <c r="AN43" i="6" s="1"/>
  <c r="AN44" i="6" s="1"/>
  <c r="AN45" i="6" s="1"/>
  <c r="AN46" i="6" s="1"/>
  <c r="AN47" i="6" s="1"/>
  <c r="AN48" i="6" s="1"/>
  <c r="AN49" i="6" s="1"/>
  <c r="AN50" i="6" s="1"/>
  <c r="AN51" i="6" s="1"/>
  <c r="AN52" i="6" s="1"/>
  <c r="AN53" i="6" s="1"/>
  <c r="AN54" i="6" s="1"/>
  <c r="AN55" i="6" s="1"/>
  <c r="AN56" i="6" s="1"/>
  <c r="AN57" i="6" s="1"/>
  <c r="AN58" i="6" s="1"/>
  <c r="AN59" i="6" s="1"/>
  <c r="AN60" i="6" s="1"/>
  <c r="AN61" i="6" s="1"/>
  <c r="AN62" i="6" s="1"/>
  <c r="AN63" i="6" s="1"/>
  <c r="AN64" i="6" s="1"/>
  <c r="AN65" i="6" s="1"/>
  <c r="AN66" i="6" s="1"/>
  <c r="AN67" i="6" s="1"/>
  <c r="AN68" i="6" s="1"/>
  <c r="AN69" i="6" s="1"/>
  <c r="AN70" i="6" s="1"/>
  <c r="AN71" i="6" s="1"/>
  <c r="AN72" i="6" s="1"/>
  <c r="AN73" i="6" s="1"/>
  <c r="AN74" i="6" s="1"/>
  <c r="AN75" i="6" s="1"/>
  <c r="AN76" i="6" s="1"/>
  <c r="AN77" i="6" s="1"/>
  <c r="AN78" i="6" s="1"/>
  <c r="AN79" i="6" s="1"/>
  <c r="AN80" i="6" s="1"/>
  <c r="AN81" i="6" s="1"/>
  <c r="AN82" i="6" s="1"/>
  <c r="AN83" i="6" s="1"/>
  <c r="AN84" i="6" s="1"/>
  <c r="AN85" i="6" s="1"/>
  <c r="AN86" i="6" s="1"/>
  <c r="AN87" i="6" s="1"/>
  <c r="AN88" i="6" s="1"/>
  <c r="AN89" i="6" s="1"/>
  <c r="AN90" i="6" s="1"/>
  <c r="AN91" i="6" s="1"/>
  <c r="AN92" i="6" s="1"/>
  <c r="AN93" i="6" s="1"/>
  <c r="AN94" i="6" s="1"/>
  <c r="AN95" i="6" s="1"/>
  <c r="AN96" i="6" s="1"/>
  <c r="AN97" i="6" s="1"/>
  <c r="AN98" i="6" s="1"/>
  <c r="AN99" i="6" s="1"/>
  <c r="AN100" i="6" s="1"/>
  <c r="AN101" i="6" s="1"/>
  <c r="AN102" i="6" s="1"/>
  <c r="AN103" i="6" s="1"/>
  <c r="AN104" i="6" s="1"/>
  <c r="AN105" i="6" s="1"/>
  <c r="AN106" i="6" s="1"/>
  <c r="AN107" i="6" s="1"/>
  <c r="AN108" i="6" s="1"/>
  <c r="AN109" i="6" s="1"/>
  <c r="AN110" i="6" s="1"/>
  <c r="AN111" i="6" s="1"/>
  <c r="AN112" i="6" s="1"/>
  <c r="AN113" i="6" s="1"/>
  <c r="AN114" i="6" s="1"/>
  <c r="AN115" i="6" s="1"/>
  <c r="AN116" i="6" s="1"/>
  <c r="AN117" i="6" s="1"/>
  <c r="AN118" i="6" s="1"/>
  <c r="AN119" i="6" s="1"/>
  <c r="AN120" i="6" s="1"/>
  <c r="AN121" i="6" s="1"/>
  <c r="AN122" i="6" s="1"/>
  <c r="AN123" i="6" s="1"/>
  <c r="AN124" i="6" s="1"/>
  <c r="AN125" i="6" s="1"/>
  <c r="AN126" i="6" s="1"/>
  <c r="AN127" i="6" s="1"/>
  <c r="AN128" i="6" s="1"/>
  <c r="AN129" i="6" s="1"/>
  <c r="AN130" i="6" s="1"/>
  <c r="AN131" i="6" s="1"/>
  <c r="AN132" i="6" s="1"/>
  <c r="AN133" i="6" s="1"/>
  <c r="AN134" i="6" s="1"/>
  <c r="AN135" i="6" s="1"/>
  <c r="AN136" i="6" s="1"/>
  <c r="AN137" i="6" s="1"/>
  <c r="AN138" i="6" s="1"/>
  <c r="AN139" i="6" s="1"/>
  <c r="AN140" i="6" s="1"/>
  <c r="AN141" i="6" s="1"/>
  <c r="AN142" i="6" s="1"/>
  <c r="AN143" i="6" s="1"/>
  <c r="AN144" i="6" s="1"/>
  <c r="AN145" i="6" s="1"/>
  <c r="AN146" i="6" s="1"/>
  <c r="AN147" i="6" s="1"/>
  <c r="AN148" i="6" s="1"/>
  <c r="AN149" i="6" s="1"/>
  <c r="AN150" i="6" s="1"/>
  <c r="AN151" i="6" s="1"/>
  <c r="AN152" i="6" s="1"/>
  <c r="AN153" i="6" s="1"/>
  <c r="AN154" i="6" s="1"/>
  <c r="AN155" i="6" s="1"/>
  <c r="AN156" i="6" s="1"/>
  <c r="AN157" i="6" s="1"/>
  <c r="AN158" i="6" s="1"/>
  <c r="AN159" i="6" s="1"/>
  <c r="AN160" i="6" s="1"/>
  <c r="AN161" i="6" s="1"/>
  <c r="AN162" i="6" s="1"/>
  <c r="AN163" i="6" s="1"/>
  <c r="AN164" i="6" s="1"/>
  <c r="AN165" i="6" s="1"/>
  <c r="AN166" i="6" s="1"/>
  <c r="AN167" i="6" s="1"/>
  <c r="AN168" i="6" s="1"/>
  <c r="AN169" i="6" s="1"/>
  <c r="AN170" i="6" s="1"/>
  <c r="AN171" i="6" s="1"/>
  <c r="AN172" i="6" s="1"/>
  <c r="AN173" i="6" s="1"/>
  <c r="AN174" i="6" s="1"/>
  <c r="AN175" i="6" s="1"/>
  <c r="AN176" i="6" s="1"/>
  <c r="AN177" i="6" s="1"/>
  <c r="AN178" i="6" s="1"/>
  <c r="AN179" i="6" s="1"/>
  <c r="AN180" i="6" s="1"/>
  <c r="AN181" i="6" s="1"/>
  <c r="AN182" i="6" s="1"/>
  <c r="AN183" i="6" s="1"/>
  <c r="AN184" i="6" s="1"/>
  <c r="AN185" i="6" s="1"/>
  <c r="AN186" i="6" s="1"/>
  <c r="AN187" i="6" s="1"/>
  <c r="AN188" i="6" s="1"/>
  <c r="AN189" i="6" s="1"/>
  <c r="AN190" i="6" s="1"/>
  <c r="AN191" i="6" s="1"/>
  <c r="AN192" i="6" s="1"/>
  <c r="AN193" i="6" s="1"/>
  <c r="AN194" i="6" s="1"/>
  <c r="AN195" i="6" s="1"/>
  <c r="AN196" i="6" s="1"/>
  <c r="AN197" i="6" s="1"/>
  <c r="AN198" i="6" s="1"/>
  <c r="AN199" i="6" s="1"/>
  <c r="AN200" i="6" s="1"/>
  <c r="AN201" i="6" s="1"/>
  <c r="AN202" i="6" s="1"/>
  <c r="AN203" i="6" s="1"/>
  <c r="AN204" i="6" s="1"/>
  <c r="AN205" i="6" s="1"/>
  <c r="AN206" i="6" s="1"/>
  <c r="AN207" i="6" s="1"/>
  <c r="AN208" i="6" s="1"/>
  <c r="AN209" i="6" s="1"/>
  <c r="AN210" i="6" s="1"/>
  <c r="AN211" i="6" s="1"/>
  <c r="AN212" i="6" s="1"/>
  <c r="AN213" i="6" s="1"/>
  <c r="AN214" i="6" s="1"/>
  <c r="AN215" i="6" s="1"/>
  <c r="AN216" i="6" s="1"/>
  <c r="AN217" i="6" s="1"/>
  <c r="AN218" i="6" s="1"/>
  <c r="AN219" i="6" s="1"/>
  <c r="AN220" i="6" s="1"/>
  <c r="AN221" i="6" s="1"/>
  <c r="AN222" i="6" s="1"/>
  <c r="AN223" i="6" s="1"/>
  <c r="AN224" i="6" s="1"/>
  <c r="AN225" i="6" s="1"/>
  <c r="AN226" i="6" s="1"/>
  <c r="AN227" i="6" s="1"/>
  <c r="AN228" i="6" s="1"/>
  <c r="AN229" i="6" s="1"/>
  <c r="AN230" i="6" s="1"/>
  <c r="AN231" i="6" s="1"/>
  <c r="AN232" i="6" s="1"/>
  <c r="AN233" i="6" s="1"/>
  <c r="AN234" i="6" s="1"/>
  <c r="AN235" i="6" s="1"/>
  <c r="AN236" i="6" s="1"/>
  <c r="AN237" i="6" s="1"/>
  <c r="AN238" i="6" s="1"/>
  <c r="AN239" i="6" s="1"/>
  <c r="AN240" i="6" s="1"/>
  <c r="AN241" i="6" s="1"/>
  <c r="AN242" i="6" s="1"/>
  <c r="AN243" i="6" s="1"/>
  <c r="AN244" i="6" s="1"/>
  <c r="AN245" i="6" s="1"/>
  <c r="AN246" i="6" s="1"/>
  <c r="AN247" i="6" s="1"/>
  <c r="AN248" i="6" s="1"/>
  <c r="AN249" i="6" s="1"/>
  <c r="AN250" i="6" s="1"/>
  <c r="AN251" i="6" s="1"/>
  <c r="AN252" i="6" s="1"/>
  <c r="AN253" i="6" s="1"/>
  <c r="AN254" i="6" s="1"/>
  <c r="AN255" i="6" s="1"/>
  <c r="AU5" i="6"/>
  <c r="AU6" i="6" s="1"/>
  <c r="AU7" i="6" s="1"/>
  <c r="AU8" i="6" s="1"/>
  <c r="AU9" i="6" s="1"/>
  <c r="AU10" i="6" s="1"/>
  <c r="AU11" i="6" s="1"/>
  <c r="AU12" i="6" s="1"/>
  <c r="AU13" i="6" s="1"/>
  <c r="AU14" i="6" s="1"/>
  <c r="AU15" i="6" s="1"/>
  <c r="AU16" i="6" s="1"/>
  <c r="AU17" i="6" s="1"/>
  <c r="AU18" i="6" s="1"/>
  <c r="AU19" i="6" s="1"/>
  <c r="AU20" i="6" s="1"/>
  <c r="AU21" i="6" s="1"/>
  <c r="AU22" i="6" s="1"/>
  <c r="AU23" i="6" s="1"/>
  <c r="AU24" i="6" s="1"/>
  <c r="AU25" i="6" s="1"/>
  <c r="AU26" i="6" s="1"/>
  <c r="AU27" i="6" s="1"/>
  <c r="AU28" i="6" s="1"/>
  <c r="AU29" i="6" s="1"/>
  <c r="AU30" i="6" s="1"/>
  <c r="AU31" i="6" s="1"/>
  <c r="AU32" i="6" s="1"/>
  <c r="AU33" i="6" s="1"/>
  <c r="AU34" i="6" s="1"/>
  <c r="AU35" i="6" s="1"/>
  <c r="AU36" i="6" s="1"/>
  <c r="AU37" i="6" s="1"/>
  <c r="AU38" i="6" s="1"/>
  <c r="AU39" i="6" s="1"/>
  <c r="AU40" i="6" s="1"/>
  <c r="AU41" i="6" s="1"/>
  <c r="AU42" i="6" s="1"/>
  <c r="AU43" i="6" s="1"/>
  <c r="AU44" i="6" s="1"/>
  <c r="AU45" i="6" s="1"/>
  <c r="AU46" i="6" s="1"/>
  <c r="AU47" i="6" s="1"/>
  <c r="AU48" i="6" s="1"/>
  <c r="AU49" i="6" s="1"/>
  <c r="AU50" i="6" s="1"/>
  <c r="AU51" i="6" s="1"/>
  <c r="AU52" i="6" s="1"/>
  <c r="AU53" i="6" s="1"/>
  <c r="AU54" i="6" s="1"/>
  <c r="AU55" i="6" s="1"/>
  <c r="AU56" i="6" s="1"/>
  <c r="AU57" i="6" s="1"/>
  <c r="AU58" i="6" s="1"/>
  <c r="AU59" i="6" s="1"/>
  <c r="AU60" i="6" s="1"/>
  <c r="AU61" i="6" s="1"/>
  <c r="AU62" i="6" s="1"/>
  <c r="AU63" i="6" s="1"/>
  <c r="AU64" i="6" s="1"/>
  <c r="AU65" i="6" s="1"/>
  <c r="AU66" i="6" s="1"/>
  <c r="AU67" i="6" s="1"/>
  <c r="AU68" i="6" s="1"/>
  <c r="AU69" i="6" s="1"/>
  <c r="AU70" i="6" s="1"/>
  <c r="AU71" i="6" s="1"/>
  <c r="AU72" i="6" s="1"/>
  <c r="AU73" i="6" s="1"/>
  <c r="AU74" i="6" s="1"/>
  <c r="AU75" i="6" s="1"/>
  <c r="AU76" i="6" s="1"/>
  <c r="AU77" i="6" s="1"/>
  <c r="AU78" i="6" s="1"/>
  <c r="AU79" i="6" s="1"/>
  <c r="AU80" i="6" s="1"/>
  <c r="AU81" i="6" s="1"/>
  <c r="AU82" i="6" s="1"/>
  <c r="AU83" i="6" s="1"/>
  <c r="AU84" i="6" s="1"/>
  <c r="AU85" i="6" s="1"/>
  <c r="AU86" i="6" s="1"/>
  <c r="AU87" i="6" s="1"/>
  <c r="AU88" i="6" s="1"/>
  <c r="AU89" i="6" s="1"/>
  <c r="AU90" i="6" s="1"/>
  <c r="AU91" i="6" s="1"/>
  <c r="AU92" i="6" s="1"/>
  <c r="AU93" i="6" s="1"/>
  <c r="AU94" i="6" s="1"/>
  <c r="AU95" i="6" s="1"/>
  <c r="AU96" i="6" s="1"/>
  <c r="AU97" i="6" s="1"/>
  <c r="AU98" i="6" s="1"/>
  <c r="AU99" i="6" s="1"/>
  <c r="AU100" i="6" s="1"/>
  <c r="AU101" i="6" s="1"/>
  <c r="AU102" i="6" s="1"/>
  <c r="AU103" i="6" s="1"/>
  <c r="AU104" i="6" s="1"/>
  <c r="AU105" i="6" s="1"/>
  <c r="AU106" i="6" s="1"/>
  <c r="AU107" i="6" s="1"/>
  <c r="AU108" i="6" s="1"/>
  <c r="AU109" i="6" s="1"/>
  <c r="AU110" i="6" s="1"/>
  <c r="AU111" i="6" s="1"/>
  <c r="AU112" i="6" s="1"/>
  <c r="AU113" i="6" s="1"/>
  <c r="AU114" i="6" s="1"/>
  <c r="AU115" i="6" s="1"/>
  <c r="AU116" i="6" s="1"/>
  <c r="AU117" i="6" s="1"/>
  <c r="AU118" i="6" s="1"/>
  <c r="AU119" i="6" s="1"/>
  <c r="AU120" i="6" s="1"/>
  <c r="AU121" i="6" s="1"/>
  <c r="AU122" i="6" s="1"/>
  <c r="AU123" i="6" s="1"/>
  <c r="AU124" i="6" s="1"/>
  <c r="AU125" i="6" s="1"/>
  <c r="AU126" i="6" s="1"/>
  <c r="AU127" i="6" s="1"/>
  <c r="AU128" i="6" s="1"/>
  <c r="AU129" i="6" s="1"/>
  <c r="AU130" i="6" s="1"/>
  <c r="AU131" i="6" s="1"/>
  <c r="AU132" i="6" s="1"/>
  <c r="AU133" i="6" s="1"/>
  <c r="AU134" i="6" s="1"/>
  <c r="AU135" i="6" s="1"/>
  <c r="AU136" i="6" s="1"/>
  <c r="AU137" i="6" s="1"/>
  <c r="AU138" i="6" s="1"/>
  <c r="AU139" i="6" s="1"/>
  <c r="AU140" i="6" s="1"/>
  <c r="AU141" i="6" s="1"/>
  <c r="AU142" i="6" s="1"/>
  <c r="AU143" i="6" s="1"/>
  <c r="AU144" i="6" s="1"/>
  <c r="AU145" i="6" s="1"/>
  <c r="AU146" i="6" s="1"/>
  <c r="AU147" i="6" s="1"/>
  <c r="AU148" i="6" s="1"/>
  <c r="AU149" i="6" s="1"/>
  <c r="AU150" i="6" s="1"/>
  <c r="AU151" i="6" s="1"/>
  <c r="AU152" i="6" s="1"/>
  <c r="AU153" i="6" s="1"/>
  <c r="AU154" i="6" s="1"/>
  <c r="AU155" i="6" s="1"/>
  <c r="AU156" i="6" s="1"/>
  <c r="AU157" i="6" s="1"/>
  <c r="AU158" i="6" s="1"/>
  <c r="AU159" i="6" s="1"/>
  <c r="AU160" i="6" s="1"/>
  <c r="AU161" i="6" s="1"/>
  <c r="AU162" i="6" s="1"/>
  <c r="AU163" i="6" s="1"/>
  <c r="AU164" i="6" s="1"/>
  <c r="AU165" i="6" s="1"/>
  <c r="AU166" i="6" s="1"/>
  <c r="AU167" i="6" s="1"/>
  <c r="AU168" i="6" s="1"/>
  <c r="AU169" i="6" s="1"/>
  <c r="AU170" i="6" s="1"/>
  <c r="AU171" i="6" s="1"/>
  <c r="AU172" i="6" s="1"/>
  <c r="AU173" i="6" s="1"/>
  <c r="AU174" i="6" s="1"/>
  <c r="AU175" i="6" s="1"/>
  <c r="AU176" i="6" s="1"/>
  <c r="AU177" i="6" s="1"/>
  <c r="AU178" i="6" s="1"/>
  <c r="AU179" i="6" s="1"/>
  <c r="AU180" i="6" s="1"/>
  <c r="AU181" i="6" s="1"/>
  <c r="AU182" i="6" s="1"/>
  <c r="AU183" i="6" s="1"/>
  <c r="AU184" i="6" s="1"/>
  <c r="AU185" i="6" s="1"/>
  <c r="AU186" i="6" s="1"/>
  <c r="AU187" i="6" s="1"/>
  <c r="AU188" i="6" s="1"/>
  <c r="AU189" i="6" s="1"/>
  <c r="AU190" i="6" s="1"/>
  <c r="AU191" i="6" s="1"/>
  <c r="AU192" i="6" s="1"/>
  <c r="AU193" i="6" s="1"/>
  <c r="AU194" i="6" s="1"/>
  <c r="AU195" i="6" s="1"/>
  <c r="AU196" i="6" s="1"/>
  <c r="AU197" i="6" s="1"/>
  <c r="AU198" i="6" s="1"/>
  <c r="AU199" i="6" s="1"/>
  <c r="AU200" i="6" s="1"/>
  <c r="AU201" i="6" s="1"/>
  <c r="AU202" i="6" s="1"/>
  <c r="AU203" i="6" s="1"/>
  <c r="AU204" i="6" s="1"/>
  <c r="AU205" i="6" s="1"/>
  <c r="AU206" i="6" s="1"/>
  <c r="AU207" i="6" s="1"/>
  <c r="AU208" i="6" s="1"/>
  <c r="AU209" i="6" s="1"/>
  <c r="AU210" i="6" s="1"/>
  <c r="AU211" i="6" s="1"/>
  <c r="AU212" i="6" s="1"/>
  <c r="AU213" i="6" s="1"/>
  <c r="AU214" i="6" s="1"/>
  <c r="AU215" i="6" s="1"/>
  <c r="AU216" i="6" s="1"/>
  <c r="AU217" i="6" s="1"/>
  <c r="AU218" i="6" s="1"/>
  <c r="AU219" i="6" s="1"/>
  <c r="AU220" i="6" s="1"/>
  <c r="AU221" i="6" s="1"/>
  <c r="AU222" i="6" s="1"/>
  <c r="AU223" i="6" s="1"/>
  <c r="AU224" i="6" s="1"/>
  <c r="AU225" i="6" s="1"/>
  <c r="AU226" i="6" s="1"/>
  <c r="AU227" i="6" s="1"/>
  <c r="AU228" i="6" s="1"/>
  <c r="AU229" i="6" s="1"/>
  <c r="AU230" i="6" s="1"/>
  <c r="AU231" i="6" s="1"/>
  <c r="AU232" i="6" s="1"/>
  <c r="AU233" i="6" s="1"/>
  <c r="AU234" i="6" s="1"/>
  <c r="AU235" i="6" s="1"/>
  <c r="AU236" i="6" s="1"/>
  <c r="AU237" i="6" s="1"/>
  <c r="AU238" i="6" s="1"/>
  <c r="AU239" i="6" s="1"/>
  <c r="AU240" i="6" s="1"/>
  <c r="AU241" i="6" s="1"/>
  <c r="AU242" i="6" s="1"/>
  <c r="AU243" i="6" s="1"/>
  <c r="AU244" i="6" s="1"/>
  <c r="AU245" i="6" s="1"/>
  <c r="AU246" i="6" s="1"/>
  <c r="AU247" i="6" s="1"/>
  <c r="AU248" i="6" s="1"/>
  <c r="AU249" i="6" s="1"/>
  <c r="AU250" i="6" s="1"/>
  <c r="AU251" i="6" s="1"/>
  <c r="AU252" i="6" s="1"/>
  <c r="AU253" i="6" s="1"/>
  <c r="AU254" i="6" s="1"/>
  <c r="AU255" i="6" s="1"/>
  <c r="AY5" i="6"/>
  <c r="AY6" i="6" s="1"/>
  <c r="AY7" i="6" s="1"/>
  <c r="AY8" i="6" s="1"/>
  <c r="AY9" i="6" s="1"/>
  <c r="AY10" i="6" s="1"/>
  <c r="AY11" i="6" s="1"/>
  <c r="AY12" i="6" s="1"/>
  <c r="AY13" i="6" s="1"/>
  <c r="AY14" i="6" s="1"/>
  <c r="AY15" i="6" s="1"/>
  <c r="AY16" i="6" s="1"/>
  <c r="AY17" i="6" s="1"/>
  <c r="AY18" i="6" s="1"/>
  <c r="AY19" i="6" s="1"/>
  <c r="AY20" i="6" s="1"/>
  <c r="AY21" i="6" s="1"/>
  <c r="AY22" i="6" s="1"/>
  <c r="AY23" i="6" s="1"/>
  <c r="AY24" i="6" s="1"/>
  <c r="AY25" i="6" s="1"/>
  <c r="AY26" i="6" s="1"/>
  <c r="AY27" i="6" s="1"/>
  <c r="AY28" i="6" s="1"/>
  <c r="AY29" i="6" s="1"/>
  <c r="AY30" i="6" s="1"/>
  <c r="AY31" i="6" s="1"/>
  <c r="AY32" i="6" s="1"/>
  <c r="AY33" i="6" s="1"/>
  <c r="AY34" i="6" s="1"/>
  <c r="AY35" i="6" s="1"/>
  <c r="AY36" i="6" s="1"/>
  <c r="AY37" i="6" s="1"/>
  <c r="AY38" i="6" s="1"/>
  <c r="AY39" i="6" s="1"/>
  <c r="AY40" i="6" s="1"/>
  <c r="AY41" i="6" s="1"/>
  <c r="AY42" i="6" s="1"/>
  <c r="AY43" i="6" s="1"/>
  <c r="AY44" i="6" s="1"/>
  <c r="AY45" i="6" s="1"/>
  <c r="AY46" i="6" s="1"/>
  <c r="AY47" i="6" s="1"/>
  <c r="AY48" i="6" s="1"/>
  <c r="AY49" i="6" s="1"/>
  <c r="AY50" i="6" s="1"/>
  <c r="AY51" i="6" s="1"/>
  <c r="AY52" i="6" s="1"/>
  <c r="AY53" i="6" s="1"/>
  <c r="AY54" i="6" s="1"/>
  <c r="AY55" i="6" s="1"/>
  <c r="AY56" i="6" s="1"/>
  <c r="AY57" i="6" s="1"/>
  <c r="AY58" i="6" s="1"/>
  <c r="AY59" i="6" s="1"/>
  <c r="AY60" i="6" s="1"/>
  <c r="AY61" i="6" s="1"/>
  <c r="AY62" i="6" s="1"/>
  <c r="AY63" i="6" s="1"/>
  <c r="AY64" i="6" s="1"/>
  <c r="AY65" i="6" s="1"/>
  <c r="AY66" i="6" s="1"/>
  <c r="AY67" i="6" s="1"/>
  <c r="AY68" i="6" s="1"/>
  <c r="AY69" i="6" s="1"/>
  <c r="AY70" i="6" s="1"/>
  <c r="AY71" i="6" s="1"/>
  <c r="AY72" i="6" s="1"/>
  <c r="AY73" i="6" s="1"/>
  <c r="AY74" i="6" s="1"/>
  <c r="AY75" i="6" s="1"/>
  <c r="AY76" i="6" s="1"/>
  <c r="AY77" i="6" s="1"/>
  <c r="AY78" i="6" s="1"/>
  <c r="AY79" i="6" s="1"/>
  <c r="AY80" i="6" s="1"/>
  <c r="AY81" i="6" s="1"/>
  <c r="AY82" i="6" s="1"/>
  <c r="AY83" i="6" s="1"/>
  <c r="AY84" i="6" s="1"/>
  <c r="AY85" i="6" s="1"/>
  <c r="AY86" i="6" s="1"/>
  <c r="AY87" i="6" s="1"/>
  <c r="AY88" i="6" s="1"/>
  <c r="AY89" i="6" s="1"/>
  <c r="AY90" i="6" s="1"/>
  <c r="AY91" i="6" s="1"/>
  <c r="AY92" i="6" s="1"/>
  <c r="AY93" i="6" s="1"/>
  <c r="AY94" i="6" s="1"/>
  <c r="AY95" i="6" s="1"/>
  <c r="AY96" i="6" s="1"/>
  <c r="AY97" i="6" s="1"/>
  <c r="AY98" i="6" s="1"/>
  <c r="AY99" i="6" s="1"/>
  <c r="AY100" i="6" s="1"/>
  <c r="AY101" i="6" s="1"/>
  <c r="AY102" i="6" s="1"/>
  <c r="AY103" i="6" s="1"/>
  <c r="AY104" i="6" s="1"/>
  <c r="AY105" i="6" s="1"/>
  <c r="AY106" i="6" s="1"/>
  <c r="AY107" i="6" s="1"/>
  <c r="AY108" i="6" s="1"/>
  <c r="AY109" i="6" s="1"/>
  <c r="AY110" i="6" s="1"/>
  <c r="AY111" i="6" s="1"/>
  <c r="AY112" i="6" s="1"/>
  <c r="AY113" i="6" s="1"/>
  <c r="AY114" i="6" s="1"/>
  <c r="AY115" i="6" s="1"/>
  <c r="AY116" i="6" s="1"/>
  <c r="AY117" i="6" s="1"/>
  <c r="AY118" i="6" s="1"/>
  <c r="AY119" i="6" s="1"/>
  <c r="AY120" i="6" s="1"/>
  <c r="AY121" i="6" s="1"/>
  <c r="AY122" i="6" s="1"/>
  <c r="AY123" i="6" s="1"/>
  <c r="AY124" i="6" s="1"/>
  <c r="AY125" i="6" s="1"/>
  <c r="AY126" i="6" s="1"/>
  <c r="AY127" i="6" s="1"/>
  <c r="AY128" i="6" s="1"/>
  <c r="AY129" i="6" s="1"/>
  <c r="AY130" i="6" s="1"/>
  <c r="AY131" i="6" s="1"/>
  <c r="AY132" i="6" s="1"/>
  <c r="AY133" i="6" s="1"/>
  <c r="AY134" i="6" s="1"/>
  <c r="AY135" i="6" s="1"/>
  <c r="AY136" i="6" s="1"/>
  <c r="AY137" i="6" s="1"/>
  <c r="AY138" i="6" s="1"/>
  <c r="AY139" i="6" s="1"/>
  <c r="AY140" i="6" s="1"/>
  <c r="AY141" i="6" s="1"/>
  <c r="AY142" i="6" s="1"/>
  <c r="AY143" i="6" s="1"/>
  <c r="AY144" i="6" s="1"/>
  <c r="AY145" i="6" s="1"/>
  <c r="AY146" i="6" s="1"/>
  <c r="AY147" i="6" s="1"/>
  <c r="AY148" i="6" s="1"/>
  <c r="AY149" i="6" s="1"/>
  <c r="AY150" i="6" s="1"/>
  <c r="AY151" i="6" s="1"/>
  <c r="AY152" i="6" s="1"/>
  <c r="AY153" i="6" s="1"/>
  <c r="AY154" i="6" s="1"/>
  <c r="AY155" i="6" s="1"/>
  <c r="AY156" i="6" s="1"/>
  <c r="AY157" i="6" s="1"/>
  <c r="AY158" i="6" s="1"/>
  <c r="AY159" i="6" s="1"/>
  <c r="AY160" i="6" s="1"/>
  <c r="AY161" i="6" s="1"/>
  <c r="AY162" i="6" s="1"/>
  <c r="AY163" i="6" s="1"/>
  <c r="AY164" i="6" s="1"/>
  <c r="AY165" i="6" s="1"/>
  <c r="AY166" i="6" s="1"/>
  <c r="AY167" i="6" s="1"/>
  <c r="AY168" i="6" s="1"/>
  <c r="AY169" i="6" s="1"/>
  <c r="AY170" i="6" s="1"/>
  <c r="AY171" i="6" s="1"/>
  <c r="AY172" i="6" s="1"/>
  <c r="AY173" i="6" s="1"/>
  <c r="AY174" i="6" s="1"/>
  <c r="AY175" i="6" s="1"/>
  <c r="AY176" i="6" s="1"/>
  <c r="AY177" i="6" s="1"/>
  <c r="AY178" i="6" s="1"/>
  <c r="AY179" i="6" s="1"/>
  <c r="AY180" i="6" s="1"/>
  <c r="AY181" i="6" s="1"/>
  <c r="AY182" i="6" s="1"/>
  <c r="AY183" i="6" s="1"/>
  <c r="AY184" i="6" s="1"/>
  <c r="AY185" i="6" s="1"/>
  <c r="AY186" i="6" s="1"/>
  <c r="AY187" i="6" s="1"/>
  <c r="AY188" i="6" s="1"/>
  <c r="AY189" i="6" s="1"/>
  <c r="AY190" i="6" s="1"/>
  <c r="AY191" i="6" s="1"/>
  <c r="AY192" i="6" s="1"/>
  <c r="AY193" i="6" s="1"/>
  <c r="AY194" i="6" s="1"/>
  <c r="AY195" i="6" s="1"/>
  <c r="AY196" i="6" s="1"/>
  <c r="AY197" i="6" s="1"/>
  <c r="AY198" i="6" s="1"/>
  <c r="AY199" i="6" s="1"/>
  <c r="AY200" i="6" s="1"/>
  <c r="AY201" i="6" s="1"/>
  <c r="AY202" i="6" s="1"/>
  <c r="AY203" i="6" s="1"/>
  <c r="AY204" i="6" s="1"/>
  <c r="AY205" i="6" s="1"/>
  <c r="AY206" i="6" s="1"/>
  <c r="AY207" i="6" s="1"/>
  <c r="AY208" i="6" s="1"/>
  <c r="AY209" i="6" s="1"/>
  <c r="AY210" i="6" s="1"/>
  <c r="AY211" i="6" s="1"/>
  <c r="AY212" i="6" s="1"/>
  <c r="AY213" i="6" s="1"/>
  <c r="AY214" i="6" s="1"/>
  <c r="AY215" i="6" s="1"/>
  <c r="AY216" i="6" s="1"/>
  <c r="AY217" i="6" s="1"/>
  <c r="AY218" i="6" s="1"/>
  <c r="AY219" i="6" s="1"/>
  <c r="AY220" i="6" s="1"/>
  <c r="AY221" i="6" s="1"/>
  <c r="AY222" i="6" s="1"/>
  <c r="AY223" i="6" s="1"/>
  <c r="AY224" i="6" s="1"/>
  <c r="AY225" i="6" s="1"/>
  <c r="AY226" i="6" s="1"/>
  <c r="AY227" i="6" s="1"/>
  <c r="AY228" i="6" s="1"/>
  <c r="AY229" i="6" s="1"/>
  <c r="AY230" i="6" s="1"/>
  <c r="AY231" i="6" s="1"/>
  <c r="AY232" i="6" s="1"/>
  <c r="AY233" i="6" s="1"/>
  <c r="AY234" i="6" s="1"/>
  <c r="AY235" i="6" s="1"/>
  <c r="AY236" i="6" s="1"/>
  <c r="AY237" i="6" s="1"/>
  <c r="AY238" i="6" s="1"/>
  <c r="AY239" i="6" s="1"/>
  <c r="AY240" i="6" s="1"/>
  <c r="AY241" i="6" s="1"/>
  <c r="AY242" i="6" s="1"/>
  <c r="AY243" i="6" s="1"/>
  <c r="AY244" i="6" s="1"/>
  <c r="AY245" i="6" s="1"/>
  <c r="AY246" i="6" s="1"/>
  <c r="AY247" i="6" s="1"/>
  <c r="AY248" i="6" s="1"/>
  <c r="AY249" i="6" s="1"/>
  <c r="AY250" i="6" s="1"/>
  <c r="AY251" i="6" s="1"/>
  <c r="AY252" i="6" s="1"/>
  <c r="AY253" i="6" s="1"/>
  <c r="AY254" i="6" s="1"/>
  <c r="AY255" i="6" s="1"/>
  <c r="AZ5" i="6"/>
  <c r="AZ6" i="6" s="1"/>
  <c r="AZ7" i="6" s="1"/>
  <c r="AZ8" i="6" s="1"/>
  <c r="AZ9" i="6" s="1"/>
  <c r="AZ10" i="6" s="1"/>
  <c r="AZ11" i="6" s="1"/>
  <c r="AZ12" i="6" s="1"/>
  <c r="AZ13" i="6" s="1"/>
  <c r="AZ14" i="6" s="1"/>
  <c r="AZ15" i="6" s="1"/>
  <c r="AZ16" i="6" s="1"/>
  <c r="AZ17" i="6" s="1"/>
  <c r="AZ18" i="6" s="1"/>
  <c r="AZ19" i="6" s="1"/>
  <c r="AZ20" i="6" s="1"/>
  <c r="AZ21" i="6" s="1"/>
  <c r="AZ22" i="6" s="1"/>
  <c r="AZ23" i="6" s="1"/>
  <c r="AZ24" i="6" s="1"/>
  <c r="AZ25" i="6" s="1"/>
  <c r="AZ26" i="6" s="1"/>
  <c r="AZ27" i="6" s="1"/>
  <c r="AZ28" i="6" s="1"/>
  <c r="AZ29" i="6" s="1"/>
  <c r="AZ30" i="6" s="1"/>
  <c r="AZ31" i="6" s="1"/>
  <c r="AZ32" i="6" s="1"/>
  <c r="AZ33" i="6" s="1"/>
  <c r="AZ34" i="6" s="1"/>
  <c r="AZ35" i="6" s="1"/>
  <c r="AZ36" i="6" s="1"/>
  <c r="AZ37" i="6" s="1"/>
  <c r="AZ38" i="6" s="1"/>
  <c r="AZ39" i="6" s="1"/>
  <c r="AZ40" i="6" s="1"/>
  <c r="AZ41" i="6" s="1"/>
  <c r="AZ42" i="6" s="1"/>
  <c r="AZ43" i="6" s="1"/>
  <c r="AZ44" i="6" s="1"/>
  <c r="AZ45" i="6" s="1"/>
  <c r="AZ46" i="6" s="1"/>
  <c r="AZ47" i="6" s="1"/>
  <c r="AZ48" i="6" s="1"/>
  <c r="AZ49" i="6" s="1"/>
  <c r="AZ50" i="6" s="1"/>
  <c r="AZ51" i="6" s="1"/>
  <c r="AZ52" i="6" s="1"/>
  <c r="AZ53" i="6" s="1"/>
  <c r="AZ54" i="6" s="1"/>
  <c r="AZ55" i="6" s="1"/>
  <c r="AZ56" i="6" s="1"/>
  <c r="AZ57" i="6" s="1"/>
  <c r="AZ58" i="6" s="1"/>
  <c r="AZ59" i="6" s="1"/>
  <c r="AZ60" i="6" s="1"/>
  <c r="AZ61" i="6" s="1"/>
  <c r="AZ62" i="6" s="1"/>
  <c r="AZ63" i="6" s="1"/>
  <c r="AZ64" i="6" s="1"/>
  <c r="AZ65" i="6" s="1"/>
  <c r="AZ66" i="6" s="1"/>
  <c r="AZ67" i="6" s="1"/>
  <c r="AZ68" i="6" s="1"/>
  <c r="AZ69" i="6" s="1"/>
  <c r="AZ70" i="6" s="1"/>
  <c r="AZ71" i="6" s="1"/>
  <c r="AZ72" i="6" s="1"/>
  <c r="AZ73" i="6" s="1"/>
  <c r="AZ74" i="6" s="1"/>
  <c r="AZ75" i="6" s="1"/>
  <c r="AZ76" i="6" s="1"/>
  <c r="AZ77" i="6" s="1"/>
  <c r="AZ78" i="6" s="1"/>
  <c r="AZ79" i="6" s="1"/>
  <c r="AZ80" i="6" s="1"/>
  <c r="AZ81" i="6" s="1"/>
  <c r="AZ82" i="6" s="1"/>
  <c r="AZ83" i="6" s="1"/>
  <c r="AZ84" i="6" s="1"/>
  <c r="AZ85" i="6" s="1"/>
  <c r="AZ86" i="6" s="1"/>
  <c r="AZ87" i="6" s="1"/>
  <c r="AZ88" i="6" s="1"/>
  <c r="AZ89" i="6" s="1"/>
  <c r="AZ90" i="6" s="1"/>
  <c r="AZ91" i="6" s="1"/>
  <c r="AZ92" i="6" s="1"/>
  <c r="AZ93" i="6" s="1"/>
  <c r="AZ94" i="6" s="1"/>
  <c r="AZ95" i="6" s="1"/>
  <c r="AZ96" i="6" s="1"/>
  <c r="AZ97" i="6" s="1"/>
  <c r="AZ98" i="6" s="1"/>
  <c r="AZ99" i="6" s="1"/>
  <c r="AZ100" i="6" s="1"/>
  <c r="AZ101" i="6" s="1"/>
  <c r="AZ102" i="6" s="1"/>
  <c r="AZ103" i="6" s="1"/>
  <c r="AZ104" i="6" s="1"/>
  <c r="AZ105" i="6" s="1"/>
  <c r="AZ106" i="6" s="1"/>
  <c r="AZ107" i="6" s="1"/>
  <c r="AZ108" i="6" s="1"/>
  <c r="AZ109" i="6" s="1"/>
  <c r="AZ110" i="6" s="1"/>
  <c r="AZ111" i="6" s="1"/>
  <c r="AZ112" i="6" s="1"/>
  <c r="AZ113" i="6" s="1"/>
  <c r="AZ114" i="6" s="1"/>
  <c r="AZ115" i="6" s="1"/>
  <c r="AZ116" i="6" s="1"/>
  <c r="AZ117" i="6" s="1"/>
  <c r="AZ118" i="6" s="1"/>
  <c r="AZ119" i="6" s="1"/>
  <c r="AZ120" i="6" s="1"/>
  <c r="AZ121" i="6" s="1"/>
  <c r="AZ122" i="6" s="1"/>
  <c r="AZ123" i="6" s="1"/>
  <c r="AZ124" i="6" s="1"/>
  <c r="AZ125" i="6" s="1"/>
  <c r="AZ126" i="6" s="1"/>
  <c r="AZ127" i="6" s="1"/>
  <c r="AZ128" i="6" s="1"/>
  <c r="AZ129" i="6" s="1"/>
  <c r="AZ130" i="6" s="1"/>
  <c r="AZ131" i="6" s="1"/>
  <c r="AZ132" i="6" s="1"/>
  <c r="AZ133" i="6" s="1"/>
  <c r="AZ134" i="6" s="1"/>
  <c r="AZ135" i="6" s="1"/>
  <c r="AZ136" i="6" s="1"/>
  <c r="AZ137" i="6" s="1"/>
  <c r="AZ138" i="6" s="1"/>
  <c r="AZ139" i="6" s="1"/>
  <c r="AZ140" i="6" s="1"/>
  <c r="AZ141" i="6" s="1"/>
  <c r="AZ142" i="6" s="1"/>
  <c r="AZ143" i="6" s="1"/>
  <c r="AZ144" i="6" s="1"/>
  <c r="AZ145" i="6" s="1"/>
  <c r="AZ146" i="6" s="1"/>
  <c r="AZ147" i="6" s="1"/>
  <c r="AZ148" i="6" s="1"/>
  <c r="AZ149" i="6" s="1"/>
  <c r="AZ150" i="6" s="1"/>
  <c r="AZ151" i="6" s="1"/>
  <c r="AZ152" i="6" s="1"/>
  <c r="AZ153" i="6" s="1"/>
  <c r="AZ154" i="6" s="1"/>
  <c r="AZ155" i="6" s="1"/>
  <c r="AZ156" i="6" s="1"/>
  <c r="AZ157" i="6" s="1"/>
  <c r="AZ158" i="6" s="1"/>
  <c r="AZ159" i="6" s="1"/>
  <c r="AZ160" i="6" s="1"/>
  <c r="AZ161" i="6" s="1"/>
  <c r="AZ162" i="6" s="1"/>
  <c r="AZ163" i="6" s="1"/>
  <c r="AZ164" i="6" s="1"/>
  <c r="AZ165" i="6" s="1"/>
  <c r="AZ166" i="6" s="1"/>
  <c r="AZ167" i="6" s="1"/>
  <c r="AZ168" i="6" s="1"/>
  <c r="AZ169" i="6" s="1"/>
  <c r="AZ170" i="6" s="1"/>
  <c r="AZ171" i="6" s="1"/>
  <c r="AZ172" i="6" s="1"/>
  <c r="AZ173" i="6" s="1"/>
  <c r="AZ174" i="6" s="1"/>
  <c r="AZ175" i="6" s="1"/>
  <c r="AZ176" i="6" s="1"/>
  <c r="AZ177" i="6" s="1"/>
  <c r="AZ178" i="6" s="1"/>
  <c r="AZ179" i="6" s="1"/>
  <c r="AZ180" i="6" s="1"/>
  <c r="AZ181" i="6" s="1"/>
  <c r="AZ182" i="6" s="1"/>
  <c r="AZ183" i="6" s="1"/>
  <c r="AZ184" i="6" s="1"/>
  <c r="AZ185" i="6" s="1"/>
  <c r="AZ186" i="6" s="1"/>
  <c r="AZ187" i="6" s="1"/>
  <c r="AZ188" i="6" s="1"/>
  <c r="AZ189" i="6" s="1"/>
  <c r="AZ190" i="6" s="1"/>
  <c r="AZ191" i="6" s="1"/>
  <c r="AZ192" i="6" s="1"/>
  <c r="AZ193" i="6" s="1"/>
  <c r="AZ194" i="6" s="1"/>
  <c r="AZ195" i="6" s="1"/>
  <c r="AZ196" i="6" s="1"/>
  <c r="AZ197" i="6" s="1"/>
  <c r="AZ198" i="6" s="1"/>
  <c r="AZ199" i="6" s="1"/>
  <c r="AZ200" i="6" s="1"/>
  <c r="AZ201" i="6" s="1"/>
  <c r="AZ202" i="6" s="1"/>
  <c r="AZ203" i="6" s="1"/>
  <c r="AZ204" i="6" s="1"/>
  <c r="AZ205" i="6" s="1"/>
  <c r="AZ206" i="6" s="1"/>
  <c r="AZ207" i="6" s="1"/>
  <c r="AZ208" i="6" s="1"/>
  <c r="AZ209" i="6" s="1"/>
  <c r="AZ210" i="6" s="1"/>
  <c r="AZ211" i="6" s="1"/>
  <c r="AZ212" i="6" s="1"/>
  <c r="AZ213" i="6" s="1"/>
  <c r="AZ214" i="6" s="1"/>
  <c r="AZ215" i="6" s="1"/>
  <c r="AZ216" i="6" s="1"/>
  <c r="AZ217" i="6" s="1"/>
  <c r="AZ218" i="6" s="1"/>
  <c r="AZ219" i="6" s="1"/>
  <c r="AZ220" i="6" s="1"/>
  <c r="AZ221" i="6" s="1"/>
  <c r="AZ222" i="6" s="1"/>
  <c r="AZ223" i="6" s="1"/>
  <c r="AZ224" i="6" s="1"/>
  <c r="AZ225" i="6" s="1"/>
  <c r="AZ226" i="6" s="1"/>
  <c r="AZ227" i="6" s="1"/>
  <c r="AZ228" i="6" s="1"/>
  <c r="AZ229" i="6" s="1"/>
  <c r="AZ230" i="6" s="1"/>
  <c r="AZ231" i="6" s="1"/>
  <c r="AZ232" i="6" s="1"/>
  <c r="AZ233" i="6" s="1"/>
  <c r="AZ234" i="6" s="1"/>
  <c r="AZ235" i="6" s="1"/>
  <c r="AZ236" i="6" s="1"/>
  <c r="AZ237" i="6" s="1"/>
  <c r="AZ238" i="6" s="1"/>
  <c r="AZ239" i="6" s="1"/>
  <c r="AZ240" i="6" s="1"/>
  <c r="AZ241" i="6" s="1"/>
  <c r="AZ242" i="6" s="1"/>
  <c r="AZ243" i="6" s="1"/>
  <c r="AZ244" i="6" s="1"/>
  <c r="AZ245" i="6" s="1"/>
  <c r="AZ246" i="6" s="1"/>
  <c r="AZ247" i="6" s="1"/>
  <c r="AZ248" i="6" s="1"/>
  <c r="AZ249" i="6" s="1"/>
  <c r="AZ250" i="6" s="1"/>
  <c r="AZ251" i="6" s="1"/>
  <c r="AZ252" i="6" s="1"/>
  <c r="AZ253" i="6" s="1"/>
  <c r="AZ254" i="6" s="1"/>
  <c r="AZ255" i="6" s="1"/>
  <c r="BC5" i="6"/>
  <c r="BC6" i="6" s="1"/>
  <c r="BC7" i="6" s="1"/>
  <c r="BC8" i="6" s="1"/>
  <c r="BC9" i="6" s="1"/>
  <c r="BC10" i="6" s="1"/>
  <c r="BC11" i="6" s="1"/>
  <c r="BC12" i="6" s="1"/>
  <c r="BC13" i="6" s="1"/>
  <c r="BC14" i="6" s="1"/>
  <c r="BC15" i="6" s="1"/>
  <c r="BC16" i="6" s="1"/>
  <c r="BC17" i="6" s="1"/>
  <c r="BC18" i="6" s="1"/>
  <c r="BC19" i="6" s="1"/>
  <c r="BC20" i="6" s="1"/>
  <c r="BC21" i="6" s="1"/>
  <c r="BC22" i="6" s="1"/>
  <c r="BC23" i="6" s="1"/>
  <c r="BC24" i="6" s="1"/>
  <c r="BC25" i="6" s="1"/>
  <c r="BC26" i="6" s="1"/>
  <c r="BC27" i="6" s="1"/>
  <c r="BC28" i="6" s="1"/>
  <c r="BC29" i="6" s="1"/>
  <c r="BC30" i="6" s="1"/>
  <c r="BC31" i="6" s="1"/>
  <c r="BC32" i="6" s="1"/>
  <c r="BC33" i="6" s="1"/>
  <c r="BC34" i="6" s="1"/>
  <c r="BC35" i="6" s="1"/>
  <c r="BC36" i="6" s="1"/>
  <c r="BC37" i="6" s="1"/>
  <c r="BC38" i="6" s="1"/>
  <c r="BC39" i="6" s="1"/>
  <c r="BC40" i="6" s="1"/>
  <c r="BC41" i="6" s="1"/>
  <c r="BC42" i="6" s="1"/>
  <c r="BC43" i="6" s="1"/>
  <c r="BC44" i="6" s="1"/>
  <c r="BC45" i="6" s="1"/>
  <c r="BC46" i="6" s="1"/>
  <c r="BC47" i="6" s="1"/>
  <c r="BC48" i="6" s="1"/>
  <c r="BC49" i="6" s="1"/>
  <c r="BC50" i="6" s="1"/>
  <c r="BC51" i="6" s="1"/>
  <c r="BC52" i="6" s="1"/>
  <c r="BC53" i="6" s="1"/>
  <c r="BC54" i="6" s="1"/>
  <c r="BC55" i="6" s="1"/>
  <c r="BC56" i="6" s="1"/>
  <c r="BC57" i="6" s="1"/>
  <c r="BC58" i="6" s="1"/>
  <c r="BC59" i="6" s="1"/>
  <c r="BC60" i="6" s="1"/>
  <c r="BC61" i="6" s="1"/>
  <c r="BC62" i="6" s="1"/>
  <c r="BC63" i="6" s="1"/>
  <c r="BC64" i="6" s="1"/>
  <c r="BC65" i="6" s="1"/>
  <c r="BC66" i="6" s="1"/>
  <c r="BC67" i="6" s="1"/>
  <c r="BC68" i="6" s="1"/>
  <c r="BC69" i="6" s="1"/>
  <c r="BC70" i="6" s="1"/>
  <c r="BC71" i="6" s="1"/>
  <c r="BC72" i="6" s="1"/>
  <c r="BC73" i="6" s="1"/>
  <c r="BC74" i="6" s="1"/>
  <c r="BC75" i="6" s="1"/>
  <c r="BC76" i="6" s="1"/>
  <c r="BC77" i="6" s="1"/>
  <c r="BC78" i="6" s="1"/>
  <c r="BC79" i="6" s="1"/>
  <c r="BC80" i="6" s="1"/>
  <c r="BC81" i="6" s="1"/>
  <c r="BC82" i="6" s="1"/>
  <c r="BC83" i="6" s="1"/>
  <c r="BC84" i="6" s="1"/>
  <c r="BC85" i="6" s="1"/>
  <c r="BC86" i="6" s="1"/>
  <c r="BC87" i="6" s="1"/>
  <c r="BC88" i="6" s="1"/>
  <c r="BC89" i="6" s="1"/>
  <c r="BC90" i="6" s="1"/>
  <c r="BC91" i="6" s="1"/>
  <c r="BC92" i="6" s="1"/>
  <c r="BC93" i="6" s="1"/>
  <c r="BC94" i="6" s="1"/>
  <c r="BC95" i="6" s="1"/>
  <c r="BC96" i="6" s="1"/>
  <c r="BC97" i="6" s="1"/>
  <c r="BC98" i="6" s="1"/>
  <c r="BC99" i="6" s="1"/>
  <c r="BC100" i="6" s="1"/>
  <c r="BC101" i="6" s="1"/>
  <c r="BC102" i="6" s="1"/>
  <c r="BC103" i="6" s="1"/>
  <c r="BC104" i="6" s="1"/>
  <c r="BC105" i="6" s="1"/>
  <c r="BC106" i="6" s="1"/>
  <c r="BC107" i="6" s="1"/>
  <c r="BC108" i="6" s="1"/>
  <c r="BC109" i="6" s="1"/>
  <c r="BC110" i="6" s="1"/>
  <c r="BC111" i="6" s="1"/>
  <c r="BC112" i="6" s="1"/>
  <c r="BC113" i="6" s="1"/>
  <c r="BC114" i="6" s="1"/>
  <c r="BC115" i="6" s="1"/>
  <c r="BC116" i="6" s="1"/>
  <c r="BC117" i="6" s="1"/>
  <c r="BC118" i="6" s="1"/>
  <c r="BC119" i="6" s="1"/>
  <c r="BC120" i="6" s="1"/>
  <c r="BC121" i="6" s="1"/>
  <c r="BC122" i="6" s="1"/>
  <c r="BC123" i="6" s="1"/>
  <c r="BC124" i="6" s="1"/>
  <c r="BC125" i="6" s="1"/>
  <c r="BC126" i="6" s="1"/>
  <c r="BC127" i="6" s="1"/>
  <c r="BC128" i="6" s="1"/>
  <c r="BC129" i="6" s="1"/>
  <c r="BC130" i="6" s="1"/>
  <c r="BC131" i="6" s="1"/>
  <c r="BC132" i="6" s="1"/>
  <c r="BC133" i="6" s="1"/>
  <c r="BC134" i="6" s="1"/>
  <c r="BC135" i="6" s="1"/>
  <c r="BC136" i="6" s="1"/>
  <c r="BC137" i="6" s="1"/>
  <c r="BC138" i="6" s="1"/>
  <c r="BC139" i="6" s="1"/>
  <c r="BC140" i="6" s="1"/>
  <c r="BC141" i="6" s="1"/>
  <c r="BC142" i="6" s="1"/>
  <c r="BC143" i="6" s="1"/>
  <c r="BC144" i="6" s="1"/>
  <c r="BC145" i="6" s="1"/>
  <c r="BC146" i="6" s="1"/>
  <c r="BC147" i="6" s="1"/>
  <c r="BC148" i="6" s="1"/>
  <c r="BC149" i="6" s="1"/>
  <c r="BC150" i="6" s="1"/>
  <c r="BC151" i="6" s="1"/>
  <c r="BC152" i="6" s="1"/>
  <c r="BC153" i="6" s="1"/>
  <c r="BC154" i="6" s="1"/>
  <c r="BC155" i="6" s="1"/>
  <c r="BC156" i="6" s="1"/>
  <c r="BC157" i="6" s="1"/>
  <c r="BC158" i="6" s="1"/>
  <c r="BC159" i="6" s="1"/>
  <c r="BC160" i="6" s="1"/>
  <c r="BC161" i="6" s="1"/>
  <c r="BC162" i="6" s="1"/>
  <c r="BC163" i="6" s="1"/>
  <c r="BC164" i="6" s="1"/>
  <c r="BC165" i="6" s="1"/>
  <c r="BC166" i="6" s="1"/>
  <c r="BC167" i="6" s="1"/>
  <c r="BC168" i="6" s="1"/>
  <c r="BC169" i="6" s="1"/>
  <c r="BC170" i="6" s="1"/>
  <c r="BC171" i="6" s="1"/>
  <c r="BC172" i="6" s="1"/>
  <c r="BC173" i="6" s="1"/>
  <c r="BC174" i="6" s="1"/>
  <c r="BC175" i="6" s="1"/>
  <c r="BC176" i="6" s="1"/>
  <c r="BC177" i="6" s="1"/>
  <c r="BC178" i="6" s="1"/>
  <c r="BC179" i="6" s="1"/>
  <c r="BC180" i="6" s="1"/>
  <c r="BC181" i="6" s="1"/>
  <c r="BC182" i="6" s="1"/>
  <c r="BC183" i="6" s="1"/>
  <c r="BC184" i="6" s="1"/>
  <c r="BC185" i="6" s="1"/>
  <c r="BC186" i="6" s="1"/>
  <c r="BC187" i="6" s="1"/>
  <c r="BC188" i="6" s="1"/>
  <c r="BC189" i="6" s="1"/>
  <c r="BC190" i="6" s="1"/>
  <c r="BC191" i="6" s="1"/>
  <c r="BC192" i="6" s="1"/>
  <c r="BC193" i="6" s="1"/>
  <c r="BC194" i="6" s="1"/>
  <c r="BC195" i="6" s="1"/>
  <c r="BC196" i="6" s="1"/>
  <c r="BC197" i="6" s="1"/>
  <c r="BC198" i="6" s="1"/>
  <c r="BC199" i="6" s="1"/>
  <c r="BC200" i="6" s="1"/>
  <c r="BC201" i="6" s="1"/>
  <c r="BC202" i="6" s="1"/>
  <c r="BC203" i="6" s="1"/>
  <c r="BC204" i="6" s="1"/>
  <c r="BC205" i="6" s="1"/>
  <c r="BC206" i="6" s="1"/>
  <c r="BC207" i="6" s="1"/>
  <c r="BC208" i="6" s="1"/>
  <c r="BC209" i="6" s="1"/>
  <c r="BC210" i="6" s="1"/>
  <c r="BC211" i="6" s="1"/>
  <c r="BC212" i="6" s="1"/>
  <c r="BC213" i="6" s="1"/>
  <c r="BC214" i="6" s="1"/>
  <c r="BC215" i="6" s="1"/>
  <c r="BC216" i="6" s="1"/>
  <c r="BC217" i="6" s="1"/>
  <c r="BC218" i="6" s="1"/>
  <c r="BC219" i="6" s="1"/>
  <c r="BC220" i="6" s="1"/>
  <c r="BC221" i="6" s="1"/>
  <c r="BC222" i="6" s="1"/>
  <c r="BC223" i="6" s="1"/>
  <c r="BC224" i="6" s="1"/>
  <c r="BC225" i="6" s="1"/>
  <c r="BC226" i="6" s="1"/>
  <c r="BC227" i="6" s="1"/>
  <c r="BC228" i="6" s="1"/>
  <c r="BC229" i="6" s="1"/>
  <c r="BC230" i="6" s="1"/>
  <c r="BC231" i="6" s="1"/>
  <c r="BC232" i="6" s="1"/>
  <c r="BC233" i="6" s="1"/>
  <c r="BC234" i="6" s="1"/>
  <c r="BC235" i="6" s="1"/>
  <c r="BC236" i="6" s="1"/>
  <c r="BC237" i="6" s="1"/>
  <c r="BC238" i="6" s="1"/>
  <c r="BC239" i="6" s="1"/>
  <c r="BC240" i="6" s="1"/>
  <c r="BC241" i="6" s="1"/>
  <c r="BC242" i="6" s="1"/>
  <c r="BC243" i="6" s="1"/>
  <c r="BC244" i="6" s="1"/>
  <c r="BC245" i="6" s="1"/>
  <c r="BC246" i="6" s="1"/>
  <c r="BC247" i="6" s="1"/>
  <c r="BC248" i="6" s="1"/>
  <c r="BC249" i="6" s="1"/>
  <c r="BC250" i="6" s="1"/>
  <c r="BC251" i="6" s="1"/>
  <c r="BC252" i="6" s="1"/>
  <c r="BC253" i="6" s="1"/>
  <c r="BC254" i="6" s="1"/>
  <c r="BC255" i="6" s="1"/>
  <c r="BD5" i="6"/>
  <c r="BD6" i="6" s="1"/>
  <c r="BD7" i="6" s="1"/>
  <c r="BD8" i="6" s="1"/>
  <c r="BD9" i="6" s="1"/>
  <c r="BD10" i="6" s="1"/>
  <c r="BD11" i="6" s="1"/>
  <c r="BD12" i="6" s="1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D23" i="6" s="1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D42" i="6" s="1"/>
  <c r="BD43" i="6" s="1"/>
  <c r="BD44" i="6" s="1"/>
  <c r="BD45" i="6" s="1"/>
  <c r="BD46" i="6" s="1"/>
  <c r="BD47" i="6" s="1"/>
  <c r="BD48" i="6" s="1"/>
  <c r="BD49" i="6" s="1"/>
  <c r="BD50" i="6" s="1"/>
  <c r="BD51" i="6" s="1"/>
  <c r="BD52" i="6" s="1"/>
  <c r="BD53" i="6" s="1"/>
  <c r="BD54" i="6" s="1"/>
  <c r="BD55" i="6" s="1"/>
  <c r="BD56" i="6" s="1"/>
  <c r="BD57" i="6" s="1"/>
  <c r="BD58" i="6" s="1"/>
  <c r="BD59" i="6" s="1"/>
  <c r="BD60" i="6" s="1"/>
  <c r="BD61" i="6" s="1"/>
  <c r="BD62" i="6" s="1"/>
  <c r="BD63" i="6" s="1"/>
  <c r="BD64" i="6" s="1"/>
  <c r="BD65" i="6" s="1"/>
  <c r="BD66" i="6" s="1"/>
  <c r="BD67" i="6" s="1"/>
  <c r="BD68" i="6" s="1"/>
  <c r="BD69" i="6" s="1"/>
  <c r="BD70" i="6" s="1"/>
  <c r="BD71" i="6" s="1"/>
  <c r="BD72" i="6" s="1"/>
  <c r="BD73" i="6" s="1"/>
  <c r="BD74" i="6" s="1"/>
  <c r="BD75" i="6" s="1"/>
  <c r="BD76" i="6" s="1"/>
  <c r="BD77" i="6" s="1"/>
  <c r="BD78" i="6" s="1"/>
  <c r="BD79" i="6" s="1"/>
  <c r="BD80" i="6" s="1"/>
  <c r="BD81" i="6" s="1"/>
  <c r="BD82" i="6" s="1"/>
  <c r="BD83" i="6" s="1"/>
  <c r="BD84" i="6" s="1"/>
  <c r="BD85" i="6" s="1"/>
  <c r="BD86" i="6" s="1"/>
  <c r="BD87" i="6" s="1"/>
  <c r="BD88" i="6" s="1"/>
  <c r="BD89" i="6" s="1"/>
  <c r="BD90" i="6" s="1"/>
  <c r="BD91" i="6" s="1"/>
  <c r="BD92" i="6" s="1"/>
  <c r="BD93" i="6" s="1"/>
  <c r="BD94" i="6" s="1"/>
  <c r="BD95" i="6" s="1"/>
  <c r="BD96" i="6" s="1"/>
  <c r="BD97" i="6" s="1"/>
  <c r="BD98" i="6" s="1"/>
  <c r="BD99" i="6" s="1"/>
  <c r="BD100" i="6" s="1"/>
  <c r="BD101" i="6" s="1"/>
  <c r="BD102" i="6" s="1"/>
  <c r="BD103" i="6" s="1"/>
  <c r="BD104" i="6" s="1"/>
  <c r="BD105" i="6" s="1"/>
  <c r="BD106" i="6" s="1"/>
  <c r="BD107" i="6" s="1"/>
  <c r="BD108" i="6" s="1"/>
  <c r="BD109" i="6" s="1"/>
  <c r="BD110" i="6" s="1"/>
  <c r="BD111" i="6" s="1"/>
  <c r="BD112" i="6" s="1"/>
  <c r="BD113" i="6" s="1"/>
  <c r="BD114" i="6" s="1"/>
  <c r="BD115" i="6" s="1"/>
  <c r="BD116" i="6" s="1"/>
  <c r="BD117" i="6" s="1"/>
  <c r="BD118" i="6" s="1"/>
  <c r="BD119" i="6" s="1"/>
  <c r="BD120" i="6" s="1"/>
  <c r="BD121" i="6" s="1"/>
  <c r="BD122" i="6" s="1"/>
  <c r="BD123" i="6" s="1"/>
  <c r="BD124" i="6" s="1"/>
  <c r="BD125" i="6" s="1"/>
  <c r="BD126" i="6" s="1"/>
  <c r="BD127" i="6" s="1"/>
  <c r="BD128" i="6" s="1"/>
  <c r="BD129" i="6" s="1"/>
  <c r="BD130" i="6" s="1"/>
  <c r="BD131" i="6" s="1"/>
  <c r="BD132" i="6" s="1"/>
  <c r="BD133" i="6" s="1"/>
  <c r="BD134" i="6" s="1"/>
  <c r="BD135" i="6" s="1"/>
  <c r="BD136" i="6" s="1"/>
  <c r="BD137" i="6" s="1"/>
  <c r="BD138" i="6" s="1"/>
  <c r="BD139" i="6" s="1"/>
  <c r="BD140" i="6" s="1"/>
  <c r="BD141" i="6" s="1"/>
  <c r="BD142" i="6" s="1"/>
  <c r="BD143" i="6" s="1"/>
  <c r="BD144" i="6" s="1"/>
  <c r="BD145" i="6" s="1"/>
  <c r="BD146" i="6" s="1"/>
  <c r="BD147" i="6" s="1"/>
  <c r="BD148" i="6" s="1"/>
  <c r="BD149" i="6" s="1"/>
  <c r="BD150" i="6" s="1"/>
  <c r="BD151" i="6" s="1"/>
  <c r="BD152" i="6" s="1"/>
  <c r="BD153" i="6" s="1"/>
  <c r="BD154" i="6" s="1"/>
  <c r="BD155" i="6" s="1"/>
  <c r="BD156" i="6" s="1"/>
  <c r="BD157" i="6" s="1"/>
  <c r="BD158" i="6" s="1"/>
  <c r="BD159" i="6" s="1"/>
  <c r="BD160" i="6" s="1"/>
  <c r="BD161" i="6" s="1"/>
  <c r="BD162" i="6" s="1"/>
  <c r="BD163" i="6" s="1"/>
  <c r="BD164" i="6" s="1"/>
  <c r="BD165" i="6" s="1"/>
  <c r="BD166" i="6" s="1"/>
  <c r="BD167" i="6" s="1"/>
  <c r="BD168" i="6" s="1"/>
  <c r="BD169" i="6" s="1"/>
  <c r="BD170" i="6" s="1"/>
  <c r="BD171" i="6" s="1"/>
  <c r="BD172" i="6" s="1"/>
  <c r="BD173" i="6" s="1"/>
  <c r="BD174" i="6" s="1"/>
  <c r="BD175" i="6" s="1"/>
  <c r="BD176" i="6" s="1"/>
  <c r="BD177" i="6" s="1"/>
  <c r="BD178" i="6" s="1"/>
  <c r="BD179" i="6" s="1"/>
  <c r="BD180" i="6" s="1"/>
  <c r="BD181" i="6" s="1"/>
  <c r="BD182" i="6" s="1"/>
  <c r="BD183" i="6" s="1"/>
  <c r="BD184" i="6" s="1"/>
  <c r="BD185" i="6" s="1"/>
  <c r="BD186" i="6" s="1"/>
  <c r="BD187" i="6" s="1"/>
  <c r="BD188" i="6" s="1"/>
  <c r="BD189" i="6" s="1"/>
  <c r="BD190" i="6" s="1"/>
  <c r="BD191" i="6" s="1"/>
  <c r="BD192" i="6" s="1"/>
  <c r="BD193" i="6" s="1"/>
  <c r="BD194" i="6" s="1"/>
  <c r="BD195" i="6" s="1"/>
  <c r="BD196" i="6" s="1"/>
  <c r="BD197" i="6" s="1"/>
  <c r="BD198" i="6" s="1"/>
  <c r="BD199" i="6" s="1"/>
  <c r="BD200" i="6" s="1"/>
  <c r="BD201" i="6" s="1"/>
  <c r="BD202" i="6" s="1"/>
  <c r="BD203" i="6" s="1"/>
  <c r="BD204" i="6" s="1"/>
  <c r="BD205" i="6" s="1"/>
  <c r="BD206" i="6" s="1"/>
  <c r="BD207" i="6" s="1"/>
  <c r="BD208" i="6" s="1"/>
  <c r="BD209" i="6" s="1"/>
  <c r="BD210" i="6" s="1"/>
  <c r="BD211" i="6" s="1"/>
  <c r="BD212" i="6" s="1"/>
  <c r="BD213" i="6" s="1"/>
  <c r="BD214" i="6" s="1"/>
  <c r="BD215" i="6" s="1"/>
  <c r="BD216" i="6" s="1"/>
  <c r="BD217" i="6" s="1"/>
  <c r="BD218" i="6" s="1"/>
  <c r="BD219" i="6" s="1"/>
  <c r="BD220" i="6" s="1"/>
  <c r="BD221" i="6" s="1"/>
  <c r="BD222" i="6" s="1"/>
  <c r="BD223" i="6" s="1"/>
  <c r="BD224" i="6" s="1"/>
  <c r="BD225" i="6" s="1"/>
  <c r="BD226" i="6" s="1"/>
  <c r="BD227" i="6" s="1"/>
  <c r="BD228" i="6" s="1"/>
  <c r="BD229" i="6" s="1"/>
  <c r="BD230" i="6" s="1"/>
  <c r="BD231" i="6" s="1"/>
  <c r="BD232" i="6" s="1"/>
  <c r="BD233" i="6" s="1"/>
  <c r="BD234" i="6" s="1"/>
  <c r="BD235" i="6" s="1"/>
  <c r="BD236" i="6" s="1"/>
  <c r="BD237" i="6" s="1"/>
  <c r="BD238" i="6" s="1"/>
  <c r="BD239" i="6" s="1"/>
  <c r="BD240" i="6" s="1"/>
  <c r="BD241" i="6" s="1"/>
  <c r="BD242" i="6" s="1"/>
  <c r="BD243" i="6" s="1"/>
  <c r="BD244" i="6" s="1"/>
  <c r="BD245" i="6" s="1"/>
  <c r="BD246" i="6" s="1"/>
  <c r="BD247" i="6" s="1"/>
  <c r="BD248" i="6" s="1"/>
  <c r="BD249" i="6" s="1"/>
  <c r="BD250" i="6" s="1"/>
  <c r="BD251" i="6" s="1"/>
  <c r="BD252" i="6" s="1"/>
  <c r="BD253" i="6" s="1"/>
  <c r="BD254" i="6" s="1"/>
  <c r="BD255" i="6" s="1"/>
  <c r="BO5" i="6"/>
  <c r="BO6" i="6" s="1"/>
  <c r="BO7" i="6" s="1"/>
  <c r="BO8" i="6" s="1"/>
  <c r="BO9" i="6" s="1"/>
  <c r="BO10" i="6" s="1"/>
  <c r="BO11" i="6" s="1"/>
  <c r="BO12" i="6" s="1"/>
  <c r="BO13" i="6" s="1"/>
  <c r="BO14" i="6" s="1"/>
  <c r="BO15" i="6" s="1"/>
  <c r="BO16" i="6" s="1"/>
  <c r="BO17" i="6" s="1"/>
  <c r="BO18" i="6" s="1"/>
  <c r="BO19" i="6" s="1"/>
  <c r="BO20" i="6" s="1"/>
  <c r="BO21" i="6" s="1"/>
  <c r="BO22" i="6" s="1"/>
  <c r="BO23" i="6" s="1"/>
  <c r="BO24" i="6" s="1"/>
  <c r="BO25" i="6" s="1"/>
  <c r="BO26" i="6" s="1"/>
  <c r="BO27" i="6" s="1"/>
  <c r="BO28" i="6" s="1"/>
  <c r="BO29" i="6" s="1"/>
  <c r="BO30" i="6" s="1"/>
  <c r="BO31" i="6" s="1"/>
  <c r="BO32" i="6" s="1"/>
  <c r="BO33" i="6" s="1"/>
  <c r="BO34" i="6" s="1"/>
  <c r="BO35" i="6" s="1"/>
  <c r="BO36" i="6" s="1"/>
  <c r="BO37" i="6" s="1"/>
  <c r="BO38" i="6" s="1"/>
  <c r="BO39" i="6" s="1"/>
  <c r="BO40" i="6" s="1"/>
  <c r="BO41" i="6" s="1"/>
  <c r="BO42" i="6" s="1"/>
  <c r="BO43" i="6" s="1"/>
  <c r="BO44" i="6" s="1"/>
  <c r="BO45" i="6" s="1"/>
  <c r="BO46" i="6" s="1"/>
  <c r="BO47" i="6" s="1"/>
  <c r="BO48" i="6" s="1"/>
  <c r="BO49" i="6" s="1"/>
  <c r="BO50" i="6" s="1"/>
  <c r="BO51" i="6" s="1"/>
  <c r="BO52" i="6" s="1"/>
  <c r="BO53" i="6" s="1"/>
  <c r="BO54" i="6" s="1"/>
  <c r="BO55" i="6" s="1"/>
  <c r="BO56" i="6" s="1"/>
  <c r="BO57" i="6" s="1"/>
  <c r="BO58" i="6" s="1"/>
  <c r="BO59" i="6" s="1"/>
  <c r="BO60" i="6" s="1"/>
  <c r="BO61" i="6" s="1"/>
  <c r="BO62" i="6" s="1"/>
  <c r="BO63" i="6" s="1"/>
  <c r="BO64" i="6" s="1"/>
  <c r="BO65" i="6" s="1"/>
  <c r="BO66" i="6" s="1"/>
  <c r="BO67" i="6" s="1"/>
  <c r="BO68" i="6" s="1"/>
  <c r="BO69" i="6" s="1"/>
  <c r="BO70" i="6" s="1"/>
  <c r="BO71" i="6" s="1"/>
  <c r="BO72" i="6" s="1"/>
  <c r="BO73" i="6" s="1"/>
  <c r="BO74" i="6" s="1"/>
  <c r="BO75" i="6" s="1"/>
  <c r="BO76" i="6" s="1"/>
  <c r="BO77" i="6" s="1"/>
  <c r="BO78" i="6" s="1"/>
  <c r="BO79" i="6" s="1"/>
  <c r="BO80" i="6" s="1"/>
  <c r="BO81" i="6" s="1"/>
  <c r="BO82" i="6" s="1"/>
  <c r="BO83" i="6" s="1"/>
  <c r="BO84" i="6" s="1"/>
  <c r="BO85" i="6" s="1"/>
  <c r="BO86" i="6" s="1"/>
  <c r="BO87" i="6" s="1"/>
  <c r="BO88" i="6" s="1"/>
  <c r="BO89" i="6" s="1"/>
  <c r="BO90" i="6" s="1"/>
  <c r="BO91" i="6" s="1"/>
  <c r="BO92" i="6" s="1"/>
  <c r="BO93" i="6" s="1"/>
  <c r="BO94" i="6" s="1"/>
  <c r="BO95" i="6" s="1"/>
  <c r="BO96" i="6" s="1"/>
  <c r="BO97" i="6" s="1"/>
  <c r="BO98" i="6" s="1"/>
  <c r="BO99" i="6" s="1"/>
  <c r="BO100" i="6" s="1"/>
  <c r="BO101" i="6" s="1"/>
  <c r="BO102" i="6" s="1"/>
  <c r="BO103" i="6" s="1"/>
  <c r="BO104" i="6" s="1"/>
  <c r="BO105" i="6" s="1"/>
  <c r="BO106" i="6" s="1"/>
  <c r="BO107" i="6" s="1"/>
  <c r="BO108" i="6" s="1"/>
  <c r="BO109" i="6" s="1"/>
  <c r="BO110" i="6" s="1"/>
  <c r="BO111" i="6" s="1"/>
  <c r="BO112" i="6" s="1"/>
  <c r="BO113" i="6" s="1"/>
  <c r="BO114" i="6" s="1"/>
  <c r="BO115" i="6" s="1"/>
  <c r="BO116" i="6" s="1"/>
  <c r="BO117" i="6" s="1"/>
  <c r="BO118" i="6" s="1"/>
  <c r="BO119" i="6" s="1"/>
  <c r="BO120" i="6" s="1"/>
  <c r="BO121" i="6" s="1"/>
  <c r="BO122" i="6" s="1"/>
  <c r="BO123" i="6" s="1"/>
  <c r="BO124" i="6" s="1"/>
  <c r="BO125" i="6" s="1"/>
  <c r="BO126" i="6" s="1"/>
  <c r="BO127" i="6" s="1"/>
  <c r="BO128" i="6" s="1"/>
  <c r="BO129" i="6" s="1"/>
  <c r="BO130" i="6" s="1"/>
  <c r="BO131" i="6" s="1"/>
  <c r="BO132" i="6" s="1"/>
  <c r="BO133" i="6" s="1"/>
  <c r="BO134" i="6" s="1"/>
  <c r="BO135" i="6" s="1"/>
  <c r="BO136" i="6" s="1"/>
  <c r="BO137" i="6" s="1"/>
  <c r="BO138" i="6" s="1"/>
  <c r="BO139" i="6" s="1"/>
  <c r="BO140" i="6" s="1"/>
  <c r="BO141" i="6" s="1"/>
  <c r="BO142" i="6" s="1"/>
  <c r="BO143" i="6" s="1"/>
  <c r="BO144" i="6" s="1"/>
  <c r="BO145" i="6" s="1"/>
  <c r="BO146" i="6" s="1"/>
  <c r="BO147" i="6" s="1"/>
  <c r="BO148" i="6" s="1"/>
  <c r="BO149" i="6" s="1"/>
  <c r="BO150" i="6" s="1"/>
  <c r="BO151" i="6" s="1"/>
  <c r="BO152" i="6" s="1"/>
  <c r="BO153" i="6" s="1"/>
  <c r="BO154" i="6" s="1"/>
  <c r="BO155" i="6" s="1"/>
  <c r="BO156" i="6" s="1"/>
  <c r="BO157" i="6" s="1"/>
  <c r="BO158" i="6" s="1"/>
  <c r="BO159" i="6" s="1"/>
  <c r="BO160" i="6" s="1"/>
  <c r="BO161" i="6" s="1"/>
  <c r="BO162" i="6" s="1"/>
  <c r="BO163" i="6" s="1"/>
  <c r="BO164" i="6" s="1"/>
  <c r="BO165" i="6" s="1"/>
  <c r="BO166" i="6" s="1"/>
  <c r="BO167" i="6" s="1"/>
  <c r="BO168" i="6" s="1"/>
  <c r="BO169" i="6" s="1"/>
  <c r="BO170" i="6" s="1"/>
  <c r="BO171" i="6" s="1"/>
  <c r="BO172" i="6" s="1"/>
  <c r="BO173" i="6" s="1"/>
  <c r="BO174" i="6" s="1"/>
  <c r="BO175" i="6" s="1"/>
  <c r="BO176" i="6" s="1"/>
  <c r="BO177" i="6" s="1"/>
  <c r="BO178" i="6" s="1"/>
  <c r="BO179" i="6" s="1"/>
  <c r="BO180" i="6" s="1"/>
  <c r="BO181" i="6" s="1"/>
  <c r="BO182" i="6" s="1"/>
  <c r="BO183" i="6" s="1"/>
  <c r="BO184" i="6" s="1"/>
  <c r="BO185" i="6" s="1"/>
  <c r="BO186" i="6" s="1"/>
  <c r="BO187" i="6" s="1"/>
  <c r="BO188" i="6" s="1"/>
  <c r="BO189" i="6" s="1"/>
  <c r="BO190" i="6" s="1"/>
  <c r="BO191" i="6" s="1"/>
  <c r="BO192" i="6" s="1"/>
  <c r="BO193" i="6" s="1"/>
  <c r="BO194" i="6" s="1"/>
  <c r="BO195" i="6" s="1"/>
  <c r="BO196" i="6" s="1"/>
  <c r="BO197" i="6" s="1"/>
  <c r="BO198" i="6" s="1"/>
  <c r="BO199" i="6" s="1"/>
  <c r="BO200" i="6" s="1"/>
  <c r="BO201" i="6" s="1"/>
  <c r="BO202" i="6" s="1"/>
  <c r="BO203" i="6" s="1"/>
  <c r="BO204" i="6" s="1"/>
  <c r="BO205" i="6" s="1"/>
  <c r="BO206" i="6" s="1"/>
  <c r="BO207" i="6" s="1"/>
  <c r="BO208" i="6" s="1"/>
  <c r="BO209" i="6" s="1"/>
  <c r="BO210" i="6" s="1"/>
  <c r="BO211" i="6" s="1"/>
  <c r="BO212" i="6" s="1"/>
  <c r="BO213" i="6" s="1"/>
  <c r="BO214" i="6" s="1"/>
  <c r="BO215" i="6" s="1"/>
  <c r="BO216" i="6" s="1"/>
  <c r="BO217" i="6" s="1"/>
  <c r="BO218" i="6" s="1"/>
  <c r="BO219" i="6" s="1"/>
  <c r="BO220" i="6" s="1"/>
  <c r="BO221" i="6" s="1"/>
  <c r="BO222" i="6" s="1"/>
  <c r="BO223" i="6" s="1"/>
  <c r="BO224" i="6" s="1"/>
  <c r="BO225" i="6" s="1"/>
  <c r="BO226" i="6" s="1"/>
  <c r="BO227" i="6" s="1"/>
  <c r="BO228" i="6" s="1"/>
  <c r="BO229" i="6" s="1"/>
  <c r="BO230" i="6" s="1"/>
  <c r="BO231" i="6" s="1"/>
  <c r="BO232" i="6" s="1"/>
  <c r="BO233" i="6" s="1"/>
  <c r="BO234" i="6" s="1"/>
  <c r="BO235" i="6" s="1"/>
  <c r="BO236" i="6" s="1"/>
  <c r="BO237" i="6" s="1"/>
  <c r="BO238" i="6" s="1"/>
  <c r="BO239" i="6" s="1"/>
  <c r="BO240" i="6" s="1"/>
  <c r="BO241" i="6" s="1"/>
  <c r="BO242" i="6" s="1"/>
  <c r="BO243" i="6" s="1"/>
  <c r="BO244" i="6" s="1"/>
  <c r="BO245" i="6" s="1"/>
  <c r="BO246" i="6" s="1"/>
  <c r="BO247" i="6" s="1"/>
  <c r="BO248" i="6" s="1"/>
  <c r="BO249" i="6" s="1"/>
  <c r="BO250" i="6" s="1"/>
  <c r="BO251" i="6" s="1"/>
  <c r="BO252" i="6" s="1"/>
  <c r="BO253" i="6" s="1"/>
  <c r="BO254" i="6" s="1"/>
  <c r="BO255" i="6" s="1"/>
  <c r="BP5" i="6"/>
  <c r="BP6" i="6" s="1"/>
  <c r="BP7" i="6" s="1"/>
  <c r="BP8" i="6" s="1"/>
  <c r="BP9" i="6" s="1"/>
  <c r="BP10" i="6" s="1"/>
  <c r="BP11" i="6" s="1"/>
  <c r="BP12" i="6" s="1"/>
  <c r="BP13" i="6" s="1"/>
  <c r="BP14" i="6" s="1"/>
  <c r="BP15" i="6" s="1"/>
  <c r="BP16" i="6" s="1"/>
  <c r="BP17" i="6" s="1"/>
  <c r="BP18" i="6" s="1"/>
  <c r="BP19" i="6" s="1"/>
  <c r="BP20" i="6" s="1"/>
  <c r="BP21" i="6" s="1"/>
  <c r="BP22" i="6" s="1"/>
  <c r="BP23" i="6" s="1"/>
  <c r="BP24" i="6" s="1"/>
  <c r="BP25" i="6" s="1"/>
  <c r="BP26" i="6" s="1"/>
  <c r="BP27" i="6" s="1"/>
  <c r="BP28" i="6" s="1"/>
  <c r="BP29" i="6" s="1"/>
  <c r="BP30" i="6" s="1"/>
  <c r="BP31" i="6" s="1"/>
  <c r="BP32" i="6" s="1"/>
  <c r="BP33" i="6" s="1"/>
  <c r="BP34" i="6" s="1"/>
  <c r="BP35" i="6" s="1"/>
  <c r="BP36" i="6" s="1"/>
  <c r="BP37" i="6" s="1"/>
  <c r="BP38" i="6" s="1"/>
  <c r="BP39" i="6" s="1"/>
  <c r="BP40" i="6" s="1"/>
  <c r="BP41" i="6" s="1"/>
  <c r="BP42" i="6" s="1"/>
  <c r="BP43" i="6" s="1"/>
  <c r="BP44" i="6" s="1"/>
  <c r="BP45" i="6" s="1"/>
  <c r="BP46" i="6" s="1"/>
  <c r="BP47" i="6" s="1"/>
  <c r="BP48" i="6" s="1"/>
  <c r="BP49" i="6" s="1"/>
  <c r="BP50" i="6" s="1"/>
  <c r="BP51" i="6" s="1"/>
  <c r="BP52" i="6" s="1"/>
  <c r="BP53" i="6" s="1"/>
  <c r="BP54" i="6" s="1"/>
  <c r="BP55" i="6" s="1"/>
  <c r="BP56" i="6" s="1"/>
  <c r="BP57" i="6" s="1"/>
  <c r="BP58" i="6" s="1"/>
  <c r="BP59" i="6" s="1"/>
  <c r="BP60" i="6" s="1"/>
  <c r="BP61" i="6" s="1"/>
  <c r="BP62" i="6" s="1"/>
  <c r="BP63" i="6" s="1"/>
  <c r="BP64" i="6" s="1"/>
  <c r="BP65" i="6" s="1"/>
  <c r="BP66" i="6" s="1"/>
  <c r="BP67" i="6" s="1"/>
  <c r="BP68" i="6" s="1"/>
  <c r="BP69" i="6" s="1"/>
  <c r="BP70" i="6" s="1"/>
  <c r="BP71" i="6" s="1"/>
  <c r="BP72" i="6" s="1"/>
  <c r="BP73" i="6" s="1"/>
  <c r="BP74" i="6" s="1"/>
  <c r="BP75" i="6" s="1"/>
  <c r="BP76" i="6" s="1"/>
  <c r="BP77" i="6" s="1"/>
  <c r="BP78" i="6" s="1"/>
  <c r="BP79" i="6" s="1"/>
  <c r="BP80" i="6" s="1"/>
  <c r="BP81" i="6" s="1"/>
  <c r="BP82" i="6" s="1"/>
  <c r="BP83" i="6" s="1"/>
  <c r="BP84" i="6" s="1"/>
  <c r="BP85" i="6" s="1"/>
  <c r="BP86" i="6" s="1"/>
  <c r="BP87" i="6" s="1"/>
  <c r="BP88" i="6" s="1"/>
  <c r="BP89" i="6" s="1"/>
  <c r="BP90" i="6" s="1"/>
  <c r="BP91" i="6" s="1"/>
  <c r="BP92" i="6" s="1"/>
  <c r="BP93" i="6" s="1"/>
  <c r="BP94" i="6" s="1"/>
  <c r="BP95" i="6" s="1"/>
  <c r="BP96" i="6" s="1"/>
  <c r="BP97" i="6" s="1"/>
  <c r="BP98" i="6" s="1"/>
  <c r="BP99" i="6" s="1"/>
  <c r="BP100" i="6" s="1"/>
  <c r="BP101" i="6" s="1"/>
  <c r="BP102" i="6" s="1"/>
  <c r="BP103" i="6" s="1"/>
  <c r="BP104" i="6" s="1"/>
  <c r="BP105" i="6" s="1"/>
  <c r="BP106" i="6" s="1"/>
  <c r="BP107" i="6" s="1"/>
  <c r="BP108" i="6" s="1"/>
  <c r="BP109" i="6" s="1"/>
  <c r="BP110" i="6" s="1"/>
  <c r="BP111" i="6" s="1"/>
  <c r="BP112" i="6" s="1"/>
  <c r="BP113" i="6" s="1"/>
  <c r="BP114" i="6" s="1"/>
  <c r="BP115" i="6" s="1"/>
  <c r="BP116" i="6" s="1"/>
  <c r="BP117" i="6" s="1"/>
  <c r="BP118" i="6" s="1"/>
  <c r="BP119" i="6" s="1"/>
  <c r="BP120" i="6" s="1"/>
  <c r="BP121" i="6" s="1"/>
  <c r="BP122" i="6" s="1"/>
  <c r="BP123" i="6" s="1"/>
  <c r="BP124" i="6" s="1"/>
  <c r="BP125" i="6" s="1"/>
  <c r="BP126" i="6" s="1"/>
  <c r="BP127" i="6" s="1"/>
  <c r="BP128" i="6" s="1"/>
  <c r="BP129" i="6" s="1"/>
  <c r="BP130" i="6" s="1"/>
  <c r="BP131" i="6" s="1"/>
  <c r="BP132" i="6" s="1"/>
  <c r="BP133" i="6" s="1"/>
  <c r="BP134" i="6" s="1"/>
  <c r="BP135" i="6" s="1"/>
  <c r="BP136" i="6" s="1"/>
  <c r="BP137" i="6" s="1"/>
  <c r="BP138" i="6" s="1"/>
  <c r="BP139" i="6" s="1"/>
  <c r="BP140" i="6" s="1"/>
  <c r="BP141" i="6" s="1"/>
  <c r="BP142" i="6" s="1"/>
  <c r="BP143" i="6" s="1"/>
  <c r="BP144" i="6" s="1"/>
  <c r="BP145" i="6" s="1"/>
  <c r="BP146" i="6" s="1"/>
  <c r="BP147" i="6" s="1"/>
  <c r="BP148" i="6" s="1"/>
  <c r="BP149" i="6" s="1"/>
  <c r="BP150" i="6" s="1"/>
  <c r="BP151" i="6" s="1"/>
  <c r="BP152" i="6" s="1"/>
  <c r="BP153" i="6" s="1"/>
  <c r="BP154" i="6" s="1"/>
  <c r="BP155" i="6" s="1"/>
  <c r="BP156" i="6" s="1"/>
  <c r="BP157" i="6" s="1"/>
  <c r="BP158" i="6" s="1"/>
  <c r="BP159" i="6" s="1"/>
  <c r="BP160" i="6" s="1"/>
  <c r="BP161" i="6" s="1"/>
  <c r="BP162" i="6" s="1"/>
  <c r="BP163" i="6" s="1"/>
  <c r="BP164" i="6" s="1"/>
  <c r="BP165" i="6" s="1"/>
  <c r="BP166" i="6" s="1"/>
  <c r="BP167" i="6" s="1"/>
  <c r="BP168" i="6" s="1"/>
  <c r="BP169" i="6" s="1"/>
  <c r="BP170" i="6" s="1"/>
  <c r="BP171" i="6" s="1"/>
  <c r="BP172" i="6" s="1"/>
  <c r="BP173" i="6" s="1"/>
  <c r="BP174" i="6" s="1"/>
  <c r="BP175" i="6" s="1"/>
  <c r="BP176" i="6" s="1"/>
  <c r="BP177" i="6" s="1"/>
  <c r="BP178" i="6" s="1"/>
  <c r="BP179" i="6" s="1"/>
  <c r="BP180" i="6" s="1"/>
  <c r="BP181" i="6" s="1"/>
  <c r="BP182" i="6" s="1"/>
  <c r="BP183" i="6" s="1"/>
  <c r="BP184" i="6" s="1"/>
  <c r="BP185" i="6" s="1"/>
  <c r="BP186" i="6" s="1"/>
  <c r="BP187" i="6" s="1"/>
  <c r="BP188" i="6" s="1"/>
  <c r="BP189" i="6" s="1"/>
  <c r="BP190" i="6" s="1"/>
  <c r="BP191" i="6" s="1"/>
  <c r="BP192" i="6" s="1"/>
  <c r="BP193" i="6" s="1"/>
  <c r="BP194" i="6" s="1"/>
  <c r="BP195" i="6" s="1"/>
  <c r="BP196" i="6" s="1"/>
  <c r="BP197" i="6" s="1"/>
  <c r="BP198" i="6" s="1"/>
  <c r="BP199" i="6" s="1"/>
  <c r="BP200" i="6" s="1"/>
  <c r="BP201" i="6" s="1"/>
  <c r="BP202" i="6" s="1"/>
  <c r="BP203" i="6" s="1"/>
  <c r="BP204" i="6" s="1"/>
  <c r="BP205" i="6" s="1"/>
  <c r="BP206" i="6" s="1"/>
  <c r="BP207" i="6" s="1"/>
  <c r="BP208" i="6" s="1"/>
  <c r="BP209" i="6" s="1"/>
  <c r="BP210" i="6" s="1"/>
  <c r="BP211" i="6" s="1"/>
  <c r="BP212" i="6" s="1"/>
  <c r="BP213" i="6" s="1"/>
  <c r="BP214" i="6" s="1"/>
  <c r="BP215" i="6" s="1"/>
  <c r="BP216" i="6" s="1"/>
  <c r="BP217" i="6" s="1"/>
  <c r="BP218" i="6" s="1"/>
  <c r="BP219" i="6" s="1"/>
  <c r="BP220" i="6" s="1"/>
  <c r="BP221" i="6" s="1"/>
  <c r="BP222" i="6" s="1"/>
  <c r="BP223" i="6" s="1"/>
  <c r="BP224" i="6" s="1"/>
  <c r="BP225" i="6" s="1"/>
  <c r="BP226" i="6" s="1"/>
  <c r="BP227" i="6" s="1"/>
  <c r="BP228" i="6" s="1"/>
  <c r="BP229" i="6" s="1"/>
  <c r="BP230" i="6" s="1"/>
  <c r="BP231" i="6" s="1"/>
  <c r="BP232" i="6" s="1"/>
  <c r="BP233" i="6" s="1"/>
  <c r="BP234" i="6" s="1"/>
  <c r="BP235" i="6" s="1"/>
  <c r="BP236" i="6" s="1"/>
  <c r="BP237" i="6" s="1"/>
  <c r="BP238" i="6" s="1"/>
  <c r="BP239" i="6" s="1"/>
  <c r="BP240" i="6" s="1"/>
  <c r="BP241" i="6" s="1"/>
  <c r="BP242" i="6" s="1"/>
  <c r="BP243" i="6" s="1"/>
  <c r="BP244" i="6" s="1"/>
  <c r="BP245" i="6" s="1"/>
  <c r="BP246" i="6" s="1"/>
  <c r="BP247" i="6" s="1"/>
  <c r="BP248" i="6" s="1"/>
  <c r="BP249" i="6" s="1"/>
  <c r="BP250" i="6" s="1"/>
  <c r="BP251" i="6" s="1"/>
  <c r="BP252" i="6" s="1"/>
  <c r="BP253" i="6" s="1"/>
  <c r="BP254" i="6" s="1"/>
  <c r="BP255" i="6" s="1"/>
  <c r="BT5" i="6"/>
  <c r="BT6" i="6" s="1"/>
  <c r="BT7" i="6" s="1"/>
  <c r="BT8" i="6" s="1"/>
  <c r="BT9" i="6" s="1"/>
  <c r="BT10" i="6" s="1"/>
  <c r="BT11" i="6" s="1"/>
  <c r="BT12" i="6" s="1"/>
  <c r="BT13" i="6" s="1"/>
  <c r="BT14" i="6" s="1"/>
  <c r="BT15" i="6" s="1"/>
  <c r="BT16" i="6" s="1"/>
  <c r="BT17" i="6" s="1"/>
  <c r="BT18" i="6" s="1"/>
  <c r="BT19" i="6" s="1"/>
  <c r="BT20" i="6" s="1"/>
  <c r="BT21" i="6" s="1"/>
  <c r="BT22" i="6" s="1"/>
  <c r="BT23" i="6" s="1"/>
  <c r="BT24" i="6" s="1"/>
  <c r="BT25" i="6" s="1"/>
  <c r="BT26" i="6" s="1"/>
  <c r="BT27" i="6" s="1"/>
  <c r="BT28" i="6" s="1"/>
  <c r="BT29" i="6" s="1"/>
  <c r="BT30" i="6" s="1"/>
  <c r="BT31" i="6" s="1"/>
  <c r="BT32" i="6" s="1"/>
  <c r="BT33" i="6" s="1"/>
  <c r="BT34" i="6" s="1"/>
  <c r="BT35" i="6" s="1"/>
  <c r="BT36" i="6" s="1"/>
  <c r="BT37" i="6" s="1"/>
  <c r="BT38" i="6" s="1"/>
  <c r="BT39" i="6" s="1"/>
  <c r="BT40" i="6" s="1"/>
  <c r="BT41" i="6" s="1"/>
  <c r="BT42" i="6" s="1"/>
  <c r="BT43" i="6" s="1"/>
  <c r="BT44" i="6" s="1"/>
  <c r="BT45" i="6" s="1"/>
  <c r="BT46" i="6" s="1"/>
  <c r="BT47" i="6" s="1"/>
  <c r="BT48" i="6" s="1"/>
  <c r="BT49" i="6" s="1"/>
  <c r="BT50" i="6" s="1"/>
  <c r="BT51" i="6" s="1"/>
  <c r="BT52" i="6" s="1"/>
  <c r="BT53" i="6" s="1"/>
  <c r="BT54" i="6" s="1"/>
  <c r="BT55" i="6" s="1"/>
  <c r="BT56" i="6" s="1"/>
  <c r="BT57" i="6" s="1"/>
  <c r="BT58" i="6" s="1"/>
  <c r="BT59" i="6" s="1"/>
  <c r="BT60" i="6" s="1"/>
  <c r="BT61" i="6" s="1"/>
  <c r="BT62" i="6" s="1"/>
  <c r="BT63" i="6" s="1"/>
  <c r="BT64" i="6" s="1"/>
  <c r="BT65" i="6" s="1"/>
  <c r="BT66" i="6" s="1"/>
  <c r="BT67" i="6" s="1"/>
  <c r="BT68" i="6" s="1"/>
  <c r="BT69" i="6" s="1"/>
  <c r="BT70" i="6" s="1"/>
  <c r="BT71" i="6" s="1"/>
  <c r="BT72" i="6" s="1"/>
  <c r="BT73" i="6" s="1"/>
  <c r="BT74" i="6" s="1"/>
  <c r="BT75" i="6" s="1"/>
  <c r="BT76" i="6" s="1"/>
  <c r="BT77" i="6" s="1"/>
  <c r="BT78" i="6" s="1"/>
  <c r="BT79" i="6" s="1"/>
  <c r="BT80" i="6" s="1"/>
  <c r="BT81" i="6" s="1"/>
  <c r="BT82" i="6" s="1"/>
  <c r="BT83" i="6" s="1"/>
  <c r="BT84" i="6" s="1"/>
  <c r="BT85" i="6" s="1"/>
  <c r="BT86" i="6" s="1"/>
  <c r="BT87" i="6" s="1"/>
  <c r="BT88" i="6" s="1"/>
  <c r="BT89" i="6" s="1"/>
  <c r="BT90" i="6" s="1"/>
  <c r="BT91" i="6" s="1"/>
  <c r="BT92" i="6" s="1"/>
  <c r="BT93" i="6" s="1"/>
  <c r="BT94" i="6" s="1"/>
  <c r="BT95" i="6" s="1"/>
  <c r="BT96" i="6" s="1"/>
  <c r="BT97" i="6" s="1"/>
  <c r="BT98" i="6" s="1"/>
  <c r="BT99" i="6" s="1"/>
  <c r="BT100" i="6" s="1"/>
  <c r="BT101" i="6" s="1"/>
  <c r="BT102" i="6" s="1"/>
  <c r="BT103" i="6" s="1"/>
  <c r="BT104" i="6" s="1"/>
  <c r="BT105" i="6" s="1"/>
  <c r="BT106" i="6" s="1"/>
  <c r="BT107" i="6" s="1"/>
  <c r="BT108" i="6" s="1"/>
  <c r="BT109" i="6" s="1"/>
  <c r="BT110" i="6" s="1"/>
  <c r="BT111" i="6" s="1"/>
  <c r="BT112" i="6" s="1"/>
  <c r="BT113" i="6" s="1"/>
  <c r="BT114" i="6" s="1"/>
  <c r="BT115" i="6" s="1"/>
  <c r="BT116" i="6" s="1"/>
  <c r="BT117" i="6" s="1"/>
  <c r="BT118" i="6" s="1"/>
  <c r="BT119" i="6" s="1"/>
  <c r="BT120" i="6" s="1"/>
  <c r="BT121" i="6" s="1"/>
  <c r="BT122" i="6" s="1"/>
  <c r="BT123" i="6" s="1"/>
  <c r="BT124" i="6" s="1"/>
  <c r="BT125" i="6" s="1"/>
  <c r="BT126" i="6" s="1"/>
  <c r="BT127" i="6" s="1"/>
  <c r="BT128" i="6" s="1"/>
  <c r="BT129" i="6" s="1"/>
  <c r="BT130" i="6" s="1"/>
  <c r="BT131" i="6" s="1"/>
  <c r="BT132" i="6" s="1"/>
  <c r="BT133" i="6" s="1"/>
  <c r="BT134" i="6" s="1"/>
  <c r="BT135" i="6" s="1"/>
  <c r="BT136" i="6" s="1"/>
  <c r="BT137" i="6" s="1"/>
  <c r="BT138" i="6" s="1"/>
  <c r="BT139" i="6" s="1"/>
  <c r="BT140" i="6" s="1"/>
  <c r="BT141" i="6" s="1"/>
  <c r="BT142" i="6" s="1"/>
  <c r="BT143" i="6" s="1"/>
  <c r="BT144" i="6" s="1"/>
  <c r="BT145" i="6" s="1"/>
  <c r="BT146" i="6" s="1"/>
  <c r="BT147" i="6" s="1"/>
  <c r="BT148" i="6" s="1"/>
  <c r="BT149" i="6" s="1"/>
  <c r="BT150" i="6" s="1"/>
  <c r="BT151" i="6" s="1"/>
  <c r="BT152" i="6" s="1"/>
  <c r="BT153" i="6" s="1"/>
  <c r="BT154" i="6" s="1"/>
  <c r="BT155" i="6" s="1"/>
  <c r="BT156" i="6" s="1"/>
  <c r="BT157" i="6" s="1"/>
  <c r="BT158" i="6" s="1"/>
  <c r="BT159" i="6" s="1"/>
  <c r="BT160" i="6" s="1"/>
  <c r="BT161" i="6" s="1"/>
  <c r="BT162" i="6" s="1"/>
  <c r="BT163" i="6" s="1"/>
  <c r="BT164" i="6" s="1"/>
  <c r="BT165" i="6" s="1"/>
  <c r="BT166" i="6" s="1"/>
  <c r="BT167" i="6" s="1"/>
  <c r="BT168" i="6" s="1"/>
  <c r="BT169" i="6" s="1"/>
  <c r="BT170" i="6" s="1"/>
  <c r="BT171" i="6" s="1"/>
  <c r="BT172" i="6" s="1"/>
  <c r="BT173" i="6" s="1"/>
  <c r="BT174" i="6" s="1"/>
  <c r="BT175" i="6" s="1"/>
  <c r="BT176" i="6" s="1"/>
  <c r="BT177" i="6" s="1"/>
  <c r="BT178" i="6" s="1"/>
  <c r="BT179" i="6" s="1"/>
  <c r="BT180" i="6" s="1"/>
  <c r="BT181" i="6" s="1"/>
  <c r="BT182" i="6" s="1"/>
  <c r="BT183" i="6" s="1"/>
  <c r="BT184" i="6" s="1"/>
  <c r="BT185" i="6" s="1"/>
  <c r="BT186" i="6" s="1"/>
  <c r="BT187" i="6" s="1"/>
  <c r="BT188" i="6" s="1"/>
  <c r="BT189" i="6" s="1"/>
  <c r="BT190" i="6" s="1"/>
  <c r="BT191" i="6" s="1"/>
  <c r="BT192" i="6" s="1"/>
  <c r="BT193" i="6" s="1"/>
  <c r="BT194" i="6" s="1"/>
  <c r="BT195" i="6" s="1"/>
  <c r="BT196" i="6" s="1"/>
  <c r="BT197" i="6" s="1"/>
  <c r="BT198" i="6" s="1"/>
  <c r="BT199" i="6" s="1"/>
  <c r="BT200" i="6" s="1"/>
  <c r="BT201" i="6" s="1"/>
  <c r="BT202" i="6" s="1"/>
  <c r="BT203" i="6" s="1"/>
  <c r="BT204" i="6" s="1"/>
  <c r="BT205" i="6" s="1"/>
  <c r="BT206" i="6" s="1"/>
  <c r="BT207" i="6" s="1"/>
  <c r="BT208" i="6" s="1"/>
  <c r="BT209" i="6" s="1"/>
  <c r="BT210" i="6" s="1"/>
  <c r="BT211" i="6" s="1"/>
  <c r="BT212" i="6" s="1"/>
  <c r="BT213" i="6" s="1"/>
  <c r="BT214" i="6" s="1"/>
  <c r="BT215" i="6" s="1"/>
  <c r="BT216" i="6" s="1"/>
  <c r="BT217" i="6" s="1"/>
  <c r="BT218" i="6" s="1"/>
  <c r="BT219" i="6" s="1"/>
  <c r="BT220" i="6" s="1"/>
  <c r="BT221" i="6" s="1"/>
  <c r="BT222" i="6" s="1"/>
  <c r="BT223" i="6" s="1"/>
  <c r="BT224" i="6" s="1"/>
  <c r="BT225" i="6" s="1"/>
  <c r="BT226" i="6" s="1"/>
  <c r="BT227" i="6" s="1"/>
  <c r="BT228" i="6" s="1"/>
  <c r="BT229" i="6" s="1"/>
  <c r="BT230" i="6" s="1"/>
  <c r="BT231" i="6" s="1"/>
  <c r="BT232" i="6" s="1"/>
  <c r="BT233" i="6" s="1"/>
  <c r="BT234" i="6" s="1"/>
  <c r="BT235" i="6" s="1"/>
  <c r="BT236" i="6" s="1"/>
  <c r="BT237" i="6" s="1"/>
  <c r="BT238" i="6" s="1"/>
  <c r="BT239" i="6" s="1"/>
  <c r="BT240" i="6" s="1"/>
  <c r="BT241" i="6" s="1"/>
  <c r="BT242" i="6" s="1"/>
  <c r="BT243" i="6" s="1"/>
  <c r="BT244" i="6" s="1"/>
  <c r="BT245" i="6" s="1"/>
  <c r="BT246" i="6" s="1"/>
  <c r="BT247" i="6" s="1"/>
  <c r="BT248" i="6" s="1"/>
  <c r="BT249" i="6" s="1"/>
  <c r="BT250" i="6" s="1"/>
  <c r="BT251" i="6" s="1"/>
  <c r="BT252" i="6" s="1"/>
  <c r="BT253" i="6" s="1"/>
  <c r="BT254" i="6" s="1"/>
  <c r="BT255" i="6" s="1"/>
  <c r="CE5" i="6"/>
  <c r="CE6" i="6" s="1"/>
  <c r="CE7" i="6" s="1"/>
  <c r="CE8" i="6" s="1"/>
  <c r="CE9" i="6" s="1"/>
  <c r="CE10" i="6" s="1"/>
  <c r="CE11" i="6" s="1"/>
  <c r="CE12" i="6" s="1"/>
  <c r="CE13" i="6" s="1"/>
  <c r="CE14" i="6" s="1"/>
  <c r="CE15" i="6" s="1"/>
  <c r="CE16" i="6" s="1"/>
  <c r="CE17" i="6" s="1"/>
  <c r="CE18" i="6" s="1"/>
  <c r="CE19" i="6" s="1"/>
  <c r="CE20" i="6" s="1"/>
  <c r="CE21" i="6" s="1"/>
  <c r="CE22" i="6" s="1"/>
  <c r="CE23" i="6" s="1"/>
  <c r="CE24" i="6" s="1"/>
  <c r="CE25" i="6" s="1"/>
  <c r="CE26" i="6" s="1"/>
  <c r="CE27" i="6" s="1"/>
  <c r="CE28" i="6" s="1"/>
  <c r="CE29" i="6" s="1"/>
  <c r="CE30" i="6" s="1"/>
  <c r="CE31" i="6" s="1"/>
  <c r="CE32" i="6" s="1"/>
  <c r="CE33" i="6" s="1"/>
  <c r="CE34" i="6" s="1"/>
  <c r="CE35" i="6" s="1"/>
  <c r="CE36" i="6" s="1"/>
  <c r="CE37" i="6" s="1"/>
  <c r="CE38" i="6" s="1"/>
  <c r="CE39" i="6" s="1"/>
  <c r="CE40" i="6" s="1"/>
  <c r="CE41" i="6" s="1"/>
  <c r="CE42" i="6" s="1"/>
  <c r="CE43" i="6" s="1"/>
  <c r="CE44" i="6" s="1"/>
  <c r="CE45" i="6" s="1"/>
  <c r="CE46" i="6" s="1"/>
  <c r="CE47" i="6" s="1"/>
  <c r="CE48" i="6" s="1"/>
  <c r="CE49" i="6" s="1"/>
  <c r="CE50" i="6" s="1"/>
  <c r="CE51" i="6" s="1"/>
  <c r="CE52" i="6" s="1"/>
  <c r="CE53" i="6" s="1"/>
  <c r="CE54" i="6" s="1"/>
  <c r="CE55" i="6" s="1"/>
  <c r="CE56" i="6" s="1"/>
  <c r="CE57" i="6" s="1"/>
  <c r="CE58" i="6" s="1"/>
  <c r="CE59" i="6" s="1"/>
  <c r="CE60" i="6" s="1"/>
  <c r="CE61" i="6" s="1"/>
  <c r="CE62" i="6" s="1"/>
  <c r="CE63" i="6" s="1"/>
  <c r="CE64" i="6" s="1"/>
  <c r="CE65" i="6" s="1"/>
  <c r="CE66" i="6" s="1"/>
  <c r="CE67" i="6" s="1"/>
  <c r="CE68" i="6" s="1"/>
  <c r="CE69" i="6" s="1"/>
  <c r="CE70" i="6" s="1"/>
  <c r="CE71" i="6" s="1"/>
  <c r="CE72" i="6" s="1"/>
  <c r="CE73" i="6" s="1"/>
  <c r="CE74" i="6" s="1"/>
  <c r="CE75" i="6" s="1"/>
  <c r="CE76" i="6" s="1"/>
  <c r="CE77" i="6" s="1"/>
  <c r="CE78" i="6" s="1"/>
  <c r="CE79" i="6" s="1"/>
  <c r="CE80" i="6" s="1"/>
  <c r="CE81" i="6" s="1"/>
  <c r="CE82" i="6" s="1"/>
  <c r="CE83" i="6" s="1"/>
  <c r="CE84" i="6" s="1"/>
  <c r="CE85" i="6" s="1"/>
  <c r="CE86" i="6" s="1"/>
  <c r="CE87" i="6" s="1"/>
  <c r="CE88" i="6" s="1"/>
  <c r="CE89" i="6" s="1"/>
  <c r="CE90" i="6" s="1"/>
  <c r="CE91" i="6" s="1"/>
  <c r="CE92" i="6" s="1"/>
  <c r="CE93" i="6" s="1"/>
  <c r="CE94" i="6" s="1"/>
  <c r="CE95" i="6" s="1"/>
  <c r="CE96" i="6" s="1"/>
  <c r="CE97" i="6" s="1"/>
  <c r="CE98" i="6" s="1"/>
  <c r="CE99" i="6" s="1"/>
  <c r="CE100" i="6" s="1"/>
  <c r="CE101" i="6" s="1"/>
  <c r="CE102" i="6" s="1"/>
  <c r="CE103" i="6" s="1"/>
  <c r="CE104" i="6" s="1"/>
  <c r="CE105" i="6" s="1"/>
  <c r="CE106" i="6" s="1"/>
  <c r="CE107" i="6" s="1"/>
  <c r="CE108" i="6" s="1"/>
  <c r="CE109" i="6" s="1"/>
  <c r="CE110" i="6" s="1"/>
  <c r="CE111" i="6" s="1"/>
  <c r="CE112" i="6" s="1"/>
  <c r="CE113" i="6" s="1"/>
  <c r="CE114" i="6" s="1"/>
  <c r="CE115" i="6" s="1"/>
  <c r="CE116" i="6" s="1"/>
  <c r="CE117" i="6" s="1"/>
  <c r="CE118" i="6" s="1"/>
  <c r="CE119" i="6" s="1"/>
  <c r="CE120" i="6" s="1"/>
  <c r="CE121" i="6" s="1"/>
  <c r="CE122" i="6" s="1"/>
  <c r="CE123" i="6" s="1"/>
  <c r="CE124" i="6" s="1"/>
  <c r="CE125" i="6" s="1"/>
  <c r="CE126" i="6" s="1"/>
  <c r="CE127" i="6" s="1"/>
  <c r="CE128" i="6" s="1"/>
  <c r="CE129" i="6" s="1"/>
  <c r="CE130" i="6" s="1"/>
  <c r="CE131" i="6" s="1"/>
  <c r="CE132" i="6" s="1"/>
  <c r="CE133" i="6" s="1"/>
  <c r="CE134" i="6" s="1"/>
  <c r="CE135" i="6" s="1"/>
  <c r="CE136" i="6" s="1"/>
  <c r="CE137" i="6" s="1"/>
  <c r="CE138" i="6" s="1"/>
  <c r="CE139" i="6" s="1"/>
  <c r="CE140" i="6" s="1"/>
  <c r="CE141" i="6" s="1"/>
  <c r="CE142" i="6" s="1"/>
  <c r="CE143" i="6" s="1"/>
  <c r="CE144" i="6" s="1"/>
  <c r="CE145" i="6" s="1"/>
  <c r="CE146" i="6" s="1"/>
  <c r="CE147" i="6" s="1"/>
  <c r="CE148" i="6" s="1"/>
  <c r="CE149" i="6" s="1"/>
  <c r="CE150" i="6" s="1"/>
  <c r="CE151" i="6" s="1"/>
  <c r="CE152" i="6" s="1"/>
  <c r="CE153" i="6" s="1"/>
  <c r="CE154" i="6" s="1"/>
  <c r="CE155" i="6" s="1"/>
  <c r="CE156" i="6" s="1"/>
  <c r="CE157" i="6" s="1"/>
  <c r="CE158" i="6" s="1"/>
  <c r="CE159" i="6" s="1"/>
  <c r="CE160" i="6" s="1"/>
  <c r="CE161" i="6" s="1"/>
  <c r="CE162" i="6" s="1"/>
  <c r="CE163" i="6" s="1"/>
  <c r="CE164" i="6" s="1"/>
  <c r="CE165" i="6" s="1"/>
  <c r="CE166" i="6" s="1"/>
  <c r="CE167" i="6" s="1"/>
  <c r="CE168" i="6" s="1"/>
  <c r="CE169" i="6" s="1"/>
  <c r="CE170" i="6" s="1"/>
  <c r="CE171" i="6" s="1"/>
  <c r="CE172" i="6" s="1"/>
  <c r="CE173" i="6" s="1"/>
  <c r="CE174" i="6" s="1"/>
  <c r="CE175" i="6" s="1"/>
  <c r="CE176" i="6" s="1"/>
  <c r="CE177" i="6" s="1"/>
  <c r="CE178" i="6" s="1"/>
  <c r="CE179" i="6" s="1"/>
  <c r="CE180" i="6" s="1"/>
  <c r="CE181" i="6" s="1"/>
  <c r="CE182" i="6" s="1"/>
  <c r="CE183" i="6" s="1"/>
  <c r="CE184" i="6" s="1"/>
  <c r="CE185" i="6" s="1"/>
  <c r="CE186" i="6" s="1"/>
  <c r="CE187" i="6" s="1"/>
  <c r="CE188" i="6" s="1"/>
  <c r="CE189" i="6" s="1"/>
  <c r="CE190" i="6" s="1"/>
  <c r="CE191" i="6" s="1"/>
  <c r="CE192" i="6" s="1"/>
  <c r="CE193" i="6" s="1"/>
  <c r="CE194" i="6" s="1"/>
  <c r="CE195" i="6" s="1"/>
  <c r="CE196" i="6" s="1"/>
  <c r="CE197" i="6" s="1"/>
  <c r="CE198" i="6" s="1"/>
  <c r="CE199" i="6" s="1"/>
  <c r="CE200" i="6" s="1"/>
  <c r="CE201" i="6" s="1"/>
  <c r="CE202" i="6" s="1"/>
  <c r="CE203" i="6" s="1"/>
  <c r="CE204" i="6" s="1"/>
  <c r="CE205" i="6" s="1"/>
  <c r="CE206" i="6" s="1"/>
  <c r="CE207" i="6" s="1"/>
  <c r="CE208" i="6" s="1"/>
  <c r="CE209" i="6" s="1"/>
  <c r="CE210" i="6" s="1"/>
  <c r="CE211" i="6" s="1"/>
  <c r="CE212" i="6" s="1"/>
  <c r="CE213" i="6" s="1"/>
  <c r="CE214" i="6" s="1"/>
  <c r="CE215" i="6" s="1"/>
  <c r="CE216" i="6" s="1"/>
  <c r="CE217" i="6" s="1"/>
  <c r="CE218" i="6" s="1"/>
  <c r="CE219" i="6" s="1"/>
  <c r="CE220" i="6" s="1"/>
  <c r="CE221" i="6" s="1"/>
  <c r="CE222" i="6" s="1"/>
  <c r="CE223" i="6" s="1"/>
  <c r="CE224" i="6" s="1"/>
  <c r="CE225" i="6" s="1"/>
  <c r="CE226" i="6" s="1"/>
  <c r="CE227" i="6" s="1"/>
  <c r="CE228" i="6" s="1"/>
  <c r="CE229" i="6" s="1"/>
  <c r="CE230" i="6" s="1"/>
  <c r="CE231" i="6" s="1"/>
  <c r="CE232" i="6" s="1"/>
  <c r="CE233" i="6" s="1"/>
  <c r="CE234" i="6" s="1"/>
  <c r="CE235" i="6" s="1"/>
  <c r="CE236" i="6" s="1"/>
  <c r="CE237" i="6" s="1"/>
  <c r="CE238" i="6" s="1"/>
  <c r="CE239" i="6" s="1"/>
  <c r="CE240" i="6" s="1"/>
  <c r="CE241" i="6" s="1"/>
  <c r="CE242" i="6" s="1"/>
  <c r="CE243" i="6" s="1"/>
  <c r="CE244" i="6" s="1"/>
  <c r="CE245" i="6" s="1"/>
  <c r="CE246" i="6" s="1"/>
  <c r="CE247" i="6" s="1"/>
  <c r="CE248" i="6" s="1"/>
  <c r="CE249" i="6" s="1"/>
  <c r="CE250" i="6" s="1"/>
  <c r="CE251" i="6" s="1"/>
  <c r="CE252" i="6" s="1"/>
  <c r="CE253" i="6" s="1"/>
  <c r="CE254" i="6" s="1"/>
  <c r="CE255" i="6" s="1"/>
  <c r="CF5" i="6"/>
  <c r="CF6" i="6" s="1"/>
  <c r="CF7" i="6" s="1"/>
  <c r="CF8" i="6" s="1"/>
  <c r="CF9" i="6" s="1"/>
  <c r="CF10" i="6" s="1"/>
  <c r="CF11" i="6" s="1"/>
  <c r="CF12" i="6" s="1"/>
  <c r="CF13" i="6" s="1"/>
  <c r="CF14" i="6" s="1"/>
  <c r="CF15" i="6" s="1"/>
  <c r="CF16" i="6" s="1"/>
  <c r="CF17" i="6" s="1"/>
  <c r="CF18" i="6" s="1"/>
  <c r="CF19" i="6" s="1"/>
  <c r="CF20" i="6" s="1"/>
  <c r="CF21" i="6" s="1"/>
  <c r="CF22" i="6" s="1"/>
  <c r="CF23" i="6" s="1"/>
  <c r="CF24" i="6" s="1"/>
  <c r="CF25" i="6" s="1"/>
  <c r="CF26" i="6" s="1"/>
  <c r="CF27" i="6" s="1"/>
  <c r="CF28" i="6" s="1"/>
  <c r="CF29" i="6" s="1"/>
  <c r="CF30" i="6" s="1"/>
  <c r="CF31" i="6" s="1"/>
  <c r="CF32" i="6" s="1"/>
  <c r="CF33" i="6" s="1"/>
  <c r="CF34" i="6" s="1"/>
  <c r="CF35" i="6" s="1"/>
  <c r="CF36" i="6" s="1"/>
  <c r="CF37" i="6" s="1"/>
  <c r="CF38" i="6" s="1"/>
  <c r="CF39" i="6" s="1"/>
  <c r="CF40" i="6" s="1"/>
  <c r="CF41" i="6" s="1"/>
  <c r="CF42" i="6" s="1"/>
  <c r="CF43" i="6" s="1"/>
  <c r="CF44" i="6" s="1"/>
  <c r="CF45" i="6" s="1"/>
  <c r="CF46" i="6" s="1"/>
  <c r="CF47" i="6" s="1"/>
  <c r="CF48" i="6" s="1"/>
  <c r="CF49" i="6" s="1"/>
  <c r="CF50" i="6" s="1"/>
  <c r="CF51" i="6" s="1"/>
  <c r="CF52" i="6" s="1"/>
  <c r="CF53" i="6" s="1"/>
  <c r="CF54" i="6" s="1"/>
  <c r="CF55" i="6" s="1"/>
  <c r="CF56" i="6" s="1"/>
  <c r="CF57" i="6" s="1"/>
  <c r="CF58" i="6" s="1"/>
  <c r="CF59" i="6" s="1"/>
  <c r="CF60" i="6" s="1"/>
  <c r="CF61" i="6" s="1"/>
  <c r="CF62" i="6" s="1"/>
  <c r="CF63" i="6" s="1"/>
  <c r="CF64" i="6" s="1"/>
  <c r="CF65" i="6" s="1"/>
  <c r="CF66" i="6" s="1"/>
  <c r="CF67" i="6" s="1"/>
  <c r="CF68" i="6" s="1"/>
  <c r="CF69" i="6" s="1"/>
  <c r="CF70" i="6" s="1"/>
  <c r="CF71" i="6" s="1"/>
  <c r="CF72" i="6" s="1"/>
  <c r="CF73" i="6" s="1"/>
  <c r="CF74" i="6" s="1"/>
  <c r="CF75" i="6" s="1"/>
  <c r="CF76" i="6" s="1"/>
  <c r="CF77" i="6" s="1"/>
  <c r="CF78" i="6" s="1"/>
  <c r="CF79" i="6" s="1"/>
  <c r="CF80" i="6" s="1"/>
  <c r="CF81" i="6" s="1"/>
  <c r="CF82" i="6" s="1"/>
  <c r="CF83" i="6" s="1"/>
  <c r="CF84" i="6" s="1"/>
  <c r="CF85" i="6" s="1"/>
  <c r="CF86" i="6" s="1"/>
  <c r="CF87" i="6" s="1"/>
  <c r="CF88" i="6" s="1"/>
  <c r="CF89" i="6" s="1"/>
  <c r="CF90" i="6" s="1"/>
  <c r="CF91" i="6" s="1"/>
  <c r="CF92" i="6" s="1"/>
  <c r="CF93" i="6" s="1"/>
  <c r="CF94" i="6" s="1"/>
  <c r="CF95" i="6" s="1"/>
  <c r="CF96" i="6" s="1"/>
  <c r="CF97" i="6" s="1"/>
  <c r="CF98" i="6" s="1"/>
  <c r="CF99" i="6" s="1"/>
  <c r="CF100" i="6" s="1"/>
  <c r="CF101" i="6" s="1"/>
  <c r="CF102" i="6" s="1"/>
  <c r="CF103" i="6" s="1"/>
  <c r="CF104" i="6" s="1"/>
  <c r="CF105" i="6" s="1"/>
  <c r="CF106" i="6" s="1"/>
  <c r="CF107" i="6" s="1"/>
  <c r="CF108" i="6" s="1"/>
  <c r="CF109" i="6" s="1"/>
  <c r="CF110" i="6" s="1"/>
  <c r="CF111" i="6" s="1"/>
  <c r="CF112" i="6" s="1"/>
  <c r="CF113" i="6" s="1"/>
  <c r="CF114" i="6" s="1"/>
  <c r="CF115" i="6" s="1"/>
  <c r="CF116" i="6" s="1"/>
  <c r="CF117" i="6" s="1"/>
  <c r="CF118" i="6" s="1"/>
  <c r="CF119" i="6" s="1"/>
  <c r="CF120" i="6" s="1"/>
  <c r="CF121" i="6" s="1"/>
  <c r="CF122" i="6" s="1"/>
  <c r="CF123" i="6" s="1"/>
  <c r="CF124" i="6" s="1"/>
  <c r="CF125" i="6" s="1"/>
  <c r="CF126" i="6" s="1"/>
  <c r="CF127" i="6" s="1"/>
  <c r="CF128" i="6" s="1"/>
  <c r="CF129" i="6" s="1"/>
  <c r="CF130" i="6" s="1"/>
  <c r="CF131" i="6" s="1"/>
  <c r="CF132" i="6" s="1"/>
  <c r="CF133" i="6" s="1"/>
  <c r="CF134" i="6" s="1"/>
  <c r="CF135" i="6" s="1"/>
  <c r="CF136" i="6" s="1"/>
  <c r="CF137" i="6" s="1"/>
  <c r="CF138" i="6" s="1"/>
  <c r="CF139" i="6" s="1"/>
  <c r="CF140" i="6" s="1"/>
  <c r="CF141" i="6" s="1"/>
  <c r="CF142" i="6" s="1"/>
  <c r="CF143" i="6" s="1"/>
  <c r="CF144" i="6" s="1"/>
  <c r="CF145" i="6" s="1"/>
  <c r="CF146" i="6" s="1"/>
  <c r="CF147" i="6" s="1"/>
  <c r="CF148" i="6" s="1"/>
  <c r="CF149" i="6" s="1"/>
  <c r="CF150" i="6" s="1"/>
  <c r="CF151" i="6" s="1"/>
  <c r="CF152" i="6" s="1"/>
  <c r="CF153" i="6" s="1"/>
  <c r="CF154" i="6" s="1"/>
  <c r="CF155" i="6" s="1"/>
  <c r="CF156" i="6" s="1"/>
  <c r="CF157" i="6" s="1"/>
  <c r="CF158" i="6" s="1"/>
  <c r="CF159" i="6" s="1"/>
  <c r="CF160" i="6" s="1"/>
  <c r="CF161" i="6" s="1"/>
  <c r="CF162" i="6" s="1"/>
  <c r="CF163" i="6" s="1"/>
  <c r="CF164" i="6" s="1"/>
  <c r="CF165" i="6" s="1"/>
  <c r="CF166" i="6" s="1"/>
  <c r="CF167" i="6" s="1"/>
  <c r="CF168" i="6" s="1"/>
  <c r="CF169" i="6" s="1"/>
  <c r="CF170" i="6" s="1"/>
  <c r="CF171" i="6" s="1"/>
  <c r="CF172" i="6" s="1"/>
  <c r="CF173" i="6" s="1"/>
  <c r="CF174" i="6" s="1"/>
  <c r="CF175" i="6" s="1"/>
  <c r="CF176" i="6" s="1"/>
  <c r="CF177" i="6" s="1"/>
  <c r="CF178" i="6" s="1"/>
  <c r="CF179" i="6" s="1"/>
  <c r="CF180" i="6" s="1"/>
  <c r="CF181" i="6" s="1"/>
  <c r="CF182" i="6" s="1"/>
  <c r="CF183" i="6" s="1"/>
  <c r="CF184" i="6" s="1"/>
  <c r="CF185" i="6" s="1"/>
  <c r="CF186" i="6" s="1"/>
  <c r="CF187" i="6" s="1"/>
  <c r="CF188" i="6" s="1"/>
  <c r="CF189" i="6" s="1"/>
  <c r="CF190" i="6" s="1"/>
  <c r="CF191" i="6" s="1"/>
  <c r="CF192" i="6" s="1"/>
  <c r="CF193" i="6" s="1"/>
  <c r="CF194" i="6" s="1"/>
  <c r="CF195" i="6" s="1"/>
  <c r="CF196" i="6" s="1"/>
  <c r="CF197" i="6" s="1"/>
  <c r="CF198" i="6" s="1"/>
  <c r="CF199" i="6" s="1"/>
  <c r="CF200" i="6" s="1"/>
  <c r="CF201" i="6" s="1"/>
  <c r="CF202" i="6" s="1"/>
  <c r="CF203" i="6" s="1"/>
  <c r="CF204" i="6" s="1"/>
  <c r="CF205" i="6" s="1"/>
  <c r="CF206" i="6" s="1"/>
  <c r="CF207" i="6" s="1"/>
  <c r="CF208" i="6" s="1"/>
  <c r="CF209" i="6" s="1"/>
  <c r="CF210" i="6" s="1"/>
  <c r="CF211" i="6" s="1"/>
  <c r="CF212" i="6" s="1"/>
  <c r="CF213" i="6" s="1"/>
  <c r="CF214" i="6" s="1"/>
  <c r="CF215" i="6" s="1"/>
  <c r="CF216" i="6" s="1"/>
  <c r="CF217" i="6" s="1"/>
  <c r="CF218" i="6" s="1"/>
  <c r="CF219" i="6" s="1"/>
  <c r="CF220" i="6" s="1"/>
  <c r="CF221" i="6" s="1"/>
  <c r="CF222" i="6" s="1"/>
  <c r="CF223" i="6" s="1"/>
  <c r="CF224" i="6" s="1"/>
  <c r="CF225" i="6" s="1"/>
  <c r="CF226" i="6" s="1"/>
  <c r="CF227" i="6" s="1"/>
  <c r="CF228" i="6" s="1"/>
  <c r="CF229" i="6" s="1"/>
  <c r="CF230" i="6" s="1"/>
  <c r="CF231" i="6" s="1"/>
  <c r="CF232" i="6" s="1"/>
  <c r="CF233" i="6" s="1"/>
  <c r="CF234" i="6" s="1"/>
  <c r="CF235" i="6" s="1"/>
  <c r="CF236" i="6" s="1"/>
  <c r="CF237" i="6" s="1"/>
  <c r="CF238" i="6" s="1"/>
  <c r="CF239" i="6" s="1"/>
  <c r="CF240" i="6" s="1"/>
  <c r="CF241" i="6" s="1"/>
  <c r="CF242" i="6" s="1"/>
  <c r="CF243" i="6" s="1"/>
  <c r="CF244" i="6" s="1"/>
  <c r="CF245" i="6" s="1"/>
  <c r="CF246" i="6" s="1"/>
  <c r="CF247" i="6" s="1"/>
  <c r="CF248" i="6" s="1"/>
  <c r="CF249" i="6" s="1"/>
  <c r="CF250" i="6" s="1"/>
  <c r="CF251" i="6" s="1"/>
  <c r="CF252" i="6" s="1"/>
  <c r="CF253" i="6" s="1"/>
  <c r="CF254" i="6" s="1"/>
  <c r="CF255" i="6" s="1"/>
  <c r="CJ5" i="6"/>
  <c r="CJ6" i="6" s="1"/>
  <c r="CJ7" i="6" s="1"/>
  <c r="CJ8" i="6" s="1"/>
  <c r="CJ9" i="6" s="1"/>
  <c r="CJ10" i="6" s="1"/>
  <c r="CJ11" i="6" s="1"/>
  <c r="CJ12" i="6" s="1"/>
  <c r="CJ13" i="6" s="1"/>
  <c r="CJ14" i="6" s="1"/>
  <c r="CJ15" i="6" s="1"/>
  <c r="CJ16" i="6" s="1"/>
  <c r="CJ17" i="6" s="1"/>
  <c r="CJ18" i="6" s="1"/>
  <c r="CJ19" i="6" s="1"/>
  <c r="CJ20" i="6" s="1"/>
  <c r="CJ21" i="6" s="1"/>
  <c r="CJ22" i="6" s="1"/>
  <c r="CJ23" i="6" s="1"/>
  <c r="CJ24" i="6" s="1"/>
  <c r="CJ25" i="6" s="1"/>
  <c r="CJ26" i="6" s="1"/>
  <c r="CJ27" i="6" s="1"/>
  <c r="CJ28" i="6" s="1"/>
  <c r="CJ29" i="6" s="1"/>
  <c r="CJ30" i="6" s="1"/>
  <c r="CJ31" i="6" s="1"/>
  <c r="CJ32" i="6" s="1"/>
  <c r="CJ33" i="6" s="1"/>
  <c r="CJ34" i="6" s="1"/>
  <c r="CJ35" i="6" s="1"/>
  <c r="CJ36" i="6" s="1"/>
  <c r="CJ37" i="6" s="1"/>
  <c r="CJ38" i="6" s="1"/>
  <c r="CJ39" i="6" s="1"/>
  <c r="CJ40" i="6" s="1"/>
  <c r="CJ41" i="6" s="1"/>
  <c r="CJ42" i="6" s="1"/>
  <c r="CJ43" i="6" s="1"/>
  <c r="CJ44" i="6" s="1"/>
  <c r="CJ45" i="6" s="1"/>
  <c r="CJ46" i="6" s="1"/>
  <c r="CJ47" i="6" s="1"/>
  <c r="CJ48" i="6" s="1"/>
  <c r="CJ49" i="6" s="1"/>
  <c r="CJ50" i="6" s="1"/>
  <c r="CJ51" i="6" s="1"/>
  <c r="CJ52" i="6" s="1"/>
  <c r="CJ53" i="6" s="1"/>
  <c r="CJ54" i="6" s="1"/>
  <c r="CJ55" i="6" s="1"/>
  <c r="CJ56" i="6" s="1"/>
  <c r="CJ57" i="6" s="1"/>
  <c r="CJ58" i="6" s="1"/>
  <c r="CJ59" i="6" s="1"/>
  <c r="CJ60" i="6" s="1"/>
  <c r="CJ61" i="6" s="1"/>
  <c r="CJ62" i="6" s="1"/>
  <c r="CJ63" i="6" s="1"/>
  <c r="CJ64" i="6" s="1"/>
  <c r="CJ65" i="6" s="1"/>
  <c r="CJ66" i="6" s="1"/>
  <c r="CJ67" i="6" s="1"/>
  <c r="CJ68" i="6" s="1"/>
  <c r="CJ69" i="6" s="1"/>
  <c r="CJ70" i="6" s="1"/>
  <c r="CJ71" i="6" s="1"/>
  <c r="CJ72" i="6" s="1"/>
  <c r="CJ73" i="6" s="1"/>
  <c r="CJ74" i="6" s="1"/>
  <c r="CJ75" i="6" s="1"/>
  <c r="CJ76" i="6" s="1"/>
  <c r="CJ77" i="6" s="1"/>
  <c r="CJ78" i="6" s="1"/>
  <c r="CJ79" i="6" s="1"/>
  <c r="CJ80" i="6" s="1"/>
  <c r="CJ81" i="6" s="1"/>
  <c r="CJ82" i="6" s="1"/>
  <c r="CJ83" i="6" s="1"/>
  <c r="CJ84" i="6" s="1"/>
  <c r="CJ85" i="6" s="1"/>
  <c r="CJ86" i="6" s="1"/>
  <c r="CJ87" i="6" s="1"/>
  <c r="CJ88" i="6" s="1"/>
  <c r="CJ89" i="6" s="1"/>
  <c r="CJ90" i="6" s="1"/>
  <c r="CJ91" i="6" s="1"/>
  <c r="CJ92" i="6" s="1"/>
  <c r="CJ93" i="6" s="1"/>
  <c r="CJ94" i="6" s="1"/>
  <c r="CJ95" i="6" s="1"/>
  <c r="CJ96" i="6" s="1"/>
  <c r="CJ97" i="6" s="1"/>
  <c r="CJ98" i="6" s="1"/>
  <c r="CJ99" i="6" s="1"/>
  <c r="CJ100" i="6" s="1"/>
  <c r="CJ101" i="6" s="1"/>
  <c r="CJ102" i="6" s="1"/>
  <c r="CJ103" i="6" s="1"/>
  <c r="CJ104" i="6" s="1"/>
  <c r="CJ105" i="6" s="1"/>
  <c r="CJ106" i="6" s="1"/>
  <c r="CJ107" i="6" s="1"/>
  <c r="CJ108" i="6" s="1"/>
  <c r="CJ109" i="6" s="1"/>
  <c r="CJ110" i="6" s="1"/>
  <c r="CJ111" i="6" s="1"/>
  <c r="CJ112" i="6" s="1"/>
  <c r="CJ113" i="6" s="1"/>
  <c r="CJ114" i="6" s="1"/>
  <c r="CJ115" i="6" s="1"/>
  <c r="CJ116" i="6" s="1"/>
  <c r="CJ117" i="6" s="1"/>
  <c r="CJ118" i="6" s="1"/>
  <c r="CJ119" i="6" s="1"/>
  <c r="CJ120" i="6" s="1"/>
  <c r="CJ121" i="6" s="1"/>
  <c r="CJ122" i="6" s="1"/>
  <c r="CJ123" i="6" s="1"/>
  <c r="CJ124" i="6" s="1"/>
  <c r="CJ125" i="6" s="1"/>
  <c r="CJ126" i="6" s="1"/>
  <c r="CJ127" i="6" s="1"/>
  <c r="CJ128" i="6" s="1"/>
  <c r="CJ129" i="6" s="1"/>
  <c r="CJ130" i="6" s="1"/>
  <c r="CJ131" i="6" s="1"/>
  <c r="CJ132" i="6" s="1"/>
  <c r="CJ133" i="6" s="1"/>
  <c r="CJ134" i="6" s="1"/>
  <c r="CJ135" i="6" s="1"/>
  <c r="CJ136" i="6" s="1"/>
  <c r="CJ137" i="6" s="1"/>
  <c r="CJ138" i="6" s="1"/>
  <c r="CJ139" i="6" s="1"/>
  <c r="CJ140" i="6" s="1"/>
  <c r="CJ141" i="6" s="1"/>
  <c r="CJ142" i="6" s="1"/>
  <c r="CJ143" i="6" s="1"/>
  <c r="CJ144" i="6" s="1"/>
  <c r="CJ145" i="6" s="1"/>
  <c r="CJ146" i="6" s="1"/>
  <c r="CJ147" i="6" s="1"/>
  <c r="CJ148" i="6" s="1"/>
  <c r="CJ149" i="6" s="1"/>
  <c r="CJ150" i="6" s="1"/>
  <c r="CJ151" i="6" s="1"/>
  <c r="CJ152" i="6" s="1"/>
  <c r="CJ153" i="6" s="1"/>
  <c r="CJ154" i="6" s="1"/>
  <c r="CJ155" i="6" s="1"/>
  <c r="CJ156" i="6" s="1"/>
  <c r="CJ157" i="6" s="1"/>
  <c r="CJ158" i="6" s="1"/>
  <c r="CJ159" i="6" s="1"/>
  <c r="CJ160" i="6" s="1"/>
  <c r="CJ161" i="6" s="1"/>
  <c r="CJ162" i="6" s="1"/>
  <c r="CJ163" i="6" s="1"/>
  <c r="CJ164" i="6" s="1"/>
  <c r="CJ165" i="6" s="1"/>
  <c r="CJ166" i="6" s="1"/>
  <c r="CJ167" i="6" s="1"/>
  <c r="CJ168" i="6" s="1"/>
  <c r="CJ169" i="6" s="1"/>
  <c r="CJ170" i="6" s="1"/>
  <c r="CJ171" i="6" s="1"/>
  <c r="CJ172" i="6" s="1"/>
  <c r="CJ173" i="6" s="1"/>
  <c r="CJ174" i="6" s="1"/>
  <c r="CJ175" i="6" s="1"/>
  <c r="CJ176" i="6" s="1"/>
  <c r="CJ177" i="6" s="1"/>
  <c r="CJ178" i="6" s="1"/>
  <c r="CJ179" i="6" s="1"/>
  <c r="CJ180" i="6" s="1"/>
  <c r="CJ181" i="6" s="1"/>
  <c r="CJ182" i="6" s="1"/>
  <c r="CJ183" i="6" s="1"/>
  <c r="CJ184" i="6" s="1"/>
  <c r="CJ185" i="6" s="1"/>
  <c r="CJ186" i="6" s="1"/>
  <c r="CJ187" i="6" s="1"/>
  <c r="CJ188" i="6" s="1"/>
  <c r="CJ189" i="6" s="1"/>
  <c r="CJ190" i="6" s="1"/>
  <c r="CJ191" i="6" s="1"/>
  <c r="CJ192" i="6" s="1"/>
  <c r="CJ193" i="6" s="1"/>
  <c r="CJ194" i="6" s="1"/>
  <c r="CJ195" i="6" s="1"/>
  <c r="CJ196" i="6" s="1"/>
  <c r="CJ197" i="6" s="1"/>
  <c r="CJ198" i="6" s="1"/>
  <c r="CJ199" i="6" s="1"/>
  <c r="CJ200" i="6" s="1"/>
  <c r="CJ201" i="6" s="1"/>
  <c r="CJ202" i="6" s="1"/>
  <c r="CJ203" i="6" s="1"/>
  <c r="CJ204" i="6" s="1"/>
  <c r="CJ205" i="6" s="1"/>
  <c r="CJ206" i="6" s="1"/>
  <c r="CJ207" i="6" s="1"/>
  <c r="CJ208" i="6" s="1"/>
  <c r="CJ209" i="6" s="1"/>
  <c r="CJ210" i="6" s="1"/>
  <c r="CJ211" i="6" s="1"/>
  <c r="CJ212" i="6" s="1"/>
  <c r="CJ213" i="6" s="1"/>
  <c r="CJ214" i="6" s="1"/>
  <c r="CJ215" i="6" s="1"/>
  <c r="CJ216" i="6" s="1"/>
  <c r="CJ217" i="6" s="1"/>
  <c r="CJ218" i="6" s="1"/>
  <c r="CJ219" i="6" s="1"/>
  <c r="CJ220" i="6" s="1"/>
  <c r="CJ221" i="6" s="1"/>
  <c r="CJ222" i="6" s="1"/>
  <c r="CJ223" i="6" s="1"/>
  <c r="CJ224" i="6" s="1"/>
  <c r="CJ225" i="6" s="1"/>
  <c r="CJ226" i="6" s="1"/>
  <c r="CJ227" i="6" s="1"/>
  <c r="CJ228" i="6" s="1"/>
  <c r="CJ229" i="6" s="1"/>
  <c r="CJ230" i="6" s="1"/>
  <c r="CJ231" i="6" s="1"/>
  <c r="CJ232" i="6" s="1"/>
  <c r="CJ233" i="6" s="1"/>
  <c r="CJ234" i="6" s="1"/>
  <c r="CJ235" i="6" s="1"/>
  <c r="CJ236" i="6" s="1"/>
  <c r="CJ237" i="6" s="1"/>
  <c r="CJ238" i="6" s="1"/>
  <c r="CJ239" i="6" s="1"/>
  <c r="CJ240" i="6" s="1"/>
  <c r="CJ241" i="6" s="1"/>
  <c r="CJ242" i="6" s="1"/>
  <c r="CJ243" i="6" s="1"/>
  <c r="CJ244" i="6" s="1"/>
  <c r="CJ245" i="6" s="1"/>
  <c r="CJ246" i="6" s="1"/>
  <c r="CJ247" i="6" s="1"/>
  <c r="CJ248" i="6" s="1"/>
  <c r="CJ249" i="6" s="1"/>
  <c r="CJ250" i="6" s="1"/>
  <c r="CJ251" i="6" s="1"/>
  <c r="CJ252" i="6" s="1"/>
  <c r="CJ253" i="6" s="1"/>
  <c r="CJ254" i="6" s="1"/>
  <c r="CJ255" i="6" s="1"/>
  <c r="CM5" i="6"/>
  <c r="CM6" i="6" s="1"/>
  <c r="CM7" i="6" s="1"/>
  <c r="CM8" i="6" s="1"/>
  <c r="CM9" i="6" s="1"/>
  <c r="CM10" i="6" s="1"/>
  <c r="CM11" i="6" s="1"/>
  <c r="CM12" i="6" s="1"/>
  <c r="CM13" i="6" s="1"/>
  <c r="CM14" i="6" s="1"/>
  <c r="CM15" i="6" s="1"/>
  <c r="CM16" i="6" s="1"/>
  <c r="CM17" i="6" s="1"/>
  <c r="CM18" i="6" s="1"/>
  <c r="CM19" i="6" s="1"/>
  <c r="CM20" i="6" s="1"/>
  <c r="CM21" i="6" s="1"/>
  <c r="CM22" i="6" s="1"/>
  <c r="CM23" i="6" s="1"/>
  <c r="CM24" i="6" s="1"/>
  <c r="CM25" i="6" s="1"/>
  <c r="CM26" i="6" s="1"/>
  <c r="CM27" i="6" s="1"/>
  <c r="CM28" i="6" s="1"/>
  <c r="CM29" i="6" s="1"/>
  <c r="CM30" i="6" s="1"/>
  <c r="CM31" i="6" s="1"/>
  <c r="CM32" i="6" s="1"/>
  <c r="CM33" i="6" s="1"/>
  <c r="CM34" i="6" s="1"/>
  <c r="CM35" i="6" s="1"/>
  <c r="CM36" i="6" s="1"/>
  <c r="CM37" i="6" s="1"/>
  <c r="CM38" i="6" s="1"/>
  <c r="CM39" i="6" s="1"/>
  <c r="CM40" i="6" s="1"/>
  <c r="CM41" i="6" s="1"/>
  <c r="CM42" i="6" s="1"/>
  <c r="CM43" i="6" s="1"/>
  <c r="CM44" i="6" s="1"/>
  <c r="CM45" i="6" s="1"/>
  <c r="CM46" i="6" s="1"/>
  <c r="CM47" i="6" s="1"/>
  <c r="CM48" i="6" s="1"/>
  <c r="CM49" i="6" s="1"/>
  <c r="CM50" i="6" s="1"/>
  <c r="CM51" i="6" s="1"/>
  <c r="CM52" i="6" s="1"/>
  <c r="CM53" i="6" s="1"/>
  <c r="CM54" i="6" s="1"/>
  <c r="CM55" i="6" s="1"/>
  <c r="CM56" i="6" s="1"/>
  <c r="CM57" i="6" s="1"/>
  <c r="CM58" i="6" s="1"/>
  <c r="CM59" i="6" s="1"/>
  <c r="CM60" i="6" s="1"/>
  <c r="CM61" i="6" s="1"/>
  <c r="CM62" i="6" s="1"/>
  <c r="CM63" i="6" s="1"/>
  <c r="CM64" i="6" s="1"/>
  <c r="CM65" i="6" s="1"/>
  <c r="CM66" i="6" s="1"/>
  <c r="CM67" i="6" s="1"/>
  <c r="CM68" i="6" s="1"/>
  <c r="CM69" i="6" s="1"/>
  <c r="CM70" i="6" s="1"/>
  <c r="CM71" i="6" s="1"/>
  <c r="CM72" i="6" s="1"/>
  <c r="CM73" i="6" s="1"/>
  <c r="CM74" i="6" s="1"/>
  <c r="CM75" i="6" s="1"/>
  <c r="CM76" i="6" s="1"/>
  <c r="CM77" i="6" s="1"/>
  <c r="CM78" i="6" s="1"/>
  <c r="CM79" i="6" s="1"/>
  <c r="CM80" i="6" s="1"/>
  <c r="CM81" i="6" s="1"/>
  <c r="CM82" i="6" s="1"/>
  <c r="CM83" i="6" s="1"/>
  <c r="CM84" i="6" s="1"/>
  <c r="CM85" i="6" s="1"/>
  <c r="CM86" i="6" s="1"/>
  <c r="CM87" i="6" s="1"/>
  <c r="CM88" i="6" s="1"/>
  <c r="CM89" i="6" s="1"/>
  <c r="CM90" i="6" s="1"/>
  <c r="CM91" i="6" s="1"/>
  <c r="CM92" i="6" s="1"/>
  <c r="CM93" i="6" s="1"/>
  <c r="CM94" i="6" s="1"/>
  <c r="CM95" i="6" s="1"/>
  <c r="CM96" i="6" s="1"/>
  <c r="CM97" i="6" s="1"/>
  <c r="CM98" i="6" s="1"/>
  <c r="CM99" i="6" s="1"/>
  <c r="CM100" i="6" s="1"/>
  <c r="CM101" i="6" s="1"/>
  <c r="CM102" i="6" s="1"/>
  <c r="CM103" i="6" s="1"/>
  <c r="CM104" i="6" s="1"/>
  <c r="CM105" i="6" s="1"/>
  <c r="CM106" i="6" s="1"/>
  <c r="CM107" i="6" s="1"/>
  <c r="CM108" i="6" s="1"/>
  <c r="CM109" i="6" s="1"/>
  <c r="CM110" i="6" s="1"/>
  <c r="CM111" i="6" s="1"/>
  <c r="CM112" i="6" s="1"/>
  <c r="CM113" i="6" s="1"/>
  <c r="CM114" i="6" s="1"/>
  <c r="CM115" i="6" s="1"/>
  <c r="CM116" i="6" s="1"/>
  <c r="CM117" i="6" s="1"/>
  <c r="CM118" i="6" s="1"/>
  <c r="CM119" i="6" s="1"/>
  <c r="CM120" i="6" s="1"/>
  <c r="CM121" i="6" s="1"/>
  <c r="CM122" i="6" s="1"/>
  <c r="CM123" i="6" s="1"/>
  <c r="CM124" i="6" s="1"/>
  <c r="CM125" i="6" s="1"/>
  <c r="CM126" i="6" s="1"/>
  <c r="CM127" i="6" s="1"/>
  <c r="CM128" i="6" s="1"/>
  <c r="CM129" i="6" s="1"/>
  <c r="CM130" i="6" s="1"/>
  <c r="CM131" i="6" s="1"/>
  <c r="CM132" i="6" s="1"/>
  <c r="CM133" i="6" s="1"/>
  <c r="CM134" i="6" s="1"/>
  <c r="CM135" i="6" s="1"/>
  <c r="CM136" i="6" s="1"/>
  <c r="CM137" i="6" s="1"/>
  <c r="CM138" i="6" s="1"/>
  <c r="CM139" i="6" s="1"/>
  <c r="CM140" i="6" s="1"/>
  <c r="CM141" i="6" s="1"/>
  <c r="CM142" i="6" s="1"/>
  <c r="CM143" i="6" s="1"/>
  <c r="CM144" i="6" s="1"/>
  <c r="CM145" i="6" s="1"/>
  <c r="CM146" i="6" s="1"/>
  <c r="CM147" i="6" s="1"/>
  <c r="CM148" i="6" s="1"/>
  <c r="CM149" i="6" s="1"/>
  <c r="CM150" i="6" s="1"/>
  <c r="CM151" i="6" s="1"/>
  <c r="CM152" i="6" s="1"/>
  <c r="CM153" i="6" s="1"/>
  <c r="CM154" i="6" s="1"/>
  <c r="CM155" i="6" s="1"/>
  <c r="CM156" i="6" s="1"/>
  <c r="CM157" i="6" s="1"/>
  <c r="CM158" i="6" s="1"/>
  <c r="CM159" i="6" s="1"/>
  <c r="CM160" i="6" s="1"/>
  <c r="CM161" i="6" s="1"/>
  <c r="CM162" i="6" s="1"/>
  <c r="CM163" i="6" s="1"/>
  <c r="CM164" i="6" s="1"/>
  <c r="CM165" i="6" s="1"/>
  <c r="CM166" i="6" s="1"/>
  <c r="CM167" i="6" s="1"/>
  <c r="CM168" i="6" s="1"/>
  <c r="CM169" i="6" s="1"/>
  <c r="CM170" i="6" s="1"/>
  <c r="CM171" i="6" s="1"/>
  <c r="CM172" i="6" s="1"/>
  <c r="CM173" i="6" s="1"/>
  <c r="CM174" i="6" s="1"/>
  <c r="CM175" i="6" s="1"/>
  <c r="CM176" i="6" s="1"/>
  <c r="CM177" i="6" s="1"/>
  <c r="CM178" i="6" s="1"/>
  <c r="CM179" i="6" s="1"/>
  <c r="CM180" i="6" s="1"/>
  <c r="CM181" i="6" s="1"/>
  <c r="CM182" i="6" s="1"/>
  <c r="CM183" i="6" s="1"/>
  <c r="CM184" i="6" s="1"/>
  <c r="CM185" i="6" s="1"/>
  <c r="CM186" i="6" s="1"/>
  <c r="CM187" i="6" s="1"/>
  <c r="CM188" i="6" s="1"/>
  <c r="CM189" i="6" s="1"/>
  <c r="CM190" i="6" s="1"/>
  <c r="CM191" i="6" s="1"/>
  <c r="CM192" i="6" s="1"/>
  <c r="CM193" i="6" s="1"/>
  <c r="CM194" i="6" s="1"/>
  <c r="CM195" i="6" s="1"/>
  <c r="CM196" i="6" s="1"/>
  <c r="CM197" i="6" s="1"/>
  <c r="CM198" i="6" s="1"/>
  <c r="CM199" i="6" s="1"/>
  <c r="CM200" i="6" s="1"/>
  <c r="CM201" i="6" s="1"/>
  <c r="CM202" i="6" s="1"/>
  <c r="CM203" i="6" s="1"/>
  <c r="CM204" i="6" s="1"/>
  <c r="CM205" i="6" s="1"/>
  <c r="CM206" i="6" s="1"/>
  <c r="CM207" i="6" s="1"/>
  <c r="CM208" i="6" s="1"/>
  <c r="CM209" i="6" s="1"/>
  <c r="CM210" i="6" s="1"/>
  <c r="CM211" i="6" s="1"/>
  <c r="CM212" i="6" s="1"/>
  <c r="CM213" i="6" s="1"/>
  <c r="CM214" i="6" s="1"/>
  <c r="CM215" i="6" s="1"/>
  <c r="CM216" i="6" s="1"/>
  <c r="CM217" i="6" s="1"/>
  <c r="CM218" i="6" s="1"/>
  <c r="CM219" i="6" s="1"/>
  <c r="CM220" i="6" s="1"/>
  <c r="CM221" i="6" s="1"/>
  <c r="CM222" i="6" s="1"/>
  <c r="CM223" i="6" s="1"/>
  <c r="CM224" i="6" s="1"/>
  <c r="CM225" i="6" s="1"/>
  <c r="CM226" i="6" s="1"/>
  <c r="CM227" i="6" s="1"/>
  <c r="CM228" i="6" s="1"/>
  <c r="CM229" i="6" s="1"/>
  <c r="CM230" i="6" s="1"/>
  <c r="CM231" i="6" s="1"/>
  <c r="CM232" i="6" s="1"/>
  <c r="CM233" i="6" s="1"/>
  <c r="CM234" i="6" s="1"/>
  <c r="CM235" i="6" s="1"/>
  <c r="CM236" i="6" s="1"/>
  <c r="CM237" i="6" s="1"/>
  <c r="CM238" i="6" s="1"/>
  <c r="CM239" i="6" s="1"/>
  <c r="CM240" i="6" s="1"/>
  <c r="CM241" i="6" s="1"/>
  <c r="CM242" i="6" s="1"/>
  <c r="CM243" i="6" s="1"/>
  <c r="CM244" i="6" s="1"/>
  <c r="CM245" i="6" s="1"/>
  <c r="CM246" i="6" s="1"/>
  <c r="CM247" i="6" s="1"/>
  <c r="CM248" i="6" s="1"/>
  <c r="CM249" i="6" s="1"/>
  <c r="CM250" i="6" s="1"/>
  <c r="CM251" i="6" s="1"/>
  <c r="CM252" i="6" s="1"/>
  <c r="CM253" i="6" s="1"/>
  <c r="CM254" i="6" s="1"/>
  <c r="CM255" i="6" s="1"/>
  <c r="CU5" i="6"/>
  <c r="CU6" i="6" s="1"/>
  <c r="CU7" i="6" s="1"/>
  <c r="CU8" i="6" s="1"/>
  <c r="CU9" i="6" s="1"/>
  <c r="CU10" i="6" s="1"/>
  <c r="CU11" i="6" s="1"/>
  <c r="CU12" i="6" s="1"/>
  <c r="CU13" i="6" s="1"/>
  <c r="CU14" i="6" s="1"/>
  <c r="CU15" i="6" s="1"/>
  <c r="CU16" i="6" s="1"/>
  <c r="CU17" i="6" s="1"/>
  <c r="CU18" i="6" s="1"/>
  <c r="CU19" i="6" s="1"/>
  <c r="CU20" i="6" s="1"/>
  <c r="CU21" i="6" s="1"/>
  <c r="CU22" i="6" s="1"/>
  <c r="CU23" i="6" s="1"/>
  <c r="CU24" i="6" s="1"/>
  <c r="CU25" i="6" s="1"/>
  <c r="CU26" i="6" s="1"/>
  <c r="CU27" i="6" s="1"/>
  <c r="CU28" i="6" s="1"/>
  <c r="CU29" i="6" s="1"/>
  <c r="CU30" i="6" s="1"/>
  <c r="CU31" i="6" s="1"/>
  <c r="CU32" i="6" s="1"/>
  <c r="CU33" i="6" s="1"/>
  <c r="CU34" i="6" s="1"/>
  <c r="CU35" i="6" s="1"/>
  <c r="CU36" i="6" s="1"/>
  <c r="CU37" i="6" s="1"/>
  <c r="CU38" i="6" s="1"/>
  <c r="CU39" i="6" s="1"/>
  <c r="CU40" i="6" s="1"/>
  <c r="CU41" i="6" s="1"/>
  <c r="CU42" i="6" s="1"/>
  <c r="CU43" i="6" s="1"/>
  <c r="CU44" i="6" s="1"/>
  <c r="CU45" i="6" s="1"/>
  <c r="CU46" i="6" s="1"/>
  <c r="CU47" i="6" s="1"/>
  <c r="CU48" i="6" s="1"/>
  <c r="CU49" i="6" s="1"/>
  <c r="CU50" i="6" s="1"/>
  <c r="CU51" i="6" s="1"/>
  <c r="CU52" i="6" s="1"/>
  <c r="CU53" i="6" s="1"/>
  <c r="CU54" i="6" s="1"/>
  <c r="CU55" i="6" s="1"/>
  <c r="CU56" i="6" s="1"/>
  <c r="CU57" i="6" s="1"/>
  <c r="CU58" i="6" s="1"/>
  <c r="CU59" i="6" s="1"/>
  <c r="CU60" i="6" s="1"/>
  <c r="CU61" i="6" s="1"/>
  <c r="CU62" i="6" s="1"/>
  <c r="CU63" i="6" s="1"/>
  <c r="CU64" i="6" s="1"/>
  <c r="CU65" i="6" s="1"/>
  <c r="CU66" i="6" s="1"/>
  <c r="CU67" i="6" s="1"/>
  <c r="CU68" i="6" s="1"/>
  <c r="CU69" i="6" s="1"/>
  <c r="CU70" i="6" s="1"/>
  <c r="CU71" i="6" s="1"/>
  <c r="CU72" i="6" s="1"/>
  <c r="CU73" i="6" s="1"/>
  <c r="CU74" i="6" s="1"/>
  <c r="CU75" i="6" s="1"/>
  <c r="CU76" i="6" s="1"/>
  <c r="CU77" i="6" s="1"/>
  <c r="CU78" i="6" s="1"/>
  <c r="CU79" i="6" s="1"/>
  <c r="CU80" i="6" s="1"/>
  <c r="CU81" i="6" s="1"/>
  <c r="CU82" i="6" s="1"/>
  <c r="CU83" i="6" s="1"/>
  <c r="CU84" i="6" s="1"/>
  <c r="CU85" i="6" s="1"/>
  <c r="CU86" i="6" s="1"/>
  <c r="CU87" i="6" s="1"/>
  <c r="CU88" i="6" s="1"/>
  <c r="CU89" i="6" s="1"/>
  <c r="CU90" i="6" s="1"/>
  <c r="CU91" i="6" s="1"/>
  <c r="CU92" i="6" s="1"/>
  <c r="CU93" i="6" s="1"/>
  <c r="CU94" i="6" s="1"/>
  <c r="CU95" i="6" s="1"/>
  <c r="CU96" i="6" s="1"/>
  <c r="CU97" i="6" s="1"/>
  <c r="CU98" i="6" s="1"/>
  <c r="CU99" i="6" s="1"/>
  <c r="CU100" i="6" s="1"/>
  <c r="CU101" i="6" s="1"/>
  <c r="CU102" i="6" s="1"/>
  <c r="CU103" i="6" s="1"/>
  <c r="CU104" i="6" s="1"/>
  <c r="CU105" i="6" s="1"/>
  <c r="CU106" i="6" s="1"/>
  <c r="CU107" i="6" s="1"/>
  <c r="CU108" i="6" s="1"/>
  <c r="CU109" i="6" s="1"/>
  <c r="CU110" i="6" s="1"/>
  <c r="CU111" i="6" s="1"/>
  <c r="CU112" i="6" s="1"/>
  <c r="CU113" i="6" s="1"/>
  <c r="CU114" i="6" s="1"/>
  <c r="CU115" i="6" s="1"/>
  <c r="CU116" i="6" s="1"/>
  <c r="CU117" i="6" s="1"/>
  <c r="CU118" i="6" s="1"/>
  <c r="CU119" i="6" s="1"/>
  <c r="CU120" i="6" s="1"/>
  <c r="CU121" i="6" s="1"/>
  <c r="CU122" i="6" s="1"/>
  <c r="CU123" i="6" s="1"/>
  <c r="CU124" i="6" s="1"/>
  <c r="CU125" i="6" s="1"/>
  <c r="CU126" i="6" s="1"/>
  <c r="CU127" i="6" s="1"/>
  <c r="CU128" i="6" s="1"/>
  <c r="CU129" i="6" s="1"/>
  <c r="CU130" i="6" s="1"/>
  <c r="CU131" i="6" s="1"/>
  <c r="CU132" i="6" s="1"/>
  <c r="CU133" i="6" s="1"/>
  <c r="CU134" i="6" s="1"/>
  <c r="CU135" i="6" s="1"/>
  <c r="CU136" i="6" s="1"/>
  <c r="CU137" i="6" s="1"/>
  <c r="CU138" i="6" s="1"/>
  <c r="CU139" i="6" s="1"/>
  <c r="CU140" i="6" s="1"/>
  <c r="CU141" i="6" s="1"/>
  <c r="CU142" i="6" s="1"/>
  <c r="CU143" i="6" s="1"/>
  <c r="CU144" i="6" s="1"/>
  <c r="CU145" i="6" s="1"/>
  <c r="CU146" i="6" s="1"/>
  <c r="CU147" i="6" s="1"/>
  <c r="CU148" i="6" s="1"/>
  <c r="CU149" i="6" s="1"/>
  <c r="CU150" i="6" s="1"/>
  <c r="CU151" i="6" s="1"/>
  <c r="CU152" i="6" s="1"/>
  <c r="CU153" i="6" s="1"/>
  <c r="CU154" i="6" s="1"/>
  <c r="CU155" i="6" s="1"/>
  <c r="CU156" i="6" s="1"/>
  <c r="CU157" i="6" s="1"/>
  <c r="CU158" i="6" s="1"/>
  <c r="CU159" i="6" s="1"/>
  <c r="CU160" i="6" s="1"/>
  <c r="CU161" i="6" s="1"/>
  <c r="CU162" i="6" s="1"/>
  <c r="CU163" i="6" s="1"/>
  <c r="CU164" i="6" s="1"/>
  <c r="CU165" i="6" s="1"/>
  <c r="CU166" i="6" s="1"/>
  <c r="CU167" i="6" s="1"/>
  <c r="CU168" i="6" s="1"/>
  <c r="CU169" i="6" s="1"/>
  <c r="CU170" i="6" s="1"/>
  <c r="CU171" i="6" s="1"/>
  <c r="CU172" i="6" s="1"/>
  <c r="CU173" i="6" s="1"/>
  <c r="CU174" i="6" s="1"/>
  <c r="CU175" i="6" s="1"/>
  <c r="CU176" i="6" s="1"/>
  <c r="CU177" i="6" s="1"/>
  <c r="CU178" i="6" s="1"/>
  <c r="CU179" i="6" s="1"/>
  <c r="CU180" i="6" s="1"/>
  <c r="CU181" i="6" s="1"/>
  <c r="CU182" i="6" s="1"/>
  <c r="CU183" i="6" s="1"/>
  <c r="CU184" i="6" s="1"/>
  <c r="CU185" i="6" s="1"/>
  <c r="CU186" i="6" s="1"/>
  <c r="CU187" i="6" s="1"/>
  <c r="CU188" i="6" s="1"/>
  <c r="CU189" i="6" s="1"/>
  <c r="CU190" i="6" s="1"/>
  <c r="CU191" i="6" s="1"/>
  <c r="CU192" i="6" s="1"/>
  <c r="CU193" i="6" s="1"/>
  <c r="CU194" i="6" s="1"/>
  <c r="CU195" i="6" s="1"/>
  <c r="CU196" i="6" s="1"/>
  <c r="CU197" i="6" s="1"/>
  <c r="CU198" i="6" s="1"/>
  <c r="CU199" i="6" s="1"/>
  <c r="CU200" i="6" s="1"/>
  <c r="CU201" i="6" s="1"/>
  <c r="CU202" i="6" s="1"/>
  <c r="CU203" i="6" s="1"/>
  <c r="CU204" i="6" s="1"/>
  <c r="CU205" i="6" s="1"/>
  <c r="CU206" i="6" s="1"/>
  <c r="CU207" i="6" s="1"/>
  <c r="CU208" i="6" s="1"/>
  <c r="CU209" i="6" s="1"/>
  <c r="CU210" i="6" s="1"/>
  <c r="CU211" i="6" s="1"/>
  <c r="CU212" i="6" s="1"/>
  <c r="CU213" i="6" s="1"/>
  <c r="CU214" i="6" s="1"/>
  <c r="CU215" i="6" s="1"/>
  <c r="CU216" i="6" s="1"/>
  <c r="CU217" i="6" s="1"/>
  <c r="CU218" i="6" s="1"/>
  <c r="CU219" i="6" s="1"/>
  <c r="CU220" i="6" s="1"/>
  <c r="CU221" i="6" s="1"/>
  <c r="CU222" i="6" s="1"/>
  <c r="CU223" i="6" s="1"/>
  <c r="CU224" i="6" s="1"/>
  <c r="CU225" i="6" s="1"/>
  <c r="CU226" i="6" s="1"/>
  <c r="CU227" i="6" s="1"/>
  <c r="CU228" i="6" s="1"/>
  <c r="CU229" i="6" s="1"/>
  <c r="CU230" i="6" s="1"/>
  <c r="CU231" i="6" s="1"/>
  <c r="CU232" i="6" s="1"/>
  <c r="CU233" i="6" s="1"/>
  <c r="CU234" i="6" s="1"/>
  <c r="CU235" i="6" s="1"/>
  <c r="CU236" i="6" s="1"/>
  <c r="CU237" i="6" s="1"/>
  <c r="CU238" i="6" s="1"/>
  <c r="CU239" i="6" s="1"/>
  <c r="CU240" i="6" s="1"/>
  <c r="CU241" i="6" s="1"/>
  <c r="CU242" i="6" s="1"/>
  <c r="CU243" i="6" s="1"/>
  <c r="CU244" i="6" s="1"/>
  <c r="CU245" i="6" s="1"/>
  <c r="CU246" i="6" s="1"/>
  <c r="CU247" i="6" s="1"/>
  <c r="CU248" i="6" s="1"/>
  <c r="CU249" i="6" s="1"/>
  <c r="CU250" i="6" s="1"/>
  <c r="CU251" i="6" s="1"/>
  <c r="CU252" i="6" s="1"/>
  <c r="CU253" i="6" s="1"/>
  <c r="CU254" i="6" s="1"/>
  <c r="CU255" i="6" s="1"/>
  <c r="CV5" i="6"/>
  <c r="CV6" i="6" s="1"/>
  <c r="CV7" i="6" s="1"/>
  <c r="CV8" i="6" s="1"/>
  <c r="CV9" i="6" s="1"/>
  <c r="CV10" i="6" s="1"/>
  <c r="CV11" i="6" s="1"/>
  <c r="CV12" i="6" s="1"/>
  <c r="CV13" i="6" s="1"/>
  <c r="CV14" i="6" s="1"/>
  <c r="CV15" i="6" s="1"/>
  <c r="CV16" i="6" s="1"/>
  <c r="CV17" i="6" s="1"/>
  <c r="CV18" i="6" s="1"/>
  <c r="CV19" i="6" s="1"/>
  <c r="CV20" i="6" s="1"/>
  <c r="CV21" i="6" s="1"/>
  <c r="CV22" i="6" s="1"/>
  <c r="CV23" i="6" s="1"/>
  <c r="CV24" i="6" s="1"/>
  <c r="CV25" i="6" s="1"/>
  <c r="CV26" i="6" s="1"/>
  <c r="CV27" i="6" s="1"/>
  <c r="CV28" i="6" s="1"/>
  <c r="CV29" i="6" s="1"/>
  <c r="CV30" i="6" s="1"/>
  <c r="CV31" i="6" s="1"/>
  <c r="CV32" i="6" s="1"/>
  <c r="CV33" i="6" s="1"/>
  <c r="CV34" i="6" s="1"/>
  <c r="CV35" i="6" s="1"/>
  <c r="CV36" i="6" s="1"/>
  <c r="CV37" i="6" s="1"/>
  <c r="CV38" i="6" s="1"/>
  <c r="CV39" i="6" s="1"/>
  <c r="CV40" i="6" s="1"/>
  <c r="CV41" i="6" s="1"/>
  <c r="CV42" i="6" s="1"/>
  <c r="CV43" i="6" s="1"/>
  <c r="CV44" i="6" s="1"/>
  <c r="CV45" i="6" s="1"/>
  <c r="CV46" i="6" s="1"/>
  <c r="CV47" i="6" s="1"/>
  <c r="CV48" i="6" s="1"/>
  <c r="CV49" i="6" s="1"/>
  <c r="CV50" i="6" s="1"/>
  <c r="CV51" i="6" s="1"/>
  <c r="CV52" i="6" s="1"/>
  <c r="CV53" i="6" s="1"/>
  <c r="CV54" i="6" s="1"/>
  <c r="CV55" i="6" s="1"/>
  <c r="CV56" i="6" s="1"/>
  <c r="CV57" i="6" s="1"/>
  <c r="CV58" i="6" s="1"/>
  <c r="CV59" i="6" s="1"/>
  <c r="CV60" i="6" s="1"/>
  <c r="CV61" i="6" s="1"/>
  <c r="CV62" i="6" s="1"/>
  <c r="CV63" i="6" s="1"/>
  <c r="CV64" i="6" s="1"/>
  <c r="CV65" i="6" s="1"/>
  <c r="CV66" i="6" s="1"/>
  <c r="CV67" i="6" s="1"/>
  <c r="CV68" i="6" s="1"/>
  <c r="CV69" i="6" s="1"/>
  <c r="CV70" i="6" s="1"/>
  <c r="CV71" i="6" s="1"/>
  <c r="CV72" i="6" s="1"/>
  <c r="CV73" i="6" s="1"/>
  <c r="CV74" i="6" s="1"/>
  <c r="CV75" i="6" s="1"/>
  <c r="CV76" i="6" s="1"/>
  <c r="CV77" i="6" s="1"/>
  <c r="CV78" i="6" s="1"/>
  <c r="CV79" i="6" s="1"/>
  <c r="CV80" i="6" s="1"/>
  <c r="CV81" i="6" s="1"/>
  <c r="CV82" i="6" s="1"/>
  <c r="CV83" i="6" s="1"/>
  <c r="CV84" i="6" s="1"/>
  <c r="CV85" i="6" s="1"/>
  <c r="CV86" i="6" s="1"/>
  <c r="CV87" i="6" s="1"/>
  <c r="CV88" i="6" s="1"/>
  <c r="CV89" i="6" s="1"/>
  <c r="CV90" i="6" s="1"/>
  <c r="CV91" i="6" s="1"/>
  <c r="CV92" i="6" s="1"/>
  <c r="CV93" i="6" s="1"/>
  <c r="CV94" i="6" s="1"/>
  <c r="CV95" i="6" s="1"/>
  <c r="CV96" i="6" s="1"/>
  <c r="CV97" i="6" s="1"/>
  <c r="CV98" i="6" s="1"/>
  <c r="CV99" i="6" s="1"/>
  <c r="CV100" i="6" s="1"/>
  <c r="CV101" i="6" s="1"/>
  <c r="CV102" i="6" s="1"/>
  <c r="CV103" i="6" s="1"/>
  <c r="CV104" i="6" s="1"/>
  <c r="CV105" i="6" s="1"/>
  <c r="CV106" i="6" s="1"/>
  <c r="CV107" i="6" s="1"/>
  <c r="CV108" i="6" s="1"/>
  <c r="CV109" i="6" s="1"/>
  <c r="CV110" i="6" s="1"/>
  <c r="CV111" i="6" s="1"/>
  <c r="CV112" i="6" s="1"/>
  <c r="CV113" i="6" s="1"/>
  <c r="CV114" i="6" s="1"/>
  <c r="CV115" i="6" s="1"/>
  <c r="CV116" i="6" s="1"/>
  <c r="CV117" i="6" s="1"/>
  <c r="CV118" i="6" s="1"/>
  <c r="CV119" i="6" s="1"/>
  <c r="CV120" i="6" s="1"/>
  <c r="CV121" i="6" s="1"/>
  <c r="CV122" i="6" s="1"/>
  <c r="CV123" i="6" s="1"/>
  <c r="CV124" i="6" s="1"/>
  <c r="CV125" i="6" s="1"/>
  <c r="CV126" i="6" s="1"/>
  <c r="CV127" i="6" s="1"/>
  <c r="CV128" i="6" s="1"/>
  <c r="CV129" i="6" s="1"/>
  <c r="CV130" i="6" s="1"/>
  <c r="CV131" i="6" s="1"/>
  <c r="CV132" i="6" s="1"/>
  <c r="CV133" i="6" s="1"/>
  <c r="CV134" i="6" s="1"/>
  <c r="CV135" i="6" s="1"/>
  <c r="CV136" i="6" s="1"/>
  <c r="CV137" i="6" s="1"/>
  <c r="CV138" i="6" s="1"/>
  <c r="CV139" i="6" s="1"/>
  <c r="CV140" i="6" s="1"/>
  <c r="CV141" i="6" s="1"/>
  <c r="CV142" i="6" s="1"/>
  <c r="CV143" i="6" s="1"/>
  <c r="CV144" i="6" s="1"/>
  <c r="CV145" i="6" s="1"/>
  <c r="CV146" i="6" s="1"/>
  <c r="CV147" i="6" s="1"/>
  <c r="CV148" i="6" s="1"/>
  <c r="CV149" i="6" s="1"/>
  <c r="CV150" i="6" s="1"/>
  <c r="CV151" i="6" s="1"/>
  <c r="CV152" i="6" s="1"/>
  <c r="CV153" i="6" s="1"/>
  <c r="CV154" i="6" s="1"/>
  <c r="CV155" i="6" s="1"/>
  <c r="CV156" i="6" s="1"/>
  <c r="CV157" i="6" s="1"/>
  <c r="CV158" i="6" s="1"/>
  <c r="CV159" i="6" s="1"/>
  <c r="CV160" i="6" s="1"/>
  <c r="CV161" i="6" s="1"/>
  <c r="CV162" i="6" s="1"/>
  <c r="CV163" i="6" s="1"/>
  <c r="CV164" i="6" s="1"/>
  <c r="CV165" i="6" s="1"/>
  <c r="CV166" i="6" s="1"/>
  <c r="CV167" i="6" s="1"/>
  <c r="CV168" i="6" s="1"/>
  <c r="CV169" i="6" s="1"/>
  <c r="CV170" i="6" s="1"/>
  <c r="CV171" i="6" s="1"/>
  <c r="CV172" i="6" s="1"/>
  <c r="CV173" i="6" s="1"/>
  <c r="CV174" i="6" s="1"/>
  <c r="CV175" i="6" s="1"/>
  <c r="CV176" i="6" s="1"/>
  <c r="CV177" i="6" s="1"/>
  <c r="CV178" i="6" s="1"/>
  <c r="CV179" i="6" s="1"/>
  <c r="CV180" i="6" s="1"/>
  <c r="CV181" i="6" s="1"/>
  <c r="CV182" i="6" s="1"/>
  <c r="CV183" i="6" s="1"/>
  <c r="CV184" i="6" s="1"/>
  <c r="CV185" i="6" s="1"/>
  <c r="CV186" i="6" s="1"/>
  <c r="CV187" i="6" s="1"/>
  <c r="CV188" i="6" s="1"/>
  <c r="CV189" i="6" s="1"/>
  <c r="CV190" i="6" s="1"/>
  <c r="CV191" i="6" s="1"/>
  <c r="CV192" i="6" s="1"/>
  <c r="CV193" i="6" s="1"/>
  <c r="CV194" i="6" s="1"/>
  <c r="CV195" i="6" s="1"/>
  <c r="CV196" i="6" s="1"/>
  <c r="CV197" i="6" s="1"/>
  <c r="CV198" i="6" s="1"/>
  <c r="CV199" i="6" s="1"/>
  <c r="CV200" i="6" s="1"/>
  <c r="CV201" i="6" s="1"/>
  <c r="CV202" i="6" s="1"/>
  <c r="CV203" i="6" s="1"/>
  <c r="CV204" i="6" s="1"/>
  <c r="CV205" i="6" s="1"/>
  <c r="CV206" i="6" s="1"/>
  <c r="CV207" i="6" s="1"/>
  <c r="CV208" i="6" s="1"/>
  <c r="CV209" i="6" s="1"/>
  <c r="CV210" i="6" s="1"/>
  <c r="CV211" i="6" s="1"/>
  <c r="CV212" i="6" s="1"/>
  <c r="CV213" i="6" s="1"/>
  <c r="CV214" i="6" s="1"/>
  <c r="CV215" i="6" s="1"/>
  <c r="CV216" i="6" s="1"/>
  <c r="CV217" i="6" s="1"/>
  <c r="CV218" i="6" s="1"/>
  <c r="CV219" i="6" s="1"/>
  <c r="CV220" i="6" s="1"/>
  <c r="CV221" i="6" s="1"/>
  <c r="CV222" i="6" s="1"/>
  <c r="CV223" i="6" s="1"/>
  <c r="CV224" i="6" s="1"/>
  <c r="CV225" i="6" s="1"/>
  <c r="CV226" i="6" s="1"/>
  <c r="CV227" i="6" s="1"/>
  <c r="CV228" i="6" s="1"/>
  <c r="CV229" i="6" s="1"/>
  <c r="CV230" i="6" s="1"/>
  <c r="CV231" i="6" s="1"/>
  <c r="CV232" i="6" s="1"/>
  <c r="CV233" i="6" s="1"/>
  <c r="CV234" i="6" s="1"/>
  <c r="CV235" i="6" s="1"/>
  <c r="CV236" i="6" s="1"/>
  <c r="CV237" i="6" s="1"/>
  <c r="CV238" i="6" s="1"/>
  <c r="CV239" i="6" s="1"/>
  <c r="CV240" i="6" s="1"/>
  <c r="CV241" i="6" s="1"/>
  <c r="CV242" i="6" s="1"/>
  <c r="CV243" i="6" s="1"/>
  <c r="CV244" i="6" s="1"/>
  <c r="CV245" i="6" s="1"/>
  <c r="CV246" i="6" s="1"/>
  <c r="CV247" i="6" s="1"/>
  <c r="CV248" i="6" s="1"/>
  <c r="CV249" i="6" s="1"/>
  <c r="CV250" i="6" s="1"/>
  <c r="CV251" i="6" s="1"/>
  <c r="CV252" i="6" s="1"/>
  <c r="CV253" i="6" s="1"/>
  <c r="CV254" i="6" s="1"/>
  <c r="CV255" i="6" s="1"/>
  <c r="AD8" i="6"/>
  <c r="AD9" i="6" s="1"/>
  <c r="AD10" i="6" s="1"/>
  <c r="AD11" i="6" s="1"/>
  <c r="AD12" i="6" s="1"/>
  <c r="AD13" i="6" s="1"/>
  <c r="AD14" i="6" s="1"/>
  <c r="AD15" i="6" s="1"/>
  <c r="AD16" i="6" s="1"/>
  <c r="AD17" i="6" s="1"/>
  <c r="AD18" i="6" s="1"/>
  <c r="AD19" i="6" s="1"/>
  <c r="AD20" i="6" s="1"/>
  <c r="AD21" i="6" s="1"/>
  <c r="AD22" i="6" s="1"/>
  <c r="AD23" i="6" s="1"/>
  <c r="AD24" i="6" s="1"/>
  <c r="AD25" i="6" s="1"/>
  <c r="AD26" i="6" s="1"/>
  <c r="AD27" i="6" s="1"/>
  <c r="AD28" i="6" s="1"/>
  <c r="AD29" i="6" s="1"/>
  <c r="AD30" i="6" s="1"/>
  <c r="AD31" i="6" s="1"/>
  <c r="AD32" i="6" s="1"/>
  <c r="AD33" i="6" s="1"/>
  <c r="AD34" i="6" s="1"/>
  <c r="AD35" i="6" s="1"/>
  <c r="AD36" i="6" s="1"/>
  <c r="AD37" i="6" s="1"/>
  <c r="AD38" i="6" s="1"/>
  <c r="AD39" i="6" s="1"/>
  <c r="AD40" i="6" s="1"/>
  <c r="AD41" i="6" s="1"/>
  <c r="AD42" i="6" s="1"/>
  <c r="AD43" i="6" s="1"/>
  <c r="AD44" i="6" s="1"/>
  <c r="AD45" i="6" s="1"/>
  <c r="AD46" i="6" s="1"/>
  <c r="AD47" i="6" s="1"/>
  <c r="AD48" i="6" s="1"/>
  <c r="AD49" i="6" s="1"/>
  <c r="AD50" i="6" s="1"/>
  <c r="AD51" i="6" s="1"/>
  <c r="AD52" i="6" s="1"/>
  <c r="AD53" i="6" s="1"/>
  <c r="AD54" i="6" s="1"/>
  <c r="AD55" i="6" s="1"/>
  <c r="AD56" i="6" s="1"/>
  <c r="AD57" i="6" s="1"/>
  <c r="AD58" i="6" s="1"/>
  <c r="AD59" i="6" s="1"/>
  <c r="AD60" i="6" s="1"/>
  <c r="AD61" i="6" s="1"/>
  <c r="AD62" i="6" s="1"/>
  <c r="AD63" i="6" s="1"/>
  <c r="AD64" i="6" s="1"/>
  <c r="AD65" i="6" s="1"/>
  <c r="AD66" i="6" s="1"/>
  <c r="AD67" i="6" s="1"/>
  <c r="AD68" i="6" s="1"/>
  <c r="AD69" i="6" s="1"/>
  <c r="AD70" i="6" s="1"/>
  <c r="AD71" i="6" s="1"/>
  <c r="AD72" i="6" s="1"/>
  <c r="AD73" i="6" s="1"/>
  <c r="AD74" i="6" s="1"/>
  <c r="AD75" i="6" s="1"/>
  <c r="AD76" i="6" s="1"/>
  <c r="AD77" i="6" s="1"/>
  <c r="AD78" i="6" s="1"/>
  <c r="AD79" i="6" s="1"/>
  <c r="AD80" i="6" s="1"/>
  <c r="AD81" i="6" s="1"/>
  <c r="AD82" i="6" s="1"/>
  <c r="AD83" i="6" s="1"/>
  <c r="AD84" i="6" s="1"/>
  <c r="AD85" i="6" s="1"/>
  <c r="AD86" i="6" s="1"/>
  <c r="AD87" i="6" s="1"/>
  <c r="AD88" i="6" s="1"/>
  <c r="AD89" i="6" s="1"/>
  <c r="AD90" i="6" s="1"/>
  <c r="AD91" i="6" s="1"/>
  <c r="AD92" i="6" s="1"/>
  <c r="AD93" i="6" s="1"/>
  <c r="AD94" i="6" s="1"/>
  <c r="AD95" i="6" s="1"/>
  <c r="AD96" i="6" s="1"/>
  <c r="AD97" i="6" s="1"/>
  <c r="AD98" i="6" s="1"/>
  <c r="AD99" i="6" s="1"/>
  <c r="AD100" i="6" s="1"/>
  <c r="AD101" i="6" s="1"/>
  <c r="AD102" i="6" s="1"/>
  <c r="AD103" i="6" s="1"/>
  <c r="AD104" i="6" s="1"/>
  <c r="AD105" i="6" s="1"/>
  <c r="AD106" i="6" s="1"/>
  <c r="AD107" i="6" s="1"/>
  <c r="AD108" i="6" s="1"/>
  <c r="AD109" i="6" s="1"/>
  <c r="AD110" i="6" s="1"/>
  <c r="AD111" i="6" s="1"/>
  <c r="AD112" i="6" s="1"/>
  <c r="AD113" i="6" s="1"/>
  <c r="AD114" i="6" s="1"/>
  <c r="AD115" i="6" s="1"/>
  <c r="AD116" i="6" s="1"/>
  <c r="AD117" i="6" s="1"/>
  <c r="AD118" i="6" s="1"/>
  <c r="AD119" i="6" s="1"/>
  <c r="AD120" i="6" s="1"/>
  <c r="AD121" i="6" s="1"/>
  <c r="AD122" i="6" s="1"/>
  <c r="AD123" i="6" s="1"/>
  <c r="AD124" i="6" s="1"/>
  <c r="AD125" i="6" s="1"/>
  <c r="AD126" i="6" s="1"/>
  <c r="AD127" i="6" s="1"/>
  <c r="AD128" i="6" s="1"/>
  <c r="AD129" i="6" s="1"/>
  <c r="AD130" i="6" s="1"/>
  <c r="AD131" i="6" s="1"/>
  <c r="AD132" i="6" s="1"/>
  <c r="AD133" i="6" s="1"/>
  <c r="AD134" i="6" s="1"/>
  <c r="AD135" i="6" s="1"/>
  <c r="AD136" i="6" s="1"/>
  <c r="AD137" i="6" s="1"/>
  <c r="AD138" i="6" s="1"/>
  <c r="AD139" i="6" s="1"/>
  <c r="AD140" i="6" s="1"/>
  <c r="AD141" i="6" s="1"/>
  <c r="AD142" i="6" s="1"/>
  <c r="AD143" i="6" s="1"/>
  <c r="AD144" i="6" s="1"/>
  <c r="AD145" i="6" s="1"/>
  <c r="AD146" i="6" s="1"/>
  <c r="AD147" i="6" s="1"/>
  <c r="AD148" i="6" s="1"/>
  <c r="AD149" i="6" s="1"/>
  <c r="AD150" i="6" s="1"/>
  <c r="AD151" i="6" s="1"/>
  <c r="AD152" i="6" s="1"/>
  <c r="AD153" i="6" s="1"/>
  <c r="AD154" i="6" s="1"/>
  <c r="AD155" i="6" s="1"/>
  <c r="AD156" i="6" s="1"/>
  <c r="AD157" i="6" s="1"/>
  <c r="AD158" i="6" s="1"/>
  <c r="AD159" i="6" s="1"/>
  <c r="AD160" i="6" s="1"/>
  <c r="AD161" i="6" s="1"/>
  <c r="AD162" i="6" s="1"/>
  <c r="AD163" i="6" s="1"/>
  <c r="AD164" i="6" s="1"/>
  <c r="AD165" i="6" s="1"/>
  <c r="AD166" i="6" s="1"/>
  <c r="AD167" i="6" s="1"/>
  <c r="AD168" i="6" s="1"/>
  <c r="AD169" i="6" s="1"/>
  <c r="AD170" i="6" s="1"/>
  <c r="AD171" i="6" s="1"/>
  <c r="AD172" i="6" s="1"/>
  <c r="AD173" i="6" s="1"/>
  <c r="AD174" i="6" s="1"/>
  <c r="AD175" i="6" s="1"/>
  <c r="AD176" i="6" s="1"/>
  <c r="AD177" i="6" s="1"/>
  <c r="AD178" i="6" s="1"/>
  <c r="AD179" i="6" s="1"/>
  <c r="AD180" i="6" s="1"/>
  <c r="AD181" i="6" s="1"/>
  <c r="AD182" i="6" s="1"/>
  <c r="AD183" i="6" s="1"/>
  <c r="AD184" i="6" s="1"/>
  <c r="AD185" i="6" s="1"/>
  <c r="AD186" i="6" s="1"/>
  <c r="AD187" i="6" s="1"/>
  <c r="AD188" i="6" s="1"/>
  <c r="AD189" i="6" s="1"/>
  <c r="AD190" i="6" s="1"/>
  <c r="AD191" i="6" s="1"/>
  <c r="AD192" i="6" s="1"/>
  <c r="AD193" i="6" s="1"/>
  <c r="AD194" i="6" s="1"/>
  <c r="AD195" i="6" s="1"/>
  <c r="AD196" i="6" s="1"/>
  <c r="AD197" i="6" s="1"/>
  <c r="AD198" i="6" s="1"/>
  <c r="AD199" i="6" s="1"/>
  <c r="AD200" i="6" s="1"/>
  <c r="AD201" i="6" s="1"/>
  <c r="AD202" i="6" s="1"/>
  <c r="AD203" i="6" s="1"/>
  <c r="AD204" i="6" s="1"/>
  <c r="AD205" i="6" s="1"/>
  <c r="AD206" i="6" s="1"/>
  <c r="AD207" i="6" s="1"/>
  <c r="AD208" i="6" s="1"/>
  <c r="AD209" i="6" s="1"/>
  <c r="AD210" i="6" s="1"/>
  <c r="AD211" i="6" s="1"/>
  <c r="AD212" i="6" s="1"/>
  <c r="AD213" i="6" s="1"/>
  <c r="AD214" i="6" s="1"/>
  <c r="AD215" i="6" s="1"/>
  <c r="AD216" i="6" s="1"/>
  <c r="AD217" i="6" s="1"/>
  <c r="AD218" i="6" s="1"/>
  <c r="AD219" i="6" s="1"/>
  <c r="AD220" i="6" s="1"/>
  <c r="AD221" i="6" s="1"/>
  <c r="AD222" i="6" s="1"/>
  <c r="AD223" i="6" s="1"/>
  <c r="AD224" i="6" s="1"/>
  <c r="AD225" i="6" s="1"/>
  <c r="AD226" i="6" s="1"/>
  <c r="AD227" i="6" s="1"/>
  <c r="AD228" i="6" s="1"/>
  <c r="AD229" i="6" s="1"/>
  <c r="AD230" i="6" s="1"/>
  <c r="AD231" i="6" s="1"/>
  <c r="AD232" i="6" s="1"/>
  <c r="AD233" i="6" s="1"/>
  <c r="AD234" i="6" s="1"/>
  <c r="AD235" i="6" s="1"/>
  <c r="AD236" i="6" s="1"/>
  <c r="AD237" i="6" s="1"/>
  <c r="AD238" i="6" s="1"/>
  <c r="AD239" i="6" s="1"/>
  <c r="AD240" i="6" s="1"/>
  <c r="AD241" i="6" s="1"/>
  <c r="AD242" i="6" s="1"/>
  <c r="AD243" i="6" s="1"/>
  <c r="AD244" i="6" s="1"/>
  <c r="AD245" i="6" s="1"/>
  <c r="AD246" i="6" s="1"/>
  <c r="AD247" i="6" s="1"/>
  <c r="AD248" i="6" s="1"/>
  <c r="AD249" i="6" s="1"/>
  <c r="AD250" i="6" s="1"/>
  <c r="AD251" i="6" s="1"/>
  <c r="AD252" i="6" s="1"/>
  <c r="AD253" i="6" s="1"/>
  <c r="AD254" i="6" s="1"/>
  <c r="AD255" i="6" s="1"/>
  <c r="BJ10" i="6"/>
  <c r="BJ11" i="6" s="1"/>
  <c r="BJ12" i="6" s="1"/>
  <c r="BJ13" i="6" s="1"/>
  <c r="BJ14" i="6" s="1"/>
  <c r="BJ15" i="6" s="1"/>
  <c r="BJ16" i="6" s="1"/>
  <c r="BJ17" i="6" s="1"/>
  <c r="BJ18" i="6" s="1"/>
  <c r="BJ19" i="6" s="1"/>
  <c r="BJ20" i="6" s="1"/>
  <c r="BJ21" i="6" s="1"/>
  <c r="BJ22" i="6" s="1"/>
  <c r="BJ23" i="6" s="1"/>
  <c r="BJ24" i="6" s="1"/>
  <c r="BJ25" i="6" s="1"/>
  <c r="BJ26" i="6" s="1"/>
  <c r="BJ27" i="6" s="1"/>
  <c r="BJ28" i="6" s="1"/>
  <c r="BJ29" i="6" s="1"/>
  <c r="BJ30" i="6" s="1"/>
  <c r="BJ31" i="6" s="1"/>
  <c r="BJ32" i="6" s="1"/>
  <c r="BJ33" i="6" s="1"/>
  <c r="BJ34" i="6" s="1"/>
  <c r="BJ35" i="6" s="1"/>
  <c r="BJ36" i="6" s="1"/>
  <c r="BJ37" i="6" s="1"/>
  <c r="BJ38" i="6" s="1"/>
  <c r="BJ39" i="6" s="1"/>
  <c r="BJ40" i="6" s="1"/>
  <c r="BJ41" i="6" s="1"/>
  <c r="BJ42" i="6" s="1"/>
  <c r="BJ43" i="6" s="1"/>
  <c r="BJ44" i="6" s="1"/>
  <c r="BJ45" i="6" s="1"/>
  <c r="BJ46" i="6" s="1"/>
  <c r="BJ47" i="6" s="1"/>
  <c r="BJ48" i="6" s="1"/>
  <c r="BJ49" i="6" s="1"/>
  <c r="BJ50" i="6" s="1"/>
  <c r="BJ51" i="6" s="1"/>
  <c r="BJ52" i="6" s="1"/>
  <c r="BJ53" i="6" s="1"/>
  <c r="BJ54" i="6" s="1"/>
  <c r="BJ55" i="6" s="1"/>
  <c r="BJ56" i="6" s="1"/>
  <c r="BJ57" i="6" s="1"/>
  <c r="BJ58" i="6" s="1"/>
  <c r="BJ59" i="6" s="1"/>
  <c r="BJ60" i="6" s="1"/>
  <c r="BJ61" i="6" s="1"/>
  <c r="BJ62" i="6" s="1"/>
  <c r="BJ63" i="6" s="1"/>
  <c r="BJ64" i="6" s="1"/>
  <c r="BJ65" i="6" s="1"/>
  <c r="BJ66" i="6" s="1"/>
  <c r="BJ67" i="6" s="1"/>
  <c r="BJ68" i="6" s="1"/>
  <c r="BJ69" i="6" s="1"/>
  <c r="BJ70" i="6" s="1"/>
  <c r="BJ71" i="6" s="1"/>
  <c r="BJ72" i="6" s="1"/>
  <c r="BJ73" i="6" s="1"/>
  <c r="BJ74" i="6" s="1"/>
  <c r="BJ75" i="6" s="1"/>
  <c r="BJ76" i="6" s="1"/>
  <c r="BJ77" i="6" s="1"/>
  <c r="BJ78" i="6" s="1"/>
  <c r="BJ79" i="6" s="1"/>
  <c r="BJ80" i="6" s="1"/>
  <c r="BJ81" i="6" s="1"/>
  <c r="BJ82" i="6" s="1"/>
  <c r="BJ83" i="6" s="1"/>
  <c r="BJ84" i="6" s="1"/>
  <c r="BJ85" i="6" s="1"/>
  <c r="BJ86" i="6" s="1"/>
  <c r="BJ87" i="6" s="1"/>
  <c r="BJ88" i="6" s="1"/>
  <c r="BJ89" i="6" s="1"/>
  <c r="BJ90" i="6" s="1"/>
  <c r="BJ91" i="6" s="1"/>
  <c r="BJ92" i="6" s="1"/>
  <c r="BJ93" i="6" s="1"/>
  <c r="BJ94" i="6" s="1"/>
  <c r="BJ95" i="6" s="1"/>
  <c r="BJ96" i="6" s="1"/>
  <c r="BJ97" i="6" s="1"/>
  <c r="BJ98" i="6" s="1"/>
  <c r="BJ99" i="6" s="1"/>
  <c r="BJ100" i="6" s="1"/>
  <c r="BJ101" i="6" s="1"/>
  <c r="BJ102" i="6" s="1"/>
  <c r="BJ103" i="6" s="1"/>
  <c r="BJ104" i="6" s="1"/>
  <c r="BJ105" i="6" s="1"/>
  <c r="BJ106" i="6" s="1"/>
  <c r="BJ107" i="6" s="1"/>
  <c r="BJ108" i="6" s="1"/>
  <c r="BJ109" i="6" s="1"/>
  <c r="BJ110" i="6" s="1"/>
  <c r="BJ111" i="6" s="1"/>
  <c r="BJ112" i="6" s="1"/>
  <c r="BJ113" i="6" s="1"/>
  <c r="BJ114" i="6" s="1"/>
  <c r="BJ115" i="6" s="1"/>
  <c r="BJ116" i="6" s="1"/>
  <c r="BJ117" i="6" s="1"/>
  <c r="BJ118" i="6" s="1"/>
  <c r="BJ119" i="6" s="1"/>
  <c r="BJ120" i="6" s="1"/>
  <c r="BJ121" i="6" s="1"/>
  <c r="BJ122" i="6" s="1"/>
  <c r="BJ123" i="6" s="1"/>
  <c r="BJ124" i="6" s="1"/>
  <c r="BJ125" i="6" s="1"/>
  <c r="BJ126" i="6" s="1"/>
  <c r="BJ127" i="6" s="1"/>
  <c r="BJ128" i="6" s="1"/>
  <c r="BJ129" i="6" s="1"/>
  <c r="BJ130" i="6" s="1"/>
  <c r="BJ131" i="6" s="1"/>
  <c r="BJ132" i="6" s="1"/>
  <c r="BJ133" i="6" s="1"/>
  <c r="BJ134" i="6" s="1"/>
  <c r="BJ135" i="6" s="1"/>
  <c r="BJ136" i="6" s="1"/>
  <c r="BJ137" i="6" s="1"/>
  <c r="BJ138" i="6" s="1"/>
  <c r="BJ139" i="6" s="1"/>
  <c r="BJ140" i="6" s="1"/>
  <c r="BJ141" i="6" s="1"/>
  <c r="BJ142" i="6" s="1"/>
  <c r="BJ143" i="6" s="1"/>
  <c r="BJ144" i="6" s="1"/>
  <c r="BJ145" i="6" s="1"/>
  <c r="BJ146" i="6" s="1"/>
  <c r="BJ147" i="6" s="1"/>
  <c r="BJ148" i="6" s="1"/>
  <c r="BJ149" i="6" s="1"/>
  <c r="BJ150" i="6" s="1"/>
  <c r="BJ151" i="6" s="1"/>
  <c r="BJ152" i="6" s="1"/>
  <c r="BJ153" i="6" s="1"/>
  <c r="BJ154" i="6" s="1"/>
  <c r="BJ155" i="6" s="1"/>
  <c r="BJ156" i="6" s="1"/>
  <c r="BJ157" i="6" s="1"/>
  <c r="BJ158" i="6" s="1"/>
  <c r="BJ159" i="6" s="1"/>
  <c r="BJ160" i="6" s="1"/>
  <c r="BJ161" i="6" s="1"/>
  <c r="BJ162" i="6" s="1"/>
  <c r="BJ163" i="6" s="1"/>
  <c r="BJ164" i="6" s="1"/>
  <c r="BJ165" i="6" s="1"/>
  <c r="BJ166" i="6" s="1"/>
  <c r="BJ167" i="6" s="1"/>
  <c r="BJ168" i="6" s="1"/>
  <c r="BJ169" i="6" s="1"/>
  <c r="BJ170" i="6" s="1"/>
  <c r="BJ171" i="6" s="1"/>
  <c r="BJ172" i="6" s="1"/>
  <c r="BJ173" i="6" s="1"/>
  <c r="BJ174" i="6" s="1"/>
  <c r="BJ175" i="6" s="1"/>
  <c r="BJ176" i="6" s="1"/>
  <c r="BJ177" i="6" s="1"/>
  <c r="BJ178" i="6" s="1"/>
  <c r="BJ179" i="6" s="1"/>
  <c r="BJ180" i="6" s="1"/>
  <c r="BJ181" i="6" s="1"/>
  <c r="BJ182" i="6" s="1"/>
  <c r="BJ183" i="6" s="1"/>
  <c r="BJ184" i="6" s="1"/>
  <c r="BJ185" i="6" s="1"/>
  <c r="BJ186" i="6" s="1"/>
  <c r="BJ187" i="6" s="1"/>
  <c r="BJ188" i="6" s="1"/>
  <c r="BJ189" i="6" s="1"/>
  <c r="BJ190" i="6" s="1"/>
  <c r="BJ191" i="6" s="1"/>
  <c r="BJ192" i="6" s="1"/>
  <c r="BJ193" i="6" s="1"/>
  <c r="BJ194" i="6" s="1"/>
  <c r="BJ195" i="6" s="1"/>
  <c r="BJ196" i="6" s="1"/>
  <c r="BJ197" i="6" s="1"/>
  <c r="BJ198" i="6" s="1"/>
  <c r="BJ199" i="6" s="1"/>
  <c r="BJ200" i="6" s="1"/>
  <c r="BJ201" i="6" s="1"/>
  <c r="BJ202" i="6" s="1"/>
  <c r="BJ203" i="6" s="1"/>
  <c r="BJ204" i="6" s="1"/>
  <c r="BJ205" i="6" s="1"/>
  <c r="BJ206" i="6" s="1"/>
  <c r="BJ207" i="6" s="1"/>
  <c r="BJ208" i="6" s="1"/>
  <c r="BJ209" i="6" s="1"/>
  <c r="BJ210" i="6" s="1"/>
  <c r="BJ211" i="6" s="1"/>
  <c r="BJ212" i="6" s="1"/>
  <c r="BJ213" i="6" s="1"/>
  <c r="BJ214" i="6" s="1"/>
  <c r="BJ215" i="6" s="1"/>
  <c r="BJ216" i="6" s="1"/>
  <c r="BJ217" i="6" s="1"/>
  <c r="BJ218" i="6" s="1"/>
  <c r="BJ219" i="6" s="1"/>
  <c r="BJ220" i="6" s="1"/>
  <c r="BJ221" i="6" s="1"/>
  <c r="BJ222" i="6" s="1"/>
  <c r="BJ223" i="6" s="1"/>
  <c r="BJ224" i="6" s="1"/>
  <c r="BJ225" i="6" s="1"/>
  <c r="BJ226" i="6" s="1"/>
  <c r="BJ227" i="6" s="1"/>
  <c r="BJ228" i="6" s="1"/>
  <c r="BJ229" i="6" s="1"/>
  <c r="BJ230" i="6" s="1"/>
  <c r="BJ231" i="6" s="1"/>
  <c r="BJ232" i="6" s="1"/>
  <c r="BJ233" i="6" s="1"/>
  <c r="BJ234" i="6" s="1"/>
  <c r="BJ235" i="6" s="1"/>
  <c r="BJ236" i="6" s="1"/>
  <c r="BJ237" i="6" s="1"/>
  <c r="BJ238" i="6" s="1"/>
  <c r="BJ239" i="6" s="1"/>
  <c r="BJ240" i="6" s="1"/>
  <c r="BJ241" i="6" s="1"/>
  <c r="BJ242" i="6" s="1"/>
  <c r="BJ243" i="6" s="1"/>
  <c r="BJ244" i="6" s="1"/>
  <c r="BJ245" i="6" s="1"/>
  <c r="BJ246" i="6" s="1"/>
  <c r="BJ247" i="6" s="1"/>
  <c r="BJ248" i="6" s="1"/>
  <c r="BJ249" i="6" s="1"/>
  <c r="BJ250" i="6" s="1"/>
  <c r="BJ251" i="6" s="1"/>
  <c r="BJ252" i="6" s="1"/>
  <c r="BJ253" i="6" s="1"/>
  <c r="BJ254" i="6" s="1"/>
  <c r="BJ255" i="6" s="1"/>
  <c r="BK10" i="6"/>
  <c r="BK11" i="6" s="1"/>
  <c r="BK12" i="6" s="1"/>
  <c r="BK13" i="6" s="1"/>
  <c r="BK14" i="6" s="1"/>
  <c r="BK15" i="6" s="1"/>
  <c r="BK16" i="6" s="1"/>
  <c r="BK17" i="6" s="1"/>
  <c r="BK18" i="6" s="1"/>
  <c r="BK19" i="6" s="1"/>
  <c r="BK20" i="6" s="1"/>
  <c r="BK21" i="6" s="1"/>
  <c r="BK22" i="6" s="1"/>
  <c r="BK23" i="6" s="1"/>
  <c r="BK24" i="6" s="1"/>
  <c r="BK25" i="6" s="1"/>
  <c r="BK26" i="6" s="1"/>
  <c r="BK27" i="6" s="1"/>
  <c r="BK28" i="6" s="1"/>
  <c r="BK29" i="6" s="1"/>
  <c r="BK30" i="6" s="1"/>
  <c r="BK31" i="6" s="1"/>
  <c r="BK32" i="6" s="1"/>
  <c r="BK33" i="6" s="1"/>
  <c r="BK34" i="6" s="1"/>
  <c r="BK35" i="6" s="1"/>
  <c r="BK36" i="6" s="1"/>
  <c r="BK37" i="6" s="1"/>
  <c r="BK38" i="6" s="1"/>
  <c r="BK39" i="6" s="1"/>
  <c r="BK40" i="6" s="1"/>
  <c r="BK41" i="6" s="1"/>
  <c r="BK42" i="6" s="1"/>
  <c r="BK43" i="6" s="1"/>
  <c r="BK44" i="6" s="1"/>
  <c r="BK45" i="6" s="1"/>
  <c r="BK46" i="6" s="1"/>
  <c r="BK47" i="6" s="1"/>
  <c r="BK48" i="6" s="1"/>
  <c r="BK49" i="6" s="1"/>
  <c r="BK50" i="6" s="1"/>
  <c r="BK51" i="6" s="1"/>
  <c r="BK52" i="6" s="1"/>
  <c r="BK53" i="6" s="1"/>
  <c r="BK54" i="6" s="1"/>
  <c r="BK55" i="6" s="1"/>
  <c r="BK56" i="6" s="1"/>
  <c r="BK57" i="6" s="1"/>
  <c r="BK58" i="6" s="1"/>
  <c r="BK59" i="6" s="1"/>
  <c r="BK60" i="6" s="1"/>
  <c r="BK61" i="6" s="1"/>
  <c r="BK62" i="6" s="1"/>
  <c r="BK63" i="6" s="1"/>
  <c r="BK64" i="6" s="1"/>
  <c r="BK65" i="6" s="1"/>
  <c r="BK66" i="6" s="1"/>
  <c r="BK67" i="6" s="1"/>
  <c r="BK68" i="6" s="1"/>
  <c r="BK69" i="6" s="1"/>
  <c r="BK70" i="6" s="1"/>
  <c r="BK71" i="6" s="1"/>
  <c r="BK72" i="6" s="1"/>
  <c r="BK73" i="6" s="1"/>
  <c r="BK74" i="6" s="1"/>
  <c r="BK75" i="6" s="1"/>
  <c r="BK76" i="6" s="1"/>
  <c r="BK77" i="6" s="1"/>
  <c r="BK78" i="6" s="1"/>
  <c r="BK79" i="6" s="1"/>
  <c r="BK80" i="6" s="1"/>
  <c r="BK81" i="6" s="1"/>
  <c r="BK82" i="6" s="1"/>
  <c r="BK83" i="6" s="1"/>
  <c r="BK84" i="6" s="1"/>
  <c r="BK85" i="6" s="1"/>
  <c r="BK86" i="6" s="1"/>
  <c r="BK87" i="6" s="1"/>
  <c r="BK88" i="6" s="1"/>
  <c r="BK89" i="6" s="1"/>
  <c r="BK90" i="6" s="1"/>
  <c r="BK91" i="6" s="1"/>
  <c r="BK92" i="6" s="1"/>
  <c r="BK93" i="6" s="1"/>
  <c r="BK94" i="6" s="1"/>
  <c r="BK95" i="6" s="1"/>
  <c r="BK96" i="6" s="1"/>
  <c r="BK97" i="6" s="1"/>
  <c r="BK98" i="6" s="1"/>
  <c r="BK99" i="6" s="1"/>
  <c r="BK100" i="6" s="1"/>
  <c r="BK101" i="6" s="1"/>
  <c r="BK102" i="6" s="1"/>
  <c r="BK103" i="6" s="1"/>
  <c r="BK104" i="6" s="1"/>
  <c r="BK105" i="6" s="1"/>
  <c r="BK106" i="6" s="1"/>
  <c r="BK107" i="6" s="1"/>
  <c r="BK108" i="6" s="1"/>
  <c r="BK109" i="6" s="1"/>
  <c r="BK110" i="6" s="1"/>
  <c r="BK111" i="6" s="1"/>
  <c r="BK112" i="6" s="1"/>
  <c r="BK113" i="6" s="1"/>
  <c r="BK114" i="6" s="1"/>
  <c r="BK115" i="6" s="1"/>
  <c r="BK116" i="6" s="1"/>
  <c r="BK117" i="6" s="1"/>
  <c r="BK118" i="6" s="1"/>
  <c r="BK119" i="6" s="1"/>
  <c r="BK120" i="6" s="1"/>
  <c r="BK121" i="6" s="1"/>
  <c r="BK122" i="6" s="1"/>
  <c r="BK123" i="6" s="1"/>
  <c r="BK124" i="6" s="1"/>
  <c r="BK125" i="6" s="1"/>
  <c r="BK126" i="6" s="1"/>
  <c r="BK127" i="6" s="1"/>
  <c r="BK128" i="6" s="1"/>
  <c r="BK129" i="6" s="1"/>
  <c r="BK130" i="6" s="1"/>
  <c r="BK131" i="6" s="1"/>
  <c r="BK132" i="6" s="1"/>
  <c r="BK133" i="6" s="1"/>
  <c r="BK134" i="6" s="1"/>
  <c r="BK135" i="6" s="1"/>
  <c r="BK136" i="6" s="1"/>
  <c r="BK137" i="6" s="1"/>
  <c r="BK138" i="6" s="1"/>
  <c r="BK139" i="6" s="1"/>
  <c r="BK140" i="6" s="1"/>
  <c r="BK141" i="6" s="1"/>
  <c r="BK142" i="6" s="1"/>
  <c r="BK143" i="6" s="1"/>
  <c r="BK144" i="6" s="1"/>
  <c r="BK145" i="6" s="1"/>
  <c r="BK146" i="6" s="1"/>
  <c r="BK147" i="6" s="1"/>
  <c r="BK148" i="6" s="1"/>
  <c r="BK149" i="6" s="1"/>
  <c r="BK150" i="6" s="1"/>
  <c r="BK151" i="6" s="1"/>
  <c r="BK152" i="6" s="1"/>
  <c r="BK153" i="6" s="1"/>
  <c r="BK154" i="6" s="1"/>
  <c r="BK155" i="6" s="1"/>
  <c r="BK156" i="6" s="1"/>
  <c r="BK157" i="6" s="1"/>
  <c r="BK158" i="6" s="1"/>
  <c r="BK159" i="6" s="1"/>
  <c r="BK160" i="6" s="1"/>
  <c r="BK161" i="6" s="1"/>
  <c r="BK162" i="6" s="1"/>
  <c r="BK163" i="6" s="1"/>
  <c r="BK164" i="6" s="1"/>
  <c r="BK165" i="6" s="1"/>
  <c r="BK166" i="6" s="1"/>
  <c r="BK167" i="6" s="1"/>
  <c r="BK168" i="6" s="1"/>
  <c r="BK169" i="6" s="1"/>
  <c r="BK170" i="6" s="1"/>
  <c r="BK171" i="6" s="1"/>
  <c r="BK172" i="6" s="1"/>
  <c r="BK173" i="6" s="1"/>
  <c r="BK174" i="6" s="1"/>
  <c r="BK175" i="6" s="1"/>
  <c r="BK176" i="6" s="1"/>
  <c r="BK177" i="6" s="1"/>
  <c r="BK178" i="6" s="1"/>
  <c r="BK179" i="6" s="1"/>
  <c r="BK180" i="6" s="1"/>
  <c r="BK181" i="6" s="1"/>
  <c r="BK182" i="6" s="1"/>
  <c r="BK183" i="6" s="1"/>
  <c r="BK184" i="6" s="1"/>
  <c r="BK185" i="6" s="1"/>
  <c r="BK186" i="6" s="1"/>
  <c r="BK187" i="6" s="1"/>
  <c r="BK188" i="6" s="1"/>
  <c r="BK189" i="6" s="1"/>
  <c r="BK190" i="6" s="1"/>
  <c r="BK191" i="6" s="1"/>
  <c r="BK192" i="6" s="1"/>
  <c r="BK193" i="6" s="1"/>
  <c r="BK194" i="6" s="1"/>
  <c r="BK195" i="6" s="1"/>
  <c r="BK196" i="6" s="1"/>
  <c r="BK197" i="6" s="1"/>
  <c r="BK198" i="6" s="1"/>
  <c r="BK199" i="6" s="1"/>
  <c r="BK200" i="6" s="1"/>
  <c r="BK201" i="6" s="1"/>
  <c r="BK202" i="6" s="1"/>
  <c r="BK203" i="6" s="1"/>
  <c r="BK204" i="6" s="1"/>
  <c r="BK205" i="6" s="1"/>
  <c r="BK206" i="6" s="1"/>
  <c r="BK207" i="6" s="1"/>
  <c r="BK208" i="6" s="1"/>
  <c r="BK209" i="6" s="1"/>
  <c r="BK210" i="6" s="1"/>
  <c r="BK211" i="6" s="1"/>
  <c r="BK212" i="6" s="1"/>
  <c r="BK213" i="6" s="1"/>
  <c r="BK214" i="6" s="1"/>
  <c r="BK215" i="6" s="1"/>
  <c r="BK216" i="6" s="1"/>
  <c r="BK217" i="6" s="1"/>
  <c r="BK218" i="6" s="1"/>
  <c r="BK219" i="6" s="1"/>
  <c r="BK220" i="6" s="1"/>
  <c r="BK221" i="6" s="1"/>
  <c r="BK222" i="6" s="1"/>
  <c r="BK223" i="6" s="1"/>
  <c r="BK224" i="6" s="1"/>
  <c r="BK225" i="6" s="1"/>
  <c r="BK226" i="6" s="1"/>
  <c r="BK227" i="6" s="1"/>
  <c r="BK228" i="6" s="1"/>
  <c r="BK229" i="6" s="1"/>
  <c r="BK230" i="6" s="1"/>
  <c r="BK231" i="6" s="1"/>
  <c r="BK232" i="6" s="1"/>
  <c r="BK233" i="6" s="1"/>
  <c r="BK234" i="6" s="1"/>
  <c r="BK235" i="6" s="1"/>
  <c r="BK236" i="6" s="1"/>
  <c r="BK237" i="6" s="1"/>
  <c r="BK238" i="6" s="1"/>
  <c r="BK239" i="6" s="1"/>
  <c r="BK240" i="6" s="1"/>
  <c r="BK241" i="6" s="1"/>
  <c r="BK242" i="6" s="1"/>
  <c r="BK243" i="6" s="1"/>
  <c r="BK244" i="6" s="1"/>
  <c r="BK245" i="6" s="1"/>
  <c r="BK246" i="6" s="1"/>
  <c r="BK247" i="6" s="1"/>
  <c r="BK248" i="6" s="1"/>
  <c r="BK249" i="6" s="1"/>
  <c r="BK250" i="6" s="1"/>
  <c r="BK251" i="6" s="1"/>
  <c r="BK252" i="6" s="1"/>
  <c r="BK253" i="6" s="1"/>
  <c r="BK254" i="6" s="1"/>
  <c r="BK255" i="6" s="1"/>
  <c r="J12" i="6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AQ15" i="6"/>
  <c r="AQ16" i="6" s="1"/>
  <c r="AQ17" i="6" s="1"/>
  <c r="AQ18" i="6" s="1"/>
  <c r="AQ19" i="6" s="1"/>
  <c r="AQ20" i="6" s="1"/>
  <c r="AQ21" i="6" s="1"/>
  <c r="AQ22" i="6" s="1"/>
  <c r="AQ23" i="6" s="1"/>
  <c r="AQ24" i="6" s="1"/>
  <c r="AQ25" i="6" s="1"/>
  <c r="AQ26" i="6" s="1"/>
  <c r="AQ27" i="6" s="1"/>
  <c r="AQ28" i="6" s="1"/>
  <c r="AQ29" i="6" s="1"/>
  <c r="AQ30" i="6" s="1"/>
  <c r="AQ31" i="6" s="1"/>
  <c r="AQ32" i="6" s="1"/>
  <c r="AQ33" i="6" s="1"/>
  <c r="AQ34" i="6" s="1"/>
  <c r="AQ35" i="6" s="1"/>
  <c r="AQ36" i="6" s="1"/>
  <c r="AQ37" i="6" s="1"/>
  <c r="AQ38" i="6" s="1"/>
  <c r="AQ39" i="6" s="1"/>
  <c r="AQ40" i="6" s="1"/>
  <c r="AQ41" i="6" s="1"/>
  <c r="AQ42" i="6" s="1"/>
  <c r="AQ43" i="6" s="1"/>
  <c r="AQ44" i="6" s="1"/>
  <c r="AQ45" i="6" s="1"/>
  <c r="AQ46" i="6" s="1"/>
  <c r="AQ47" i="6" s="1"/>
  <c r="AQ48" i="6" s="1"/>
  <c r="AQ49" i="6" s="1"/>
  <c r="AQ50" i="6" s="1"/>
  <c r="AQ51" i="6" s="1"/>
  <c r="AQ52" i="6" s="1"/>
  <c r="AQ53" i="6" s="1"/>
  <c r="AQ54" i="6" s="1"/>
  <c r="AQ55" i="6" s="1"/>
  <c r="AQ56" i="6" s="1"/>
  <c r="AQ57" i="6" s="1"/>
  <c r="AQ58" i="6" s="1"/>
  <c r="AQ59" i="6" s="1"/>
  <c r="AQ60" i="6" s="1"/>
  <c r="AQ61" i="6" s="1"/>
  <c r="AQ62" i="6" s="1"/>
  <c r="AQ63" i="6" s="1"/>
  <c r="AQ64" i="6" s="1"/>
  <c r="AQ65" i="6" s="1"/>
  <c r="AQ66" i="6" s="1"/>
  <c r="AQ67" i="6" s="1"/>
  <c r="AQ68" i="6" s="1"/>
  <c r="AQ69" i="6" s="1"/>
  <c r="AQ70" i="6" s="1"/>
  <c r="AQ71" i="6" s="1"/>
  <c r="AQ72" i="6" s="1"/>
  <c r="AQ73" i="6" s="1"/>
  <c r="AQ74" i="6" s="1"/>
  <c r="AQ75" i="6" s="1"/>
  <c r="AQ76" i="6" s="1"/>
  <c r="AQ77" i="6" s="1"/>
  <c r="AQ78" i="6" s="1"/>
  <c r="AQ79" i="6" s="1"/>
  <c r="AQ80" i="6" s="1"/>
  <c r="AQ81" i="6" s="1"/>
  <c r="AQ82" i="6" s="1"/>
  <c r="AQ83" i="6" s="1"/>
  <c r="AQ84" i="6" s="1"/>
  <c r="AQ85" i="6" s="1"/>
  <c r="AQ86" i="6" s="1"/>
  <c r="AQ87" i="6" s="1"/>
  <c r="AQ88" i="6" s="1"/>
  <c r="AQ89" i="6" s="1"/>
  <c r="AQ90" i="6" s="1"/>
  <c r="AQ91" i="6" s="1"/>
  <c r="AQ92" i="6" s="1"/>
  <c r="AQ93" i="6" s="1"/>
  <c r="AQ94" i="6" s="1"/>
  <c r="AQ95" i="6" s="1"/>
  <c r="AQ96" i="6" s="1"/>
  <c r="AQ97" i="6" s="1"/>
  <c r="AQ98" i="6" s="1"/>
  <c r="AQ99" i="6" s="1"/>
  <c r="AQ100" i="6" s="1"/>
  <c r="AQ101" i="6" s="1"/>
  <c r="AQ102" i="6" s="1"/>
  <c r="AQ103" i="6" s="1"/>
  <c r="AQ104" i="6" s="1"/>
  <c r="AQ105" i="6" s="1"/>
  <c r="AQ106" i="6" s="1"/>
  <c r="AQ107" i="6" s="1"/>
  <c r="AQ108" i="6" s="1"/>
  <c r="AQ109" i="6" s="1"/>
  <c r="AQ110" i="6" s="1"/>
  <c r="AQ111" i="6" s="1"/>
  <c r="AQ112" i="6" s="1"/>
  <c r="AQ113" i="6" s="1"/>
  <c r="AQ114" i="6" s="1"/>
  <c r="AQ115" i="6" s="1"/>
  <c r="AQ116" i="6" s="1"/>
  <c r="AQ117" i="6" s="1"/>
  <c r="AQ118" i="6" s="1"/>
  <c r="AQ119" i="6" s="1"/>
  <c r="AQ120" i="6" s="1"/>
  <c r="AQ121" i="6" s="1"/>
  <c r="AQ122" i="6" s="1"/>
  <c r="AQ123" i="6" s="1"/>
  <c r="AQ124" i="6" s="1"/>
  <c r="AQ125" i="6" s="1"/>
  <c r="AQ126" i="6" s="1"/>
  <c r="AQ127" i="6" s="1"/>
  <c r="AQ128" i="6" s="1"/>
  <c r="AQ129" i="6" s="1"/>
  <c r="AQ130" i="6" s="1"/>
  <c r="AQ131" i="6" s="1"/>
  <c r="AQ132" i="6" s="1"/>
  <c r="AQ133" i="6" s="1"/>
  <c r="AQ134" i="6" s="1"/>
  <c r="AQ135" i="6" s="1"/>
  <c r="AQ136" i="6" s="1"/>
  <c r="AQ137" i="6" s="1"/>
  <c r="AQ138" i="6" s="1"/>
  <c r="AQ139" i="6" s="1"/>
  <c r="AQ140" i="6" s="1"/>
  <c r="AQ141" i="6" s="1"/>
  <c r="AQ142" i="6" s="1"/>
  <c r="AQ143" i="6" s="1"/>
  <c r="AQ144" i="6" s="1"/>
  <c r="AQ145" i="6" s="1"/>
  <c r="AQ146" i="6" s="1"/>
  <c r="AQ147" i="6" s="1"/>
  <c r="AQ148" i="6" s="1"/>
  <c r="AQ149" i="6" s="1"/>
  <c r="AQ150" i="6" s="1"/>
  <c r="AQ151" i="6" s="1"/>
  <c r="AQ152" i="6" s="1"/>
  <c r="AQ153" i="6" s="1"/>
  <c r="AQ154" i="6" s="1"/>
  <c r="AQ155" i="6" s="1"/>
  <c r="AQ156" i="6" s="1"/>
  <c r="AQ157" i="6" s="1"/>
  <c r="AQ158" i="6" s="1"/>
  <c r="AQ159" i="6" s="1"/>
  <c r="AQ160" i="6" s="1"/>
  <c r="AQ161" i="6" s="1"/>
  <c r="AQ162" i="6" s="1"/>
  <c r="AQ163" i="6" s="1"/>
  <c r="AQ164" i="6" s="1"/>
  <c r="AQ165" i="6" s="1"/>
  <c r="AQ166" i="6" s="1"/>
  <c r="AQ167" i="6" s="1"/>
  <c r="AQ168" i="6" s="1"/>
  <c r="AQ169" i="6" s="1"/>
  <c r="AQ170" i="6" s="1"/>
  <c r="AQ171" i="6" s="1"/>
  <c r="AQ172" i="6" s="1"/>
  <c r="AQ173" i="6" s="1"/>
  <c r="AQ174" i="6" s="1"/>
  <c r="AQ175" i="6" s="1"/>
  <c r="AQ176" i="6" s="1"/>
  <c r="AQ177" i="6" s="1"/>
  <c r="AQ178" i="6" s="1"/>
  <c r="AQ179" i="6" s="1"/>
  <c r="AQ180" i="6" s="1"/>
  <c r="AQ181" i="6" s="1"/>
  <c r="AQ182" i="6" s="1"/>
  <c r="AQ183" i="6" s="1"/>
  <c r="AQ184" i="6" s="1"/>
  <c r="AQ185" i="6" s="1"/>
  <c r="AQ186" i="6" s="1"/>
  <c r="AQ187" i="6" s="1"/>
  <c r="AQ188" i="6" s="1"/>
  <c r="AQ189" i="6" s="1"/>
  <c r="AQ190" i="6" s="1"/>
  <c r="AQ191" i="6" s="1"/>
  <c r="AQ192" i="6" s="1"/>
  <c r="AQ193" i="6" s="1"/>
  <c r="AQ194" i="6" s="1"/>
  <c r="AQ195" i="6" s="1"/>
  <c r="AQ196" i="6" s="1"/>
  <c r="AQ197" i="6" s="1"/>
  <c r="AQ198" i="6" s="1"/>
  <c r="AQ199" i="6" s="1"/>
  <c r="AQ200" i="6" s="1"/>
  <c r="AQ201" i="6" s="1"/>
  <c r="AQ202" i="6" s="1"/>
  <c r="AQ203" i="6" s="1"/>
  <c r="AQ204" i="6" s="1"/>
  <c r="AQ205" i="6" s="1"/>
  <c r="AQ206" i="6" s="1"/>
  <c r="AQ207" i="6" s="1"/>
  <c r="AQ208" i="6" s="1"/>
  <c r="AQ209" i="6" s="1"/>
  <c r="AQ210" i="6" s="1"/>
  <c r="AQ211" i="6" s="1"/>
  <c r="AQ212" i="6" s="1"/>
  <c r="AQ213" i="6" s="1"/>
  <c r="AQ214" i="6" s="1"/>
  <c r="AQ215" i="6" s="1"/>
  <c r="AQ216" i="6" s="1"/>
  <c r="AQ217" i="6" s="1"/>
  <c r="AQ218" i="6" s="1"/>
  <c r="AQ219" i="6" s="1"/>
  <c r="AQ220" i="6" s="1"/>
  <c r="AQ221" i="6" s="1"/>
  <c r="AQ222" i="6" s="1"/>
  <c r="AQ223" i="6" s="1"/>
  <c r="AQ224" i="6" s="1"/>
  <c r="AQ225" i="6" s="1"/>
  <c r="AQ226" i="6" s="1"/>
  <c r="AQ227" i="6" s="1"/>
  <c r="AQ228" i="6" s="1"/>
  <c r="AQ229" i="6" s="1"/>
  <c r="AQ230" i="6" s="1"/>
  <c r="AQ231" i="6" s="1"/>
  <c r="AQ232" i="6" s="1"/>
  <c r="AQ233" i="6" s="1"/>
  <c r="AQ234" i="6" s="1"/>
  <c r="AQ235" i="6" s="1"/>
  <c r="AQ236" i="6" s="1"/>
  <c r="AQ237" i="6" s="1"/>
  <c r="AQ238" i="6" s="1"/>
  <c r="AQ239" i="6" s="1"/>
  <c r="AQ240" i="6" s="1"/>
  <c r="AQ241" i="6" s="1"/>
  <c r="AQ242" i="6" s="1"/>
  <c r="AQ243" i="6" s="1"/>
  <c r="AQ244" i="6" s="1"/>
  <c r="AQ245" i="6" s="1"/>
  <c r="AQ246" i="6" s="1"/>
  <c r="AQ247" i="6" s="1"/>
  <c r="AQ248" i="6" s="1"/>
  <c r="AQ249" i="6" s="1"/>
  <c r="AQ250" i="6" s="1"/>
  <c r="AQ251" i="6" s="1"/>
  <c r="AQ252" i="6" s="1"/>
  <c r="AQ253" i="6" s="1"/>
  <c r="AQ254" i="6" s="1"/>
  <c r="AQ255" i="6" s="1"/>
  <c r="Z23" i="6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AP24" i="6"/>
  <c r="AP25" i="6" s="1"/>
  <c r="AP26" i="6" s="1"/>
  <c r="AP27" i="6" s="1"/>
  <c r="AP28" i="6" s="1"/>
  <c r="AP29" i="6" s="1"/>
  <c r="AP30" i="6" s="1"/>
  <c r="AP31" i="6" s="1"/>
  <c r="AP32" i="6" s="1"/>
  <c r="AP33" i="6" s="1"/>
  <c r="AP34" i="6" s="1"/>
  <c r="AP35" i="6" s="1"/>
  <c r="AP36" i="6" s="1"/>
  <c r="AP37" i="6" s="1"/>
  <c r="AP38" i="6" s="1"/>
  <c r="AP39" i="6" s="1"/>
  <c r="AP40" i="6" s="1"/>
  <c r="AP41" i="6" s="1"/>
  <c r="AP42" i="6" s="1"/>
  <c r="AP43" i="6" s="1"/>
  <c r="AP44" i="6" s="1"/>
  <c r="AP45" i="6" s="1"/>
  <c r="AP46" i="6" s="1"/>
  <c r="AP47" i="6" s="1"/>
  <c r="AP48" i="6" s="1"/>
  <c r="AP49" i="6" s="1"/>
  <c r="AP50" i="6" s="1"/>
  <c r="AP51" i="6" s="1"/>
  <c r="AP52" i="6" s="1"/>
  <c r="AP53" i="6" s="1"/>
  <c r="AP54" i="6" s="1"/>
  <c r="AP55" i="6" s="1"/>
  <c r="AP56" i="6" s="1"/>
  <c r="AP57" i="6" s="1"/>
  <c r="AP58" i="6" s="1"/>
  <c r="AP59" i="6" s="1"/>
  <c r="AP60" i="6" s="1"/>
  <c r="AP61" i="6" s="1"/>
  <c r="AP62" i="6" s="1"/>
  <c r="AP63" i="6" s="1"/>
  <c r="AP64" i="6" s="1"/>
  <c r="AP65" i="6" s="1"/>
  <c r="AP66" i="6" s="1"/>
  <c r="AP67" i="6" s="1"/>
  <c r="AP68" i="6" s="1"/>
  <c r="AP69" i="6" s="1"/>
  <c r="AP70" i="6" s="1"/>
  <c r="AP71" i="6" s="1"/>
  <c r="AP72" i="6" s="1"/>
  <c r="AP73" i="6" s="1"/>
  <c r="AP74" i="6" s="1"/>
  <c r="AP75" i="6" s="1"/>
  <c r="AP76" i="6" s="1"/>
  <c r="AP77" i="6" s="1"/>
  <c r="AP78" i="6" s="1"/>
  <c r="AP79" i="6" s="1"/>
  <c r="AP80" i="6" s="1"/>
  <c r="AP81" i="6" s="1"/>
  <c r="AP82" i="6" s="1"/>
  <c r="AP83" i="6" s="1"/>
  <c r="AP84" i="6" s="1"/>
  <c r="AP85" i="6" s="1"/>
  <c r="AP86" i="6" s="1"/>
  <c r="AP87" i="6" s="1"/>
  <c r="AP88" i="6" s="1"/>
  <c r="AP89" i="6" s="1"/>
  <c r="AP90" i="6" s="1"/>
  <c r="AP91" i="6" s="1"/>
  <c r="AP92" i="6" s="1"/>
  <c r="AP93" i="6" s="1"/>
  <c r="AP94" i="6" s="1"/>
  <c r="AP95" i="6" s="1"/>
  <c r="AP96" i="6" s="1"/>
  <c r="AP97" i="6" s="1"/>
  <c r="AP98" i="6" s="1"/>
  <c r="AP99" i="6" s="1"/>
  <c r="AP100" i="6" s="1"/>
  <c r="AP101" i="6" s="1"/>
  <c r="AP102" i="6" s="1"/>
  <c r="AP103" i="6" s="1"/>
  <c r="AP104" i="6" s="1"/>
  <c r="AP105" i="6" s="1"/>
  <c r="AP106" i="6" s="1"/>
  <c r="AP107" i="6" s="1"/>
  <c r="AP108" i="6" s="1"/>
  <c r="AP109" i="6" s="1"/>
  <c r="AP110" i="6" s="1"/>
  <c r="AP111" i="6" s="1"/>
  <c r="AP112" i="6" s="1"/>
  <c r="AP113" i="6" s="1"/>
  <c r="AP114" i="6" s="1"/>
  <c r="AP115" i="6" s="1"/>
  <c r="AP116" i="6" s="1"/>
  <c r="AP117" i="6" s="1"/>
  <c r="AP118" i="6" s="1"/>
  <c r="AP119" i="6" s="1"/>
  <c r="AP120" i="6" s="1"/>
  <c r="AP121" i="6" s="1"/>
  <c r="AP122" i="6" s="1"/>
  <c r="AP123" i="6" s="1"/>
  <c r="AP124" i="6" s="1"/>
  <c r="AP125" i="6" s="1"/>
  <c r="AP126" i="6" s="1"/>
  <c r="AP127" i="6" s="1"/>
  <c r="AP128" i="6" s="1"/>
  <c r="AP129" i="6" s="1"/>
  <c r="AP130" i="6" s="1"/>
  <c r="AP131" i="6" s="1"/>
  <c r="AP132" i="6" s="1"/>
  <c r="AP133" i="6" s="1"/>
  <c r="AP134" i="6" s="1"/>
  <c r="AP135" i="6" s="1"/>
  <c r="AP136" i="6" s="1"/>
  <c r="AP137" i="6" s="1"/>
  <c r="AP138" i="6" s="1"/>
  <c r="AP139" i="6" s="1"/>
  <c r="AP140" i="6" s="1"/>
  <c r="AP141" i="6" s="1"/>
  <c r="AP142" i="6" s="1"/>
  <c r="AP143" i="6" s="1"/>
  <c r="AP144" i="6" s="1"/>
  <c r="AP145" i="6" s="1"/>
  <c r="AP146" i="6" s="1"/>
  <c r="AP147" i="6" s="1"/>
  <c r="AP148" i="6" s="1"/>
  <c r="AP149" i="6" s="1"/>
  <c r="AP150" i="6" s="1"/>
  <c r="AP151" i="6" s="1"/>
  <c r="AP152" i="6" s="1"/>
  <c r="AP153" i="6" s="1"/>
  <c r="AP154" i="6" s="1"/>
  <c r="AP155" i="6" s="1"/>
  <c r="AP156" i="6" s="1"/>
  <c r="AP157" i="6" s="1"/>
  <c r="AP158" i="6" s="1"/>
  <c r="AP159" i="6" s="1"/>
  <c r="AP160" i="6" s="1"/>
  <c r="AP161" i="6" s="1"/>
  <c r="AP162" i="6" s="1"/>
  <c r="AP163" i="6" s="1"/>
  <c r="AP164" i="6" s="1"/>
  <c r="AP165" i="6" s="1"/>
  <c r="AP166" i="6" s="1"/>
  <c r="AP167" i="6" s="1"/>
  <c r="AP168" i="6" s="1"/>
  <c r="AP169" i="6" s="1"/>
  <c r="AP170" i="6" s="1"/>
  <c r="AP171" i="6" s="1"/>
  <c r="AP172" i="6" s="1"/>
  <c r="AP173" i="6" s="1"/>
  <c r="AP174" i="6" s="1"/>
  <c r="AP175" i="6" s="1"/>
  <c r="AP176" i="6" s="1"/>
  <c r="AP177" i="6" s="1"/>
  <c r="AP178" i="6" s="1"/>
  <c r="AP179" i="6" s="1"/>
  <c r="AP180" i="6" s="1"/>
  <c r="AP181" i="6" s="1"/>
  <c r="AP182" i="6" s="1"/>
  <c r="AP183" i="6" s="1"/>
  <c r="AP184" i="6" s="1"/>
  <c r="AP185" i="6" s="1"/>
  <c r="AP186" i="6" s="1"/>
  <c r="AP187" i="6" s="1"/>
  <c r="AP188" i="6" s="1"/>
  <c r="AP189" i="6" s="1"/>
  <c r="AP190" i="6" s="1"/>
  <c r="AP191" i="6" s="1"/>
  <c r="AP192" i="6" s="1"/>
  <c r="AP193" i="6" s="1"/>
  <c r="AP194" i="6" s="1"/>
  <c r="AP195" i="6" s="1"/>
  <c r="AP196" i="6" s="1"/>
  <c r="AP197" i="6" s="1"/>
  <c r="AP198" i="6" s="1"/>
  <c r="AP199" i="6" s="1"/>
  <c r="AP200" i="6" s="1"/>
  <c r="AP201" i="6" s="1"/>
  <c r="AP202" i="6" s="1"/>
  <c r="AP203" i="6" s="1"/>
  <c r="AP204" i="6" s="1"/>
  <c r="AP205" i="6" s="1"/>
  <c r="AP206" i="6" s="1"/>
  <c r="AP207" i="6" s="1"/>
  <c r="AP208" i="6" s="1"/>
  <c r="AP209" i="6" s="1"/>
  <c r="AP210" i="6" s="1"/>
  <c r="AP211" i="6" s="1"/>
  <c r="AP212" i="6" s="1"/>
  <c r="AP213" i="6" s="1"/>
  <c r="AP214" i="6" s="1"/>
  <c r="AP215" i="6" s="1"/>
  <c r="AP216" i="6" s="1"/>
  <c r="AP217" i="6" s="1"/>
  <c r="AP218" i="6" s="1"/>
  <c r="AP219" i="6" s="1"/>
  <c r="AP220" i="6" s="1"/>
  <c r="AP221" i="6" s="1"/>
  <c r="AP222" i="6" s="1"/>
  <c r="AP223" i="6" s="1"/>
  <c r="AP224" i="6" s="1"/>
  <c r="AP225" i="6" s="1"/>
  <c r="AP226" i="6" s="1"/>
  <c r="AP227" i="6" s="1"/>
  <c r="AP228" i="6" s="1"/>
  <c r="AP229" i="6" s="1"/>
  <c r="AP230" i="6" s="1"/>
  <c r="AP231" i="6" s="1"/>
  <c r="AP232" i="6" s="1"/>
  <c r="AP233" i="6" s="1"/>
  <c r="AP234" i="6" s="1"/>
  <c r="AP235" i="6" s="1"/>
  <c r="AP236" i="6" s="1"/>
  <c r="AP237" i="6" s="1"/>
  <c r="AP238" i="6" s="1"/>
  <c r="AP239" i="6" s="1"/>
  <c r="AP240" i="6" s="1"/>
  <c r="AP241" i="6" s="1"/>
  <c r="AP242" i="6" s="1"/>
  <c r="AP243" i="6" s="1"/>
  <c r="AP244" i="6" s="1"/>
  <c r="AP245" i="6" s="1"/>
  <c r="AP246" i="6" s="1"/>
  <c r="AP247" i="6" s="1"/>
  <c r="AP248" i="6" s="1"/>
  <c r="AP249" i="6" s="1"/>
  <c r="AP250" i="6" s="1"/>
  <c r="AP251" i="6" s="1"/>
  <c r="AP252" i="6" s="1"/>
  <c r="AP253" i="6" s="1"/>
  <c r="AP254" i="6" s="1"/>
  <c r="AP255" i="6" s="1"/>
  <c r="BF25" i="6"/>
  <c r="BF26" i="6" s="1"/>
  <c r="BF27" i="6" s="1"/>
  <c r="BF28" i="6" s="1"/>
  <c r="BF29" i="6" s="1"/>
  <c r="BF30" i="6" s="1"/>
  <c r="BF31" i="6" s="1"/>
  <c r="BF32" i="6" s="1"/>
  <c r="BF33" i="6" s="1"/>
  <c r="BF34" i="6" s="1"/>
  <c r="BF35" i="6" s="1"/>
  <c r="BF36" i="6" s="1"/>
  <c r="BF37" i="6" s="1"/>
  <c r="BF38" i="6" s="1"/>
  <c r="BF39" i="6" s="1"/>
  <c r="BF40" i="6" s="1"/>
  <c r="BF41" i="6" s="1"/>
  <c r="BF42" i="6" s="1"/>
  <c r="BF43" i="6" s="1"/>
  <c r="BF44" i="6" s="1"/>
  <c r="BF45" i="6" s="1"/>
  <c r="BF46" i="6" s="1"/>
  <c r="BF47" i="6" s="1"/>
  <c r="BF48" i="6" s="1"/>
  <c r="BF49" i="6" s="1"/>
  <c r="BF50" i="6" s="1"/>
  <c r="BF51" i="6" s="1"/>
  <c r="BF52" i="6" s="1"/>
  <c r="BF53" i="6" s="1"/>
  <c r="BF54" i="6" s="1"/>
  <c r="BF55" i="6" s="1"/>
  <c r="BF56" i="6" s="1"/>
  <c r="BF57" i="6" s="1"/>
  <c r="BF58" i="6" s="1"/>
  <c r="BF59" i="6" s="1"/>
  <c r="BF60" i="6" s="1"/>
  <c r="BF61" i="6" s="1"/>
  <c r="BF62" i="6" s="1"/>
  <c r="BF63" i="6" s="1"/>
  <c r="BF64" i="6" s="1"/>
  <c r="BF65" i="6" s="1"/>
  <c r="BF66" i="6" s="1"/>
  <c r="BF67" i="6" s="1"/>
  <c r="BF68" i="6" s="1"/>
  <c r="BF69" i="6" s="1"/>
  <c r="BF70" i="6" s="1"/>
  <c r="BF71" i="6" s="1"/>
  <c r="BF72" i="6" s="1"/>
  <c r="BF73" i="6" s="1"/>
  <c r="BF74" i="6" s="1"/>
  <c r="BF75" i="6" s="1"/>
  <c r="BF76" i="6" s="1"/>
  <c r="BF77" i="6" s="1"/>
  <c r="BF78" i="6" s="1"/>
  <c r="BF79" i="6" s="1"/>
  <c r="BF80" i="6" s="1"/>
  <c r="BF81" i="6" s="1"/>
  <c r="BF82" i="6" s="1"/>
  <c r="BF83" i="6" s="1"/>
  <c r="BF84" i="6" s="1"/>
  <c r="BF85" i="6" s="1"/>
  <c r="BF86" i="6" s="1"/>
  <c r="BF87" i="6" s="1"/>
  <c r="BF88" i="6" s="1"/>
  <c r="BF89" i="6" s="1"/>
  <c r="BF90" i="6" s="1"/>
  <c r="BF91" i="6" s="1"/>
  <c r="BF92" i="6" s="1"/>
  <c r="BF93" i="6" s="1"/>
  <c r="BF94" i="6" s="1"/>
  <c r="BF95" i="6" s="1"/>
  <c r="BF96" i="6" s="1"/>
  <c r="BF97" i="6" s="1"/>
  <c r="BF98" i="6" s="1"/>
  <c r="BF99" i="6" s="1"/>
  <c r="BF100" i="6" s="1"/>
  <c r="BF101" i="6" s="1"/>
  <c r="BF102" i="6" s="1"/>
  <c r="BF103" i="6" s="1"/>
  <c r="BF104" i="6" s="1"/>
  <c r="BF105" i="6" s="1"/>
  <c r="BF106" i="6" s="1"/>
  <c r="BF107" i="6" s="1"/>
  <c r="BF108" i="6" s="1"/>
  <c r="BF109" i="6" s="1"/>
  <c r="BF110" i="6" s="1"/>
  <c r="BF111" i="6" s="1"/>
  <c r="BF112" i="6" s="1"/>
  <c r="BF113" i="6" s="1"/>
  <c r="BF114" i="6" s="1"/>
  <c r="BF115" i="6" s="1"/>
  <c r="BF116" i="6" s="1"/>
  <c r="BF117" i="6" s="1"/>
  <c r="BF118" i="6" s="1"/>
  <c r="BF119" i="6" s="1"/>
  <c r="BF120" i="6" s="1"/>
  <c r="BF121" i="6" s="1"/>
  <c r="BF122" i="6" s="1"/>
  <c r="BF123" i="6" s="1"/>
  <c r="BF124" i="6" s="1"/>
  <c r="BF125" i="6" s="1"/>
  <c r="BF126" i="6" s="1"/>
  <c r="BF127" i="6" s="1"/>
  <c r="BF128" i="6" s="1"/>
  <c r="BF129" i="6" s="1"/>
  <c r="BF130" i="6" s="1"/>
  <c r="BF131" i="6" s="1"/>
  <c r="BF132" i="6" s="1"/>
  <c r="BF133" i="6" s="1"/>
  <c r="BF134" i="6" s="1"/>
  <c r="BF135" i="6" s="1"/>
  <c r="BF136" i="6" s="1"/>
  <c r="BF137" i="6" s="1"/>
  <c r="BF138" i="6" s="1"/>
  <c r="BF139" i="6" s="1"/>
  <c r="BF140" i="6" s="1"/>
  <c r="BF141" i="6" s="1"/>
  <c r="BF142" i="6" s="1"/>
  <c r="BF143" i="6" s="1"/>
  <c r="BF144" i="6" s="1"/>
  <c r="BF145" i="6" s="1"/>
  <c r="BF146" i="6" s="1"/>
  <c r="BF147" i="6" s="1"/>
  <c r="BF148" i="6" s="1"/>
  <c r="BF149" i="6" s="1"/>
  <c r="BF150" i="6" s="1"/>
  <c r="BF151" i="6" s="1"/>
  <c r="BF152" i="6" s="1"/>
  <c r="BF153" i="6" s="1"/>
  <c r="BF154" i="6" s="1"/>
  <c r="BF155" i="6" s="1"/>
  <c r="BF156" i="6" s="1"/>
  <c r="BF157" i="6" s="1"/>
  <c r="BF158" i="6" s="1"/>
  <c r="BF159" i="6" s="1"/>
  <c r="BF160" i="6" s="1"/>
  <c r="BF161" i="6" s="1"/>
  <c r="BF162" i="6" s="1"/>
  <c r="BF163" i="6" s="1"/>
  <c r="BF164" i="6" s="1"/>
  <c r="BF165" i="6" s="1"/>
  <c r="BF166" i="6" s="1"/>
  <c r="BF167" i="6" s="1"/>
  <c r="BF168" i="6" s="1"/>
  <c r="BF169" i="6" s="1"/>
  <c r="BF170" i="6" s="1"/>
  <c r="BF171" i="6" s="1"/>
  <c r="BF172" i="6" s="1"/>
  <c r="BF173" i="6" s="1"/>
  <c r="BF174" i="6" s="1"/>
  <c r="BF175" i="6" s="1"/>
  <c r="BF176" i="6" s="1"/>
  <c r="BF177" i="6" s="1"/>
  <c r="BF178" i="6" s="1"/>
  <c r="BF179" i="6" s="1"/>
  <c r="BF180" i="6" s="1"/>
  <c r="BF181" i="6" s="1"/>
  <c r="BF182" i="6" s="1"/>
  <c r="BF183" i="6" s="1"/>
  <c r="BF184" i="6" s="1"/>
  <c r="BF185" i="6" s="1"/>
  <c r="BF186" i="6" s="1"/>
  <c r="BF187" i="6" s="1"/>
  <c r="BF188" i="6" s="1"/>
  <c r="BF189" i="6" s="1"/>
  <c r="BF190" i="6" s="1"/>
  <c r="BF191" i="6" s="1"/>
  <c r="BF192" i="6" s="1"/>
  <c r="BF193" i="6" s="1"/>
  <c r="BF194" i="6" s="1"/>
  <c r="BF195" i="6" s="1"/>
  <c r="BF196" i="6" s="1"/>
  <c r="BF197" i="6" s="1"/>
  <c r="BF198" i="6" s="1"/>
  <c r="BF199" i="6" s="1"/>
  <c r="BF200" i="6" s="1"/>
  <c r="BF201" i="6" s="1"/>
  <c r="BF202" i="6" s="1"/>
  <c r="BF203" i="6" s="1"/>
  <c r="BF204" i="6" s="1"/>
  <c r="BF205" i="6" s="1"/>
  <c r="BF206" i="6" s="1"/>
  <c r="BF207" i="6" s="1"/>
  <c r="BF208" i="6" s="1"/>
  <c r="BF209" i="6" s="1"/>
  <c r="BF210" i="6" s="1"/>
  <c r="BF211" i="6" s="1"/>
  <c r="BF212" i="6" s="1"/>
  <c r="BF213" i="6" s="1"/>
  <c r="BF214" i="6" s="1"/>
  <c r="BF215" i="6" s="1"/>
  <c r="BF216" i="6" s="1"/>
  <c r="BF217" i="6" s="1"/>
  <c r="BF218" i="6" s="1"/>
  <c r="BF219" i="6" s="1"/>
  <c r="BF220" i="6" s="1"/>
  <c r="BF221" i="6" s="1"/>
  <c r="BF222" i="6" s="1"/>
  <c r="BF223" i="6" s="1"/>
  <c r="BF224" i="6" s="1"/>
  <c r="BF225" i="6" s="1"/>
  <c r="BF226" i="6" s="1"/>
  <c r="BF227" i="6" s="1"/>
  <c r="BF228" i="6" s="1"/>
  <c r="BF229" i="6" s="1"/>
  <c r="BF230" i="6" s="1"/>
  <c r="BF231" i="6" s="1"/>
  <c r="BF232" i="6" s="1"/>
  <c r="BF233" i="6" s="1"/>
  <c r="BF234" i="6" s="1"/>
  <c r="BF235" i="6" s="1"/>
  <c r="BF236" i="6" s="1"/>
  <c r="BF237" i="6" s="1"/>
  <c r="BF238" i="6" s="1"/>
  <c r="BF239" i="6" s="1"/>
  <c r="BF240" i="6" s="1"/>
  <c r="BF241" i="6" s="1"/>
  <c r="BF242" i="6" s="1"/>
  <c r="BF243" i="6" s="1"/>
  <c r="BF244" i="6" s="1"/>
  <c r="BF245" i="6" s="1"/>
  <c r="BF246" i="6" s="1"/>
  <c r="BF247" i="6" s="1"/>
  <c r="BF248" i="6" s="1"/>
  <c r="BF249" i="6" s="1"/>
  <c r="BF250" i="6" s="1"/>
  <c r="BF251" i="6" s="1"/>
  <c r="BF252" i="6" s="1"/>
  <c r="BF253" i="6" s="1"/>
  <c r="BF254" i="6" s="1"/>
  <c r="BF255" i="6" s="1"/>
  <c r="Y57" i="6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AT87" i="6"/>
  <c r="AT88" i="6" s="1"/>
  <c r="AT89" i="6" s="1"/>
  <c r="AT90" i="6" s="1"/>
  <c r="AT91" i="6" s="1"/>
  <c r="AT92" i="6" s="1"/>
  <c r="AT93" i="6" s="1"/>
  <c r="AT94" i="6" s="1"/>
  <c r="AT95" i="6" s="1"/>
  <c r="AT96" i="6" s="1"/>
  <c r="AT97" i="6" s="1"/>
  <c r="AT98" i="6" s="1"/>
  <c r="AT99" i="6" s="1"/>
  <c r="AT100" i="6" s="1"/>
  <c r="AT101" i="6" s="1"/>
  <c r="AT102" i="6" s="1"/>
  <c r="AT103" i="6" s="1"/>
  <c r="AT104" i="6" s="1"/>
  <c r="AT105" i="6" s="1"/>
  <c r="AT106" i="6" s="1"/>
  <c r="AT107" i="6" s="1"/>
  <c r="AT108" i="6" s="1"/>
  <c r="AT109" i="6" s="1"/>
  <c r="AT110" i="6" s="1"/>
  <c r="AT111" i="6" s="1"/>
  <c r="AT112" i="6" s="1"/>
  <c r="AT113" i="6" s="1"/>
  <c r="AT114" i="6" s="1"/>
  <c r="AT115" i="6" s="1"/>
  <c r="AT116" i="6" s="1"/>
  <c r="AT117" i="6" s="1"/>
  <c r="AT118" i="6" s="1"/>
  <c r="AT119" i="6" s="1"/>
  <c r="AT120" i="6" s="1"/>
  <c r="AT121" i="6" s="1"/>
  <c r="AT122" i="6" s="1"/>
  <c r="AT123" i="6" s="1"/>
  <c r="AT124" i="6" s="1"/>
  <c r="AT125" i="6" s="1"/>
  <c r="AT126" i="6" s="1"/>
  <c r="AT127" i="6" s="1"/>
  <c r="AT128" i="6" s="1"/>
  <c r="AT129" i="6" s="1"/>
  <c r="AT130" i="6" s="1"/>
  <c r="AT131" i="6" s="1"/>
  <c r="AT132" i="6" s="1"/>
  <c r="AT133" i="6" s="1"/>
  <c r="AT134" i="6" s="1"/>
  <c r="AT135" i="6" s="1"/>
  <c r="AT136" i="6" s="1"/>
  <c r="AT137" i="6" s="1"/>
  <c r="AT138" i="6" s="1"/>
  <c r="AT139" i="6" s="1"/>
  <c r="AT140" i="6" s="1"/>
  <c r="AT141" i="6" s="1"/>
  <c r="AT142" i="6" s="1"/>
  <c r="AT143" i="6" s="1"/>
  <c r="AT144" i="6" s="1"/>
  <c r="AT145" i="6" s="1"/>
  <c r="AT146" i="6" s="1"/>
  <c r="AT147" i="6" s="1"/>
  <c r="AT148" i="6" s="1"/>
  <c r="AT149" i="6" s="1"/>
  <c r="AT150" i="6" s="1"/>
  <c r="AT151" i="6" s="1"/>
  <c r="AT152" i="6" s="1"/>
  <c r="AT153" i="6" s="1"/>
  <c r="AT154" i="6" s="1"/>
  <c r="AT155" i="6" s="1"/>
  <c r="AT156" i="6" s="1"/>
  <c r="AT157" i="6" s="1"/>
  <c r="AT158" i="6" s="1"/>
  <c r="AT159" i="6" s="1"/>
  <c r="AT160" i="6" s="1"/>
  <c r="AT161" i="6" s="1"/>
  <c r="AT162" i="6" s="1"/>
  <c r="AT163" i="6" s="1"/>
  <c r="AT164" i="6" s="1"/>
  <c r="AT165" i="6" s="1"/>
  <c r="AT166" i="6" s="1"/>
  <c r="AT167" i="6" s="1"/>
  <c r="AT168" i="6" s="1"/>
  <c r="AT169" i="6" s="1"/>
  <c r="AT170" i="6" s="1"/>
  <c r="AT171" i="6" s="1"/>
  <c r="AT172" i="6" s="1"/>
  <c r="AT173" i="6" s="1"/>
  <c r="AT174" i="6" s="1"/>
  <c r="AT175" i="6" s="1"/>
  <c r="AT176" i="6" s="1"/>
  <c r="AT177" i="6" s="1"/>
  <c r="AT178" i="6" s="1"/>
  <c r="AT179" i="6" s="1"/>
  <c r="AT180" i="6" s="1"/>
  <c r="AT181" i="6" s="1"/>
  <c r="AT182" i="6" s="1"/>
  <c r="AT183" i="6" s="1"/>
  <c r="AT184" i="6" s="1"/>
  <c r="AT185" i="6" s="1"/>
  <c r="AT186" i="6" s="1"/>
  <c r="AT187" i="6" s="1"/>
  <c r="AT188" i="6" s="1"/>
  <c r="AT189" i="6" s="1"/>
  <c r="AT190" i="6" s="1"/>
  <c r="AT191" i="6" s="1"/>
  <c r="AT192" i="6" s="1"/>
  <c r="AT193" i="6" s="1"/>
  <c r="AT194" i="6" s="1"/>
  <c r="AT195" i="6" s="1"/>
  <c r="AT196" i="6" s="1"/>
  <c r="AT197" i="6" s="1"/>
  <c r="AT198" i="6" s="1"/>
  <c r="AT199" i="6" s="1"/>
  <c r="AT200" i="6" s="1"/>
  <c r="AT201" i="6" s="1"/>
  <c r="AT202" i="6" s="1"/>
  <c r="AT203" i="6" s="1"/>
  <c r="AT204" i="6" s="1"/>
  <c r="AT205" i="6" s="1"/>
  <c r="AT206" i="6" s="1"/>
  <c r="AT207" i="6" s="1"/>
  <c r="AT208" i="6" s="1"/>
  <c r="AT209" i="6" s="1"/>
  <c r="AT210" i="6" s="1"/>
  <c r="AT211" i="6" s="1"/>
  <c r="AT212" i="6" s="1"/>
  <c r="AT213" i="6" s="1"/>
  <c r="AT214" i="6" s="1"/>
  <c r="AT215" i="6" s="1"/>
  <c r="AT216" i="6" s="1"/>
  <c r="AT217" i="6" s="1"/>
  <c r="AT218" i="6" s="1"/>
  <c r="AT219" i="6" s="1"/>
  <c r="AT220" i="6" s="1"/>
  <c r="AT221" i="6" s="1"/>
  <c r="AT222" i="6" s="1"/>
  <c r="AT223" i="6" s="1"/>
  <c r="AT224" i="6" s="1"/>
  <c r="AT225" i="6" s="1"/>
  <c r="AT226" i="6" s="1"/>
  <c r="AT227" i="6" s="1"/>
  <c r="AT228" i="6" s="1"/>
  <c r="AT229" i="6" s="1"/>
  <c r="AT230" i="6" s="1"/>
  <c r="AT231" i="6" s="1"/>
  <c r="AT232" i="6" s="1"/>
  <c r="AT233" i="6" s="1"/>
  <c r="AT234" i="6" s="1"/>
  <c r="AT235" i="6" s="1"/>
  <c r="AT236" i="6" s="1"/>
  <c r="AT237" i="6" s="1"/>
  <c r="AT238" i="6" s="1"/>
  <c r="AT239" i="6" s="1"/>
  <c r="AT240" i="6" s="1"/>
  <c r="AT241" i="6" s="1"/>
  <c r="AT242" i="6" s="1"/>
  <c r="AT243" i="6" s="1"/>
  <c r="AT244" i="6" s="1"/>
  <c r="AT245" i="6" s="1"/>
  <c r="AT246" i="6" s="1"/>
  <c r="AT247" i="6" s="1"/>
  <c r="AT248" i="6" s="1"/>
  <c r="AT249" i="6" s="1"/>
  <c r="AT250" i="6" s="1"/>
  <c r="AT251" i="6" s="1"/>
  <c r="AT252" i="6" s="1"/>
  <c r="AT253" i="6" s="1"/>
  <c r="AT254" i="6" s="1"/>
  <c r="AT255" i="6" s="1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D11" i="5"/>
  <c r="D12" i="5" s="1"/>
  <c r="D13" i="5" s="1"/>
  <c r="D14" i="5" s="1"/>
  <c r="D15" i="5" s="1"/>
  <c r="D16" i="5" s="1"/>
  <c r="D17" i="5" s="1"/>
  <c r="D18" i="5" s="1"/>
  <c r="D19" i="5" s="1"/>
  <c r="D20" i="5" s="1"/>
  <c r="C11" i="5"/>
  <c r="C12" i="5" s="1"/>
  <c r="C13" i="5" s="1"/>
  <c r="C14" i="5" s="1"/>
  <c r="C15" i="5" s="1"/>
  <c r="C16" i="5" s="1"/>
  <c r="C17" i="5" s="1"/>
  <c r="C18" i="5" s="1"/>
  <c r="C19" i="5" s="1"/>
  <c r="C20" i="5" s="1"/>
  <c r="B11" i="5"/>
  <c r="B12" i="5"/>
  <c r="B13" i="5"/>
  <c r="B14" i="5" s="1"/>
  <c r="B15" i="5" s="1"/>
  <c r="B16" i="5" s="1"/>
  <c r="B17" i="5" s="1"/>
  <c r="B18" i="5" s="1"/>
  <c r="B19" i="5" s="1"/>
  <c r="B20" i="5" s="1"/>
  <c r="D10" i="5"/>
  <c r="C10" i="5"/>
  <c r="B10" i="5"/>
  <c r="C5" i="5"/>
  <c r="C4" i="5"/>
  <c r="D3" i="4"/>
  <c r="D4" i="4"/>
  <c r="D5" i="4"/>
  <c r="D6" i="4"/>
  <c r="D7" i="4"/>
  <c r="D8" i="4"/>
  <c r="D9" i="4"/>
  <c r="D10" i="4"/>
  <c r="D11" i="4"/>
  <c r="D12" i="4"/>
  <c r="D13" i="4"/>
  <c r="D1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2" i="4"/>
  <c r="C63" i="1"/>
  <c r="C62" i="1"/>
  <c r="C61" i="1"/>
  <c r="C60" i="1"/>
  <c r="C79" i="1"/>
  <c r="D63" i="1"/>
  <c r="D62" i="1"/>
  <c r="D61" i="1"/>
  <c r="D60" i="1"/>
  <c r="D59" i="1"/>
  <c r="E59" i="1" s="1"/>
  <c r="C52" i="1"/>
  <c r="D36" i="1"/>
  <c r="D37" i="1" s="1"/>
  <c r="D35" i="1"/>
  <c r="D34" i="1"/>
  <c r="D33" i="1"/>
  <c r="C33" i="1"/>
  <c r="C34" i="1" s="1"/>
  <c r="D32" i="1"/>
  <c r="E32" i="1" s="1"/>
  <c r="C24" i="1"/>
  <c r="D8" i="1"/>
  <c r="D9" i="1" s="1"/>
  <c r="D7" i="1"/>
  <c r="D6" i="1"/>
  <c r="G5" i="1"/>
  <c r="D5" i="1"/>
  <c r="C5" i="1"/>
  <c r="E5" i="1" s="1"/>
  <c r="D4" i="1"/>
  <c r="E4" i="1" s="1"/>
  <c r="G264" i="6" l="1"/>
  <c r="G261" i="6"/>
  <c r="G258" i="6"/>
  <c r="E264" i="6"/>
  <c r="E261" i="6"/>
  <c r="E258" i="6"/>
  <c r="D64" i="1"/>
  <c r="E61" i="1"/>
  <c r="G61" i="1"/>
  <c r="E60" i="1"/>
  <c r="G60" i="1"/>
  <c r="C35" i="1"/>
  <c r="G34" i="1"/>
  <c r="E34" i="1"/>
  <c r="E33" i="1"/>
  <c r="G33" i="1"/>
  <c r="C6" i="1"/>
  <c r="E62" i="1" l="1"/>
  <c r="G62" i="1"/>
  <c r="E35" i="1"/>
  <c r="C36" i="1"/>
  <c r="G35" i="1"/>
  <c r="G6" i="1"/>
  <c r="E6" i="1"/>
  <c r="C7" i="1"/>
  <c r="G63" i="1" l="1"/>
  <c r="E63" i="1"/>
  <c r="E64" i="1" s="1"/>
  <c r="C65" i="1"/>
  <c r="C66" i="1" s="1"/>
  <c r="C67" i="1" s="1"/>
  <c r="C71" i="1" s="1"/>
  <c r="C75" i="1" s="1"/>
  <c r="G36" i="1"/>
  <c r="E36" i="1"/>
  <c r="E37" i="1" s="1"/>
  <c r="C38" i="1"/>
  <c r="C39" i="1" s="1"/>
  <c r="G7" i="1"/>
  <c r="C8" i="1"/>
  <c r="E7" i="1"/>
  <c r="D79" i="1" l="1"/>
  <c r="D80" i="1" s="1"/>
  <c r="C80" i="1"/>
  <c r="C40" i="1"/>
  <c r="C44" i="1" s="1"/>
  <c r="C48" i="1" s="1"/>
  <c r="C10" i="1"/>
  <c r="C11" i="1" s="1"/>
  <c r="C12" i="1" s="1"/>
  <c r="C16" i="1" s="1"/>
  <c r="C20" i="1" s="1"/>
  <c r="G8" i="1"/>
  <c r="E8" i="1"/>
  <c r="E9" i="1" s="1"/>
  <c r="P3" i="1" l="1"/>
  <c r="D52" i="1"/>
  <c r="D53" i="1" s="1"/>
  <c r="C53" i="1"/>
  <c r="D24" i="1"/>
  <c r="D25" i="1" s="1"/>
  <c r="C25" i="1"/>
</calcChain>
</file>

<file path=xl/sharedStrings.xml><?xml version="1.0" encoding="utf-8"?>
<sst xmlns="http://schemas.openxmlformats.org/spreadsheetml/2006/main" count="163" uniqueCount="112">
  <si>
    <t>Base Case:</t>
  </si>
  <si>
    <t>WACC</t>
  </si>
  <si>
    <t>Terminal Growth Rate</t>
  </si>
  <si>
    <t>Sources:</t>
  </si>
  <si>
    <t>Company: $SE</t>
  </si>
  <si>
    <t>Yahoo Finance</t>
  </si>
  <si>
    <t>Year</t>
  </si>
  <si>
    <t>FCF ($B)</t>
  </si>
  <si>
    <t>Discounted Factor</t>
  </si>
  <si>
    <t>Present Value ($B)</t>
  </si>
  <si>
    <t>FCF Growth Rate</t>
  </si>
  <si>
    <t>Finbox</t>
  </si>
  <si>
    <t>Year 1</t>
  </si>
  <si>
    <t>Finviz</t>
  </si>
  <si>
    <t>Year 2</t>
  </si>
  <si>
    <t>Year 3</t>
  </si>
  <si>
    <t>Year 4</t>
  </si>
  <si>
    <t>Year 5</t>
  </si>
  <si>
    <t>Terminal Value</t>
  </si>
  <si>
    <t>Discounted Value</t>
  </si>
  <si>
    <t>Enterprise Value</t>
  </si>
  <si>
    <t>Net Debt</t>
  </si>
  <si>
    <t>Equity Value</t>
  </si>
  <si>
    <t>Shares Outstanding</t>
  </si>
  <si>
    <t>Implied Share Price</t>
  </si>
  <si>
    <t>Current Price</t>
  </si>
  <si>
    <t>Margin of Safety</t>
  </si>
  <si>
    <t>Gain</t>
  </si>
  <si>
    <t>Bullish Case:</t>
  </si>
  <si>
    <t>Company:</t>
  </si>
  <si>
    <t>Sea Limited ($SE)</t>
  </si>
  <si>
    <t>Date:</t>
  </si>
  <si>
    <t>Current Price:</t>
  </si>
  <si>
    <t>Valuation:</t>
  </si>
  <si>
    <t>BUY</t>
  </si>
  <si>
    <t>P/E Ratio</t>
  </si>
  <si>
    <t>Very high, but reasonable for growth company</t>
  </si>
  <si>
    <t>Debt-to-Equity Ratio</t>
  </si>
  <si>
    <t>Uses less debt relative to equity</t>
  </si>
  <si>
    <t>Current Ratio:</t>
  </si>
  <si>
    <t>Healthy, uses 1.5 the amount of assets to cover liabilities</t>
  </si>
  <si>
    <t>Revenue Growth:</t>
  </si>
  <si>
    <t>Shopee e-commerce growth in Southeast Asia and expansion of SeaMoney</t>
  </si>
  <si>
    <t>EPS:</t>
  </si>
  <si>
    <t>This year</t>
  </si>
  <si>
    <t>Next year</t>
  </si>
  <si>
    <t>shows strong EPS growth over time</t>
  </si>
  <si>
    <t>5 years</t>
  </si>
  <si>
    <t>Return on Equity:</t>
  </si>
  <si>
    <t>15% is considered generally good as it shows strong profitability</t>
  </si>
  <si>
    <t>Dividend:</t>
  </si>
  <si>
    <t>-</t>
  </si>
  <si>
    <t>Price-to-Book Ratio:</t>
  </si>
  <si>
    <t>market value is 5x the book value</t>
  </si>
  <si>
    <t>Free Cash Flow:</t>
  </si>
  <si>
    <t>Gross Margin:</t>
  </si>
  <si>
    <t>Opinion:</t>
  </si>
  <si>
    <t xml:space="preserve">Company is now profitable </t>
  </si>
  <si>
    <t>Guidance seems moderate to prioritize long term strategic investments</t>
  </si>
  <si>
    <t>Improving operating leverage</t>
  </si>
  <si>
    <t>Cons: strong competition from other Chinese markets Alibaba, TikTok Shop, and GRAB</t>
  </si>
  <si>
    <t>Bear Case:</t>
  </si>
  <si>
    <t>Growth Rate</t>
  </si>
  <si>
    <t>W</t>
  </si>
  <si>
    <t>A</t>
  </si>
  <si>
    <t>C</t>
  </si>
  <si>
    <t>Implied Price:</t>
  </si>
  <si>
    <t>Sensitivity Table</t>
  </si>
  <si>
    <t>dates</t>
  </si>
  <si>
    <t>base_price</t>
  </si>
  <si>
    <t>upper_band</t>
  </si>
  <si>
    <t>lower_band</t>
  </si>
  <si>
    <t>month_number</t>
  </si>
  <si>
    <t>Average Daily Return</t>
  </si>
  <si>
    <t>Average Daily Volatility</t>
  </si>
  <si>
    <t xml:space="preserve">               Assumptions</t>
  </si>
  <si>
    <t>Notes:</t>
  </si>
  <si>
    <t>Historical volatility suggests a wide dispersion of possible outcomes.</t>
  </si>
  <si>
    <t>Upper band reflects optimistic but statistically probable price appreciation.</t>
  </si>
  <si>
    <t>Lower band reflects downside risk under historical volatility assumptions.</t>
  </si>
  <si>
    <t>Closing Price</t>
  </si>
  <si>
    <t>20 DMA</t>
  </si>
  <si>
    <t>50 DMA</t>
  </si>
  <si>
    <t>Alpha 20 DMA</t>
  </si>
  <si>
    <t>Alpha 50 DMA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</si>
  <si>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</si>
  <si>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</si>
  <si>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</si>
  <si>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</si>
  <si>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</si>
  <si>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</si>
  <si>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</si>
  <si>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</si>
  <si>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</si>
  <si>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</si>
  <si>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</si>
  <si>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</si>
  <si>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Date</t>
  </si>
  <si>
    <t>Projected Close</t>
  </si>
  <si>
    <t>Estimated 20 DMA</t>
  </si>
  <si>
    <t>Estimated 50 DMA</t>
  </si>
  <si>
    <t>Avg Daily Return</t>
  </si>
  <si>
    <t>Daily Volatility</t>
  </si>
  <si>
    <t>Days</t>
  </si>
  <si>
    <t>Assumptions</t>
  </si>
  <si>
    <t>Last Close</t>
  </si>
  <si>
    <t>Bearish Scenario</t>
  </si>
  <si>
    <t>Base Scenario</t>
  </si>
  <si>
    <t>Bullish Scenario</t>
  </si>
  <si>
    <t>Mean Forecast:</t>
  </si>
  <si>
    <t>Probability above $150</t>
  </si>
  <si>
    <t>Probability below $60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</si>
</sst>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0.0%"/>
    <numFmt numFmtId="166" formatCode="yyyy\-mm\-dd;@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1" fillId="2" borderId="0" xfId="0" applyNumberFormat="1" applyFont="1" applyFill="1"/>
    <xf numFmtId="0" fontId="1" fillId="3" borderId="1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1" fillId="4" borderId="3" xfId="0" applyFont="1" applyFill="1" applyBorder="1"/>
    <xf numFmtId="0" fontId="2" fillId="4" borderId="4" xfId="0" applyFont="1" applyFill="1" applyBorder="1"/>
    <xf numFmtId="0" fontId="2" fillId="5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4" fontId="2" fillId="2" borderId="1" xfId="0" applyNumberFormat="1" applyFont="1" applyFill="1" applyBorder="1"/>
    <xf numFmtId="10" fontId="2" fillId="2" borderId="1" xfId="0" applyNumberFormat="1" applyFont="1" applyFill="1" applyBorder="1"/>
    <xf numFmtId="0" fontId="2" fillId="2" borderId="5" xfId="0" applyFont="1" applyFill="1" applyBorder="1"/>
    <xf numFmtId="0" fontId="1" fillId="0" borderId="6" xfId="0" applyFont="1" applyBorder="1"/>
    <xf numFmtId="0" fontId="1" fillId="6" borderId="1" xfId="0" applyFont="1" applyFill="1" applyBorder="1"/>
    <xf numFmtId="10" fontId="2" fillId="0" borderId="0" xfId="0" applyNumberFormat="1" applyFont="1"/>
    <xf numFmtId="0" fontId="3" fillId="7" borderId="7" xfId="0" applyFont="1" applyFill="1" applyBorder="1"/>
    <xf numFmtId="0" fontId="3" fillId="7" borderId="0" xfId="0" applyFont="1" applyFill="1"/>
    <xf numFmtId="0" fontId="4" fillId="7" borderId="0" xfId="0" applyFont="1" applyFill="1"/>
    <xf numFmtId="0" fontId="3" fillId="7" borderId="1" xfId="0" applyFont="1" applyFill="1" applyBorder="1"/>
    <xf numFmtId="164" fontId="3" fillId="7" borderId="1" xfId="0" applyNumberFormat="1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4" fillId="7" borderId="9" xfId="0" applyFont="1" applyFill="1" applyBorder="1"/>
    <xf numFmtId="0" fontId="4" fillId="2" borderId="1" xfId="0" applyFont="1" applyFill="1" applyBorder="1"/>
    <xf numFmtId="0" fontId="4" fillId="8" borderId="1" xfId="0" applyFont="1" applyFill="1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0" xfId="0" applyFont="1"/>
    <xf numFmtId="0" fontId="4" fillId="9" borderId="1" xfId="0" applyFont="1" applyFill="1" applyBorder="1"/>
    <xf numFmtId="10" fontId="4" fillId="9" borderId="1" xfId="0" applyNumberFormat="1" applyFont="1" applyFill="1" applyBorder="1"/>
    <xf numFmtId="0" fontId="4" fillId="2" borderId="5" xfId="0" applyFont="1" applyFill="1" applyBorder="1"/>
    <xf numFmtId="10" fontId="4" fillId="8" borderId="1" xfId="0" applyNumberFormat="1" applyFont="1" applyFill="1" applyBorder="1"/>
    <xf numFmtId="0" fontId="4" fillId="2" borderId="0" xfId="0" applyFont="1" applyFill="1"/>
    <xf numFmtId="0" fontId="4" fillId="10" borderId="1" xfId="0" applyFont="1" applyFill="1" applyBorder="1"/>
    <xf numFmtId="3" fontId="4" fillId="2" borderId="1" xfId="0" applyNumberFormat="1" applyFont="1" applyFill="1" applyBorder="1"/>
    <xf numFmtId="10" fontId="4" fillId="2" borderId="1" xfId="0" applyNumberFormat="1" applyFont="1" applyFill="1" applyBorder="1"/>
    <xf numFmtId="0" fontId="3" fillId="2" borderId="1" xfId="0" applyFont="1" applyFill="1" applyBorder="1"/>
    <xf numFmtId="0" fontId="2" fillId="2" borderId="2" xfId="0" applyFont="1" applyFill="1" applyBorder="1"/>
    <xf numFmtId="0" fontId="2" fillId="4" borderId="11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1" fillId="4" borderId="9" xfId="0" applyFont="1" applyFill="1" applyBorder="1"/>
    <xf numFmtId="0" fontId="2" fillId="4" borderId="12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2" fillId="2" borderId="13" xfId="0" applyFont="1" applyFill="1" applyBorder="1"/>
    <xf numFmtId="9" fontId="1" fillId="2" borderId="13" xfId="0" applyNumberFormat="1" applyFont="1" applyFill="1" applyBorder="1"/>
    <xf numFmtId="0" fontId="2" fillId="2" borderId="14" xfId="0" applyFont="1" applyFill="1" applyBorder="1"/>
    <xf numFmtId="0" fontId="1" fillId="2" borderId="18" xfId="0" applyFont="1" applyFill="1" applyBorder="1"/>
    <xf numFmtId="0" fontId="2" fillId="2" borderId="18" xfId="0" applyFont="1" applyFill="1" applyBorder="1"/>
    <xf numFmtId="9" fontId="1" fillId="2" borderId="18" xfId="0" applyNumberFormat="1" applyFont="1" applyFill="1" applyBorder="1"/>
    <xf numFmtId="0" fontId="2" fillId="2" borderId="17" xfId="0" applyFont="1" applyFill="1" applyBorder="1"/>
    <xf numFmtId="10" fontId="1" fillId="2" borderId="17" xfId="0" applyNumberFormat="1" applyFont="1" applyFill="1" applyBorder="1"/>
    <xf numFmtId="10" fontId="1" fillId="2" borderId="14" xfId="0" applyNumberFormat="1" applyFont="1" applyFill="1" applyBorder="1"/>
    <xf numFmtId="0" fontId="2" fillId="2" borderId="19" xfId="0" applyFont="1" applyFill="1" applyBorder="1"/>
    <xf numFmtId="10" fontId="1" fillId="2" borderId="19" xfId="0" applyNumberFormat="1" applyFont="1" applyFill="1" applyBorder="1"/>
    <xf numFmtId="0" fontId="1" fillId="2" borderId="20" xfId="0" applyFont="1" applyFill="1" applyBorder="1"/>
    <xf numFmtId="9" fontId="0" fillId="0" borderId="0" xfId="1" applyFont="1"/>
    <xf numFmtId="165" fontId="0" fillId="0" borderId="0" xfId="1" applyNumberFormat="1" applyFont="1"/>
    <xf numFmtId="2" fontId="0" fillId="11" borderId="10" xfId="0" applyNumberFormat="1" applyFill="1" applyBorder="1"/>
    <xf numFmtId="0" fontId="0" fillId="12" borderId="24" xfId="0" applyFill="1" applyBorder="1"/>
    <xf numFmtId="0" fontId="6" fillId="12" borderId="22" xfId="0" applyFont="1" applyFill="1" applyBorder="1"/>
    <xf numFmtId="0" fontId="0" fillId="12" borderId="23" xfId="0" applyFill="1" applyBorder="1"/>
    <xf numFmtId="0" fontId="0" fillId="12" borderId="0" xfId="0" applyFill="1"/>
    <xf numFmtId="0" fontId="0" fillId="12" borderId="25" xfId="0" applyFill="1" applyBorder="1"/>
    <xf numFmtId="0" fontId="6" fillId="12" borderId="25" xfId="0" applyFont="1" applyFill="1" applyBorder="1"/>
    <xf numFmtId="0" fontId="0" fillId="12" borderId="26" xfId="0" applyFill="1" applyBorder="1"/>
    <xf numFmtId="0" fontId="0" fillId="13" borderId="27" xfId="0" applyFill="1" applyBorder="1"/>
    <xf numFmtId="0" fontId="0" fillId="13" borderId="28" xfId="0" applyFill="1" applyBorder="1"/>
    <xf numFmtId="0" fontId="8" fillId="13" borderId="28" xfId="0" applyFont="1" applyFill="1" applyBorder="1"/>
    <xf numFmtId="0" fontId="0" fillId="13" borderId="29" xfId="0" applyFill="1" applyBorder="1"/>
    <xf numFmtId="165" fontId="6" fillId="14" borderId="23" xfId="1" applyNumberFormat="1" applyFont="1" applyFill="1" applyBorder="1"/>
    <xf numFmtId="165" fontId="6" fillId="14" borderId="10" xfId="1" applyNumberFormat="1" applyFont="1" applyFill="1" applyBorder="1"/>
    <xf numFmtId="0" fontId="6" fillId="14" borderId="24" xfId="0" applyFont="1" applyFill="1" applyBorder="1"/>
    <xf numFmtId="2" fontId="6" fillId="14" borderId="17" xfId="0" applyNumberFormat="1" applyFont="1" applyFill="1" applyBorder="1"/>
    <xf numFmtId="165" fontId="6" fillId="14" borderId="17" xfId="1" applyNumberFormat="1" applyFont="1" applyFill="1" applyBorder="1"/>
    <xf numFmtId="166" fontId="7" fillId="0" borderId="0" xfId="0" applyNumberFormat="1" applyFont="1"/>
    <xf numFmtId="166" fontId="0" fillId="0" borderId="0" xfId="1" applyNumberFormat="1" applyFont="1"/>
    <xf numFmtId="166" fontId="7" fillId="0" borderId="10" xfId="0" applyNumberFormat="1" applyFont="1" applyBorder="1"/>
    <xf numFmtId="0" fontId="0" fillId="0" borderId="10" xfId="0" applyBorder="1"/>
    <xf numFmtId="165" fontId="6" fillId="0" borderId="0" xfId="1" applyNumberFormat="1" applyFont="1" applyBorder="1"/>
    <xf numFmtId="2" fontId="0" fillId="0" borderId="10" xfId="0" applyNumberFormat="1" applyBorder="1"/>
    <xf numFmtId="0" fontId="6" fillId="0" borderId="10" xfId="0" applyFont="1" applyBorder="1"/>
    <xf numFmtId="0" fontId="0" fillId="0" borderId="10" xfId="1" applyNumberFormat="1" applyFont="1" applyBorder="1"/>
    <xf numFmtId="0" fontId="7" fillId="0" borderId="10" xfId="0" applyFont="1" applyBorder="1" applyAlignment="1">
      <alignment vertical="center" wrapText="1"/>
    </xf>
    <xf numFmtId="0" fontId="6" fillId="14" borderId="18" xfId="0" applyFont="1" applyFill="1" applyBorder="1"/>
    <xf numFmtId="0" fontId="0" fillId="14" borderId="21" xfId="0" applyFill="1" applyBorder="1"/>
    <xf numFmtId="0" fontId="0" fillId="14" borderId="17" xfId="0" applyFill="1" applyBorder="1"/>
    <xf numFmtId="2" fontId="6" fillId="15" borderId="10" xfId="0" applyNumberFormat="1" applyFont="1" applyFill="1" applyBorder="1"/>
    <xf numFmtId="165" fontId="6" fillId="15" borderId="10" xfId="1" applyNumberFormat="1" applyFont="1" applyFill="1" applyBorder="1"/>
    <xf numFmtId="0" fontId="6" fillId="11" borderId="30" xfId="0" applyFont="1" applyFill="1" applyBorder="1"/>
    <xf numFmtId="0" fontId="0" fillId="11" borderId="15" xfId="0" applyFill="1" applyBorder="1"/>
    <xf numFmtId="0" fontId="0" fillId="11" borderId="16" xfId="0" applyFill="1" applyBorder="1"/>
    <xf numFmtId="0" fontId="7" fillId="11" borderId="22" xfId="0" applyFont="1" applyFill="1" applyBorder="1"/>
    <xf numFmtId="0" fontId="0" fillId="11" borderId="0" xfId="0" applyFill="1"/>
    <xf numFmtId="0" fontId="0" fillId="11" borderId="31" xfId="0" applyFill="1" applyBorder="1"/>
    <xf numFmtId="0" fontId="7" fillId="11" borderId="24" xfId="0" applyFont="1" applyFill="1" applyBorder="1"/>
    <xf numFmtId="0" fontId="0" fillId="11" borderId="25" xfId="0" applyFill="1" applyBorder="1"/>
    <xf numFmtId="0" fontId="0" fillId="11" borderId="26" xfId="0" applyFill="1" applyBorder="1"/>
    <xf numFmtId="0" fontId="7" fillId="0" borderId="10" xfId="0" applyFont="1" applyBorder="1"/>
    <xf numFmtId="0" fontId="6" fillId="14" borderId="10" xfId="0" applyFont="1" applyFill="1" applyBorder="1"/>
    <xf numFmtId="0" fontId="6" fillId="11" borderId="10" xfId="0" applyFont="1" applyFill="1" applyBorder="1"/>
    <xf numFmtId="0" fontId="0" fillId="11" borderId="10" xfId="1" applyNumberFormat="1" applyFont="1" applyFill="1" applyBorder="1"/>
    <xf numFmtId="0" fontId="7" fillId="11" borderId="10" xfId="0" applyFont="1" applyFill="1" applyBorder="1" applyAlignment="1">
      <alignment vertical="center" wrapText="1"/>
    </xf>
    <xf numFmtId="0" fontId="0" fillId="11" borderId="10" xfId="0" applyFill="1" applyBorder="1"/>
    <xf numFmtId="2" fontId="7" fillId="0" borderId="10" xfId="0" applyNumberFormat="1" applyFont="1" applyBorder="1" applyAlignment="1">
      <alignment vertical="center" wrapText="1"/>
    </xf>
    <xf numFmtId="0" fontId="0" fillId="0" borderId="18" xfId="0" applyBorder="1"/>
    <xf numFmtId="0" fontId="0" fillId="16" borderId="21" xfId="0" applyFill="1" applyBorder="1"/>
    <xf numFmtId="0" fontId="7" fillId="16" borderId="17" xfId="0" applyFont="1" applyFill="1" applyBorder="1"/>
    <xf numFmtId="0" fontId="7" fillId="11" borderId="10" xfId="0" applyFont="1" applyFill="1" applyBorder="1"/>
    <xf numFmtId="0" fontId="0" fillId="0" borderId="23" xfId="1" applyNumberFormat="1" applyFont="1" applyBorder="1"/>
    <xf numFmtId="0" fontId="6" fillId="17" borderId="10" xfId="0" applyFont="1" applyFill="1" applyBorder="1"/>
    <xf numFmtId="0" fontId="6" fillId="13" borderId="10" xfId="0" applyFont="1" applyFill="1" applyBorder="1"/>
    <xf numFmtId="0" fontId="6" fillId="16" borderId="10" xfId="0" applyFont="1" applyFill="1" applyBorder="1"/>
    <xf numFmtId="0" fontId="6" fillId="18" borderId="10" xfId="0" applyFont="1" applyFill="1" applyBorder="1"/>
    <xf numFmtId="0" fontId="0" fillId="0" borderId="17" xfId="0" applyBorder="1"/>
    <xf numFmtId="9" fontId="7" fillId="0" borderId="21" xfId="1" applyFont="1" applyBorder="1"/>
    <xf numFmtId="0" fontId="0" fillId="0" borderId="25" xfId="0" applyBorder="1"/>
    <xf numFmtId="0" fontId="0" fillId="0" borderId="26" xfId="0" applyBorder="1"/>
    <xf numFmtId="0" fontId="6" fillId="19" borderId="32" xfId="0" applyFont="1" applyFill="1" applyBorder="1"/>
    <xf numFmtId="0" fontId="0" fillId="19" borderId="32" xfId="0" applyFill="1" applyBorder="1"/>
    <xf numFmtId="0" fontId="6" fillId="19" borderId="21" xfId="0" applyFont="1" applyFill="1" applyBorder="1"/>
    <xf numFmtId="0" fontId="0" fillId="19" borderId="17" xfId="0" applyFill="1" applyBorder="1"/>
    <xf numFmtId="0" fontId="0" fillId="19" borderId="10" xfId="0" applyFill="1" applyBorder="1"/>
    <xf numFmtId="0" fontId="6" fillId="19" borderId="18" xfId="0" applyFont="1" applyFill="1" applyBorder="1"/>
    <xf numFmtId="9" fontId="7" fillId="0" borderId="24" xfId="1" applyFont="1" applyBorder="1"/>
    <xf numFmtId="2" fontId="0" fillId="0" borderId="2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Stock Performance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Performance Band'!$B$1</c:f>
              <c:strCache>
                <c:ptCount val="1"/>
                <c:pt idx="0">
                  <c:v>base_price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Performance Band'!$A$2:$A$14</c:f>
              <c:numCache>
                <c:formatCode>yyyy\-mm\-dd;@</c:formatCode>
                <c:ptCount val="13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  <c:pt idx="8">
                  <c:v>46388</c:v>
                </c:pt>
                <c:pt idx="9">
                  <c:v>46419</c:v>
                </c:pt>
                <c:pt idx="10">
                  <c:v>46447</c:v>
                </c:pt>
                <c:pt idx="11">
                  <c:v>46478</c:v>
                </c:pt>
                <c:pt idx="12">
                  <c:v>46508</c:v>
                </c:pt>
              </c:numCache>
            </c:numRef>
          </c:cat>
          <c:val>
            <c:numRef>
              <c:f>'Stock Performance Band'!$B$2:$B$14</c:f>
              <c:numCache>
                <c:formatCode>0.00</c:formatCode>
                <c:ptCount val="13"/>
                <c:pt idx="0">
                  <c:v>98.118666992199991</c:v>
                </c:pt>
                <c:pt idx="1">
                  <c:v>99.434753277486422</c:v>
                </c:pt>
                <c:pt idx="2">
                  <c:v>100.76849250449554</c:v>
                </c:pt>
                <c:pt idx="3">
                  <c:v>102.12012145584175</c:v>
                </c:pt>
                <c:pt idx="4">
                  <c:v>103.48988009015446</c:v>
                </c:pt>
                <c:pt idx="5">
                  <c:v>104.8780115846785</c:v>
                </c:pt>
                <c:pt idx="6">
                  <c:v>106.28476237844623</c:v>
                </c:pt>
                <c:pt idx="7">
                  <c:v>107.71038221602844</c:v>
                </c:pt>
                <c:pt idx="8">
                  <c:v>109.15512419187228</c:v>
                </c:pt>
                <c:pt idx="9">
                  <c:v>110.61924479523394</c:v>
                </c:pt>
                <c:pt idx="10">
                  <c:v>112.1030039557138</c:v>
                </c:pt>
                <c:pt idx="11">
                  <c:v>113.60666508940263</c:v>
                </c:pt>
                <c:pt idx="12">
                  <c:v>115.13049514564645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D3-4AE2-A561-909C69538201}"/>
            </c:ext>
          </c:extLst>
        </c:ser>
        <c:ser>
          <c:idx val="1"/>
          <c:order val="1"/>
          <c:tx>
            <c:strRef>
              <c:f>'Stock Performance Band'!$C$1</c:f>
              <c:strCache>
                <c:ptCount val="1"/>
                <c:pt idx="0">
                  <c:v>upper_band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 Performance Band'!$A$2:$A$14</c:f>
              <c:numCache>
                <c:formatCode>yyyy\-mm\-dd;@</c:formatCode>
                <c:ptCount val="13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  <c:pt idx="8">
                  <c:v>46388</c:v>
                </c:pt>
                <c:pt idx="9">
                  <c:v>46419</c:v>
                </c:pt>
                <c:pt idx="10">
                  <c:v>46447</c:v>
                </c:pt>
                <c:pt idx="11">
                  <c:v>46478</c:v>
                </c:pt>
                <c:pt idx="12">
                  <c:v>46508</c:v>
                </c:pt>
              </c:numCache>
            </c:numRef>
          </c:cat>
          <c:val>
            <c:numRef>
              <c:f>'Stock Performance Band'!$C$2:$C$14</c:f>
              <c:numCache>
                <c:formatCode>0.00</c:formatCode>
                <c:ptCount val="13"/>
                <c:pt idx="0">
                  <c:v>100.73240298897613</c:v>
                </c:pt>
                <c:pt idx="1">
                  <c:v>103.20127466417814</c:v>
                </c:pt>
                <c:pt idx="2">
                  <c:v>105.4631033421938</c:v>
                </c:pt>
                <c:pt idx="3">
                  <c:v>107.63324462421252</c:v>
                </c:pt>
                <c:pt idx="4">
                  <c:v>109.7560104918083</c:v>
                </c:pt>
                <c:pt idx="5">
                  <c:v>111.85402803670839</c:v>
                </c:pt>
                <c:pt idx="6">
                  <c:v>113.94073499935575</c:v>
                </c:pt>
                <c:pt idx="7">
                  <c:v>116.02492299459007</c:v>
                </c:pt>
                <c:pt idx="8">
                  <c:v>118.11275310529922</c:v>
                </c:pt>
                <c:pt idx="9">
                  <c:v>120.20877399692506</c:v>
                </c:pt>
                <c:pt idx="10">
                  <c:v>122.31648597078619</c:v>
                </c:pt>
                <c:pt idx="11">
                  <c:v>124.43867597185313</c:v>
                </c:pt>
                <c:pt idx="12">
                  <c:v>126.57762769429434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3-4AE2-A561-909C69538201}"/>
            </c:ext>
          </c:extLst>
        </c:ser>
        <c:ser>
          <c:idx val="2"/>
          <c:order val="2"/>
          <c:tx>
            <c:strRef>
              <c:f>'Stock Performance Band'!$D$1</c:f>
              <c:strCache>
                <c:ptCount val="1"/>
                <c:pt idx="0">
                  <c:v>lower_band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'Stock Performance Band'!$A$2:$A$14</c:f>
              <c:numCache>
                <c:formatCode>yyyy\-mm\-dd;@</c:formatCode>
                <c:ptCount val="13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  <c:pt idx="6">
                  <c:v>46327</c:v>
                </c:pt>
                <c:pt idx="7">
                  <c:v>46357</c:v>
                </c:pt>
                <c:pt idx="8">
                  <c:v>46388</c:v>
                </c:pt>
                <c:pt idx="9">
                  <c:v>46419</c:v>
                </c:pt>
                <c:pt idx="10">
                  <c:v>46447</c:v>
                </c:pt>
                <c:pt idx="11">
                  <c:v>46478</c:v>
                </c:pt>
                <c:pt idx="12">
                  <c:v>46508</c:v>
                </c:pt>
              </c:numCache>
            </c:numRef>
          </c:cat>
          <c:val>
            <c:numRef>
              <c:f>'Stock Performance Band'!$D$2:$D$14</c:f>
              <c:numCache>
                <c:formatCode>0.00</c:formatCode>
                <c:ptCount val="13"/>
                <c:pt idx="0">
                  <c:v>98.118666992199991</c:v>
                </c:pt>
                <c:pt idx="1">
                  <c:v>99.434753277486422</c:v>
                </c:pt>
                <c:pt idx="2">
                  <c:v>100.76849250449554</c:v>
                </c:pt>
                <c:pt idx="3">
                  <c:v>102.12012145584175</c:v>
                </c:pt>
                <c:pt idx="4">
                  <c:v>103.48988009015446</c:v>
                </c:pt>
                <c:pt idx="5">
                  <c:v>104.8780115846785</c:v>
                </c:pt>
                <c:pt idx="6">
                  <c:v>106.28476237844623</c:v>
                </c:pt>
                <c:pt idx="7">
                  <c:v>107.71038221602844</c:v>
                </c:pt>
                <c:pt idx="8">
                  <c:v>109.15512419187228</c:v>
                </c:pt>
                <c:pt idx="9">
                  <c:v>110.61924479523394</c:v>
                </c:pt>
                <c:pt idx="10">
                  <c:v>112.1030039557138</c:v>
                </c:pt>
                <c:pt idx="11">
                  <c:v>113.60666508940263</c:v>
                </c:pt>
                <c:pt idx="12">
                  <c:v>115.13049514564645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D3-4AE2-A561-909C6953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630431"/>
        <c:axId val="1728640511"/>
      </c:lineChart>
      <c:dateAx>
        <c:axId val="1728630431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640511"/>
        <c:crosses val="autoZero"/>
        <c:auto val="1"/>
        <c:lblOffset val="100"/>
        <c:baseTimeUnit val="months"/>
      </c:dateAx>
      <c:valAx>
        <c:axId val="17286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6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 Chart of 5 Simulations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Simulation'!$B$4:$B$255</c:f>
              <c:numCache>
                <c:formatCode>0.00</c:formatCode>
                <c:ptCount val="252"/>
                <c:pt idx="0">
                  <c:v>97.863753376757373</c:v>
                </c:pt>
                <c:pt idx="1">
                  <c:v>99.924482176868338</c:v>
                </c:pt>
                <c:pt idx="2">
                  <c:v>102.20108838611557</c:v>
                </c:pt>
                <c:pt idx="3">
                  <c:v>103.29137192247468</c:v>
                </c:pt>
                <c:pt idx="4">
                  <c:v>105.23867837416822</c:v>
                </c:pt>
                <c:pt idx="5">
                  <c:v>106.0515429293619</c:v>
                </c:pt>
                <c:pt idx="6">
                  <c:v>107.31652399368977</c:v>
                </c:pt>
                <c:pt idx="7">
                  <c:v>107.56982977028541</c:v>
                </c:pt>
                <c:pt idx="8">
                  <c:v>108.54076170565162</c:v>
                </c:pt>
                <c:pt idx="9">
                  <c:v>109.25854806037755</c:v>
                </c:pt>
                <c:pt idx="10">
                  <c:v>111.20786280588092</c:v>
                </c:pt>
                <c:pt idx="11">
                  <c:v>113.33131966079304</c:v>
                </c:pt>
                <c:pt idx="12">
                  <c:v>114.44566413607684</c:v>
                </c:pt>
                <c:pt idx="13">
                  <c:v>116.79534417247216</c:v>
                </c:pt>
                <c:pt idx="14">
                  <c:v>119.1955199222742</c:v>
                </c:pt>
                <c:pt idx="15">
                  <c:v>120.47894137088814</c:v>
                </c:pt>
                <c:pt idx="16">
                  <c:v>121.8930812134962</c:v>
                </c:pt>
                <c:pt idx="17">
                  <c:v>124.00373430936642</c:v>
                </c:pt>
                <c:pt idx="18">
                  <c:v>125.66286165219047</c:v>
                </c:pt>
                <c:pt idx="19">
                  <c:v>126.69683436339012</c:v>
                </c:pt>
                <c:pt idx="20">
                  <c:v>127.58562822086364</c:v>
                </c:pt>
                <c:pt idx="21">
                  <c:v>128.44304172065748</c:v>
                </c:pt>
                <c:pt idx="22">
                  <c:v>128.51505463959097</c:v>
                </c:pt>
                <c:pt idx="23">
                  <c:v>129.83453388968243</c:v>
                </c:pt>
                <c:pt idx="24">
                  <c:v>132.08673545143142</c:v>
                </c:pt>
                <c:pt idx="25">
                  <c:v>134.09307850569778</c:v>
                </c:pt>
                <c:pt idx="26">
                  <c:v>135.06546233599249</c:v>
                </c:pt>
                <c:pt idx="27">
                  <c:v>138.51320726604985</c:v>
                </c:pt>
                <c:pt idx="28">
                  <c:v>142.28344549857869</c:v>
                </c:pt>
                <c:pt idx="29">
                  <c:v>142.74177344658131</c:v>
                </c:pt>
                <c:pt idx="30">
                  <c:v>143.28029215559067</c:v>
                </c:pt>
                <c:pt idx="31">
                  <c:v>145.81608647746063</c:v>
                </c:pt>
                <c:pt idx="32">
                  <c:v>147.62938576293905</c:v>
                </c:pt>
                <c:pt idx="33">
                  <c:v>148.12094193405676</c:v>
                </c:pt>
                <c:pt idx="34">
                  <c:v>151.15906332505062</c:v>
                </c:pt>
                <c:pt idx="35">
                  <c:v>152.86781960991644</c:v>
                </c:pt>
                <c:pt idx="36">
                  <c:v>153.08783685859524</c:v>
                </c:pt>
                <c:pt idx="37">
                  <c:v>154.48180867079478</c:v>
                </c:pt>
                <c:pt idx="38">
                  <c:v>157.30141494705816</c:v>
                </c:pt>
                <c:pt idx="39">
                  <c:v>157.9932925918028</c:v>
                </c:pt>
                <c:pt idx="40">
                  <c:v>160.56952351484117</c:v>
                </c:pt>
                <c:pt idx="41">
                  <c:v>162.51220531028878</c:v>
                </c:pt>
                <c:pt idx="42">
                  <c:v>163.19494796340101</c:v>
                </c:pt>
                <c:pt idx="43">
                  <c:v>166.45072014955494</c:v>
                </c:pt>
                <c:pt idx="44">
                  <c:v>168.82996993411913</c:v>
                </c:pt>
                <c:pt idx="45">
                  <c:v>171.51756285187619</c:v>
                </c:pt>
                <c:pt idx="46">
                  <c:v>174.50516043758907</c:v>
                </c:pt>
                <c:pt idx="47">
                  <c:v>177.46577672413102</c:v>
                </c:pt>
                <c:pt idx="48">
                  <c:v>178.98698681573464</c:v>
                </c:pt>
                <c:pt idx="49">
                  <c:v>180.71925392314552</c:v>
                </c:pt>
                <c:pt idx="50">
                  <c:v>181.75426931250573</c:v>
                </c:pt>
                <c:pt idx="51">
                  <c:v>183.4478288663469</c:v>
                </c:pt>
                <c:pt idx="52">
                  <c:v>186.24349694253672</c:v>
                </c:pt>
                <c:pt idx="53">
                  <c:v>188.23764818654584</c:v>
                </c:pt>
                <c:pt idx="54">
                  <c:v>193.16632516524015</c:v>
                </c:pt>
                <c:pt idx="55">
                  <c:v>197.90209560206884</c:v>
                </c:pt>
                <c:pt idx="56">
                  <c:v>201.34986788524191</c:v>
                </c:pt>
                <c:pt idx="57">
                  <c:v>203.4763530619654</c:v>
                </c:pt>
                <c:pt idx="58">
                  <c:v>206.11947957425099</c:v>
                </c:pt>
                <c:pt idx="59">
                  <c:v>209.89725735027486</c:v>
                </c:pt>
                <c:pt idx="60">
                  <c:v>211.41410934362622</c:v>
                </c:pt>
                <c:pt idx="61">
                  <c:v>213.11836387515902</c:v>
                </c:pt>
                <c:pt idx="62">
                  <c:v>216.76852691436966</c:v>
                </c:pt>
                <c:pt idx="63">
                  <c:v>222.46298734885002</c:v>
                </c:pt>
                <c:pt idx="64">
                  <c:v>225.35204127404822</c:v>
                </c:pt>
                <c:pt idx="65">
                  <c:v>228.28578293819322</c:v>
                </c:pt>
                <c:pt idx="66">
                  <c:v>227.94357525185123</c:v>
                </c:pt>
                <c:pt idx="67">
                  <c:v>228.19170338140188</c:v>
                </c:pt>
                <c:pt idx="68">
                  <c:v>230.16434704700086</c:v>
                </c:pt>
                <c:pt idx="69">
                  <c:v>230.37313451503391</c:v>
                </c:pt>
                <c:pt idx="70">
                  <c:v>235.3788213061506</c:v>
                </c:pt>
                <c:pt idx="71">
                  <c:v>239.35844402950124</c:v>
                </c:pt>
                <c:pt idx="72">
                  <c:v>243.47069805955414</c:v>
                </c:pt>
                <c:pt idx="73">
                  <c:v>248.34284132355722</c:v>
                </c:pt>
                <c:pt idx="74">
                  <c:v>251.13192551779346</c:v>
                </c:pt>
                <c:pt idx="75">
                  <c:v>255.43735867542711</c:v>
                </c:pt>
                <c:pt idx="76">
                  <c:v>258.80685928051207</c:v>
                </c:pt>
                <c:pt idx="77">
                  <c:v>263.72664740642512</c:v>
                </c:pt>
                <c:pt idx="78">
                  <c:v>267.64012115047325</c:v>
                </c:pt>
                <c:pt idx="79">
                  <c:v>270.95397589425346</c:v>
                </c:pt>
                <c:pt idx="80">
                  <c:v>275.40193350119785</c:v>
                </c:pt>
                <c:pt idx="81">
                  <c:v>277.56107147909466</c:v>
                </c:pt>
                <c:pt idx="82">
                  <c:v>281.9804912437956</c:v>
                </c:pt>
                <c:pt idx="83">
                  <c:v>287.76430234751899</c:v>
                </c:pt>
                <c:pt idx="84">
                  <c:v>292.78186636903592</c:v>
                </c:pt>
                <c:pt idx="85">
                  <c:v>296.98337233126063</c:v>
                </c:pt>
                <c:pt idx="86">
                  <c:v>300.77916703316771</c:v>
                </c:pt>
                <c:pt idx="87">
                  <c:v>304.9664224392526</c:v>
                </c:pt>
                <c:pt idx="88">
                  <c:v>307.36260372623332</c:v>
                </c:pt>
                <c:pt idx="89">
                  <c:v>310.38946621394933</c:v>
                </c:pt>
                <c:pt idx="90">
                  <c:v>312.36691284356419</c:v>
                </c:pt>
                <c:pt idx="91">
                  <c:v>316.2379966298497</c:v>
                </c:pt>
                <c:pt idx="92">
                  <c:v>322.22247386329599</c:v>
                </c:pt>
                <c:pt idx="93">
                  <c:v>323.43396437568595</c:v>
                </c:pt>
                <c:pt idx="94">
                  <c:v>327.11007483788381</c:v>
                </c:pt>
                <c:pt idx="95">
                  <c:v>330.15336438885555</c:v>
                </c:pt>
                <c:pt idx="96">
                  <c:v>335.29045034884899</c:v>
                </c:pt>
                <c:pt idx="97">
                  <c:v>340.31305375315708</c:v>
                </c:pt>
                <c:pt idx="98">
                  <c:v>343.62925087671016</c:v>
                </c:pt>
                <c:pt idx="99">
                  <c:v>345.75764453090511</c:v>
                </c:pt>
                <c:pt idx="100">
                  <c:v>342.74098728934598</c:v>
                </c:pt>
                <c:pt idx="101">
                  <c:v>346.52679490191252</c:v>
                </c:pt>
                <c:pt idx="102">
                  <c:v>349.75118817715889</c:v>
                </c:pt>
                <c:pt idx="103">
                  <c:v>353.88971470343336</c:v>
                </c:pt>
                <c:pt idx="104">
                  <c:v>356.7310825341163</c:v>
                </c:pt>
                <c:pt idx="105">
                  <c:v>360.63721588587322</c:v>
                </c:pt>
                <c:pt idx="106">
                  <c:v>360.63710556959313</c:v>
                </c:pt>
                <c:pt idx="107">
                  <c:v>362.82861261285296</c:v>
                </c:pt>
                <c:pt idx="108">
                  <c:v>369.44489491191979</c:v>
                </c:pt>
                <c:pt idx="109">
                  <c:v>368.09073122787294</c:v>
                </c:pt>
                <c:pt idx="110">
                  <c:v>367.32746196392452</c:v>
                </c:pt>
                <c:pt idx="111">
                  <c:v>377.4409828520009</c:v>
                </c:pt>
                <c:pt idx="112">
                  <c:v>380.57113445674162</c:v>
                </c:pt>
                <c:pt idx="113">
                  <c:v>390.26606896017347</c:v>
                </c:pt>
                <c:pt idx="114">
                  <c:v>395.70720879952427</c:v>
                </c:pt>
                <c:pt idx="115">
                  <c:v>402.67688598531987</c:v>
                </c:pt>
                <c:pt idx="116">
                  <c:v>408.40619501878297</c:v>
                </c:pt>
                <c:pt idx="117">
                  <c:v>416.14862606547666</c:v>
                </c:pt>
                <c:pt idx="118">
                  <c:v>422.54080192590544</c:v>
                </c:pt>
                <c:pt idx="119">
                  <c:v>422.97091640433263</c:v>
                </c:pt>
                <c:pt idx="120">
                  <c:v>429.60193050034843</c:v>
                </c:pt>
                <c:pt idx="121">
                  <c:v>429.12596429665683</c:v>
                </c:pt>
                <c:pt idx="122">
                  <c:v>432.71950358051765</c:v>
                </c:pt>
                <c:pt idx="123">
                  <c:v>434.56651594738804</c:v>
                </c:pt>
                <c:pt idx="124">
                  <c:v>440.87876897228102</c:v>
                </c:pt>
                <c:pt idx="125">
                  <c:v>444.48230845568537</c:v>
                </c:pt>
                <c:pt idx="126">
                  <c:v>445.87002345752893</c:v>
                </c:pt>
                <c:pt idx="127">
                  <c:v>452.9757421718661</c:v>
                </c:pt>
                <c:pt idx="128">
                  <c:v>453.97519254985212</c:v>
                </c:pt>
                <c:pt idx="129">
                  <c:v>459.76848732755775</c:v>
                </c:pt>
                <c:pt idx="130">
                  <c:v>465.79570499574231</c:v>
                </c:pt>
                <c:pt idx="131">
                  <c:v>473.89784762903895</c:v>
                </c:pt>
                <c:pt idx="132">
                  <c:v>480.66461305510893</c:v>
                </c:pt>
                <c:pt idx="133">
                  <c:v>483.95927825527343</c:v>
                </c:pt>
                <c:pt idx="134">
                  <c:v>492.32254129812355</c:v>
                </c:pt>
                <c:pt idx="135">
                  <c:v>504.97768383672258</c:v>
                </c:pt>
                <c:pt idx="136">
                  <c:v>515.07830563096957</c:v>
                </c:pt>
                <c:pt idx="137">
                  <c:v>520.76833859954388</c:v>
                </c:pt>
                <c:pt idx="138">
                  <c:v>528.39443853831506</c:v>
                </c:pt>
                <c:pt idx="139">
                  <c:v>538.6682317817349</c:v>
                </c:pt>
                <c:pt idx="140">
                  <c:v>544.17005370111815</c:v>
                </c:pt>
                <c:pt idx="141">
                  <c:v>541.52409697886856</c:v>
                </c:pt>
                <c:pt idx="142">
                  <c:v>543.47131853987071</c:v>
                </c:pt>
                <c:pt idx="143">
                  <c:v>547.93987625004445</c:v>
                </c:pt>
                <c:pt idx="144">
                  <c:v>551.42769662118428</c:v>
                </c:pt>
                <c:pt idx="145">
                  <c:v>561.40102824397343</c:v>
                </c:pt>
                <c:pt idx="146">
                  <c:v>565.53901818929501</c:v>
                </c:pt>
                <c:pt idx="147">
                  <c:v>569.94018142895948</c:v>
                </c:pt>
                <c:pt idx="148">
                  <c:v>580.64342417517685</c:v>
                </c:pt>
                <c:pt idx="149">
                  <c:v>586.32797070733557</c:v>
                </c:pt>
                <c:pt idx="150">
                  <c:v>599.01237525616182</c:v>
                </c:pt>
                <c:pt idx="151">
                  <c:v>604.88274283218448</c:v>
                </c:pt>
                <c:pt idx="152">
                  <c:v>614.27943275645646</c:v>
                </c:pt>
                <c:pt idx="153">
                  <c:v>619.7023599094108</c:v>
                </c:pt>
                <c:pt idx="154">
                  <c:v>629.89211748648711</c:v>
                </c:pt>
                <c:pt idx="155">
                  <c:v>631.57553294086028</c:v>
                </c:pt>
                <c:pt idx="156">
                  <c:v>634.76171448799357</c:v>
                </c:pt>
                <c:pt idx="157">
                  <c:v>644.82203788546394</c:v>
                </c:pt>
                <c:pt idx="158">
                  <c:v>650.0017239370369</c:v>
                </c:pt>
                <c:pt idx="159">
                  <c:v>657.58883617574418</c:v>
                </c:pt>
                <c:pt idx="160">
                  <c:v>655.6217619565258</c:v>
                </c:pt>
                <c:pt idx="161">
                  <c:v>667.42241877485185</c:v>
                </c:pt>
                <c:pt idx="162">
                  <c:v>670.23933687024794</c:v>
                </c:pt>
                <c:pt idx="163">
                  <c:v>686.7760901982565</c:v>
                </c:pt>
                <c:pt idx="164">
                  <c:v>690.73030837048293</c:v>
                </c:pt>
                <c:pt idx="165">
                  <c:v>702.71099598988087</c:v>
                </c:pt>
                <c:pt idx="166">
                  <c:v>712.64421074960376</c:v>
                </c:pt>
                <c:pt idx="167">
                  <c:v>723.62222397576829</c:v>
                </c:pt>
                <c:pt idx="168">
                  <c:v>733.02486705767831</c:v>
                </c:pt>
                <c:pt idx="169">
                  <c:v>735.3645568853708</c:v>
                </c:pt>
                <c:pt idx="170">
                  <c:v>745.08489140449797</c:v>
                </c:pt>
                <c:pt idx="171">
                  <c:v>749.02852725578953</c:v>
                </c:pt>
                <c:pt idx="172">
                  <c:v>760.90411563434873</c:v>
                </c:pt>
                <c:pt idx="173">
                  <c:v>771.44940213905409</c:v>
                </c:pt>
                <c:pt idx="174">
                  <c:v>785.99416961034387</c:v>
                </c:pt>
                <c:pt idx="175">
                  <c:v>788.02365763462512</c:v>
                </c:pt>
                <c:pt idx="176">
                  <c:v>801.11015092791672</c:v>
                </c:pt>
                <c:pt idx="177">
                  <c:v>808.57248529646108</c:v>
                </c:pt>
                <c:pt idx="178">
                  <c:v>810.67390177826576</c:v>
                </c:pt>
                <c:pt idx="179">
                  <c:v>819.40689564331683</c:v>
                </c:pt>
                <c:pt idx="180">
                  <c:v>825.24975125944309</c:v>
                </c:pt>
                <c:pt idx="181">
                  <c:v>844.20240843119313</c:v>
                </c:pt>
                <c:pt idx="182">
                  <c:v>858.68137588948491</c:v>
                </c:pt>
                <c:pt idx="183">
                  <c:v>871.81645811363535</c:v>
                </c:pt>
                <c:pt idx="184">
                  <c:v>885.76066760540493</c:v>
                </c:pt>
                <c:pt idx="185">
                  <c:v>903.67368330123099</c:v>
                </c:pt>
                <c:pt idx="186">
                  <c:v>911.82213543432363</c:v>
                </c:pt>
                <c:pt idx="187">
                  <c:v>929.08768632135639</c:v>
                </c:pt>
                <c:pt idx="188">
                  <c:v>952.63361083379368</c:v>
                </c:pt>
                <c:pt idx="189">
                  <c:v>951.0518990991327</c:v>
                </c:pt>
                <c:pt idx="190">
                  <c:v>979.80370006063765</c:v>
                </c:pt>
                <c:pt idx="191">
                  <c:v>995.14632500566688</c:v>
                </c:pt>
                <c:pt idx="192">
                  <c:v>995.0945128075773</c:v>
                </c:pt>
                <c:pt idx="193">
                  <c:v>1016.8944204135296</c:v>
                </c:pt>
                <c:pt idx="194">
                  <c:v>1031.5500137456995</c:v>
                </c:pt>
                <c:pt idx="195">
                  <c:v>1042.2607819298428</c:v>
                </c:pt>
                <c:pt idx="196">
                  <c:v>1049.5781557318985</c:v>
                </c:pt>
                <c:pt idx="197">
                  <c:v>1054.7115492188857</c:v>
                </c:pt>
                <c:pt idx="198">
                  <c:v>1079.2928149890631</c:v>
                </c:pt>
                <c:pt idx="199">
                  <c:v>1091.5701563479815</c:v>
                </c:pt>
                <c:pt idx="200">
                  <c:v>1112.5609833034666</c:v>
                </c:pt>
                <c:pt idx="201">
                  <c:v>1127.6755923118731</c:v>
                </c:pt>
                <c:pt idx="202">
                  <c:v>1125.9141951585243</c:v>
                </c:pt>
                <c:pt idx="203">
                  <c:v>1141.3725103870456</c:v>
                </c:pt>
                <c:pt idx="204">
                  <c:v>1165.8285467543783</c:v>
                </c:pt>
                <c:pt idx="205">
                  <c:v>1187.100792900128</c:v>
                </c:pt>
                <c:pt idx="206">
                  <c:v>1211.2715879080329</c:v>
                </c:pt>
                <c:pt idx="207">
                  <c:v>1232.9083736095445</c:v>
                </c:pt>
                <c:pt idx="208">
                  <c:v>1247.8245388070675</c:v>
                </c:pt>
                <c:pt idx="209">
                  <c:v>1259.8651152358148</c:v>
                </c:pt>
                <c:pt idx="210">
                  <c:v>1268.9531607148815</c:v>
                </c:pt>
                <c:pt idx="211">
                  <c:v>1281.7950846334204</c:v>
                </c:pt>
                <c:pt idx="212">
                  <c:v>1307.9379752212631</c:v>
                </c:pt>
                <c:pt idx="213">
                  <c:v>1316.7367437357632</c:v>
                </c:pt>
                <c:pt idx="214">
                  <c:v>1320.3942482313898</c:v>
                </c:pt>
                <c:pt idx="215">
                  <c:v>1361.2445439234771</c:v>
                </c:pt>
                <c:pt idx="216">
                  <c:v>1374.8950212983148</c:v>
                </c:pt>
                <c:pt idx="217">
                  <c:v>1374.0566700120155</c:v>
                </c:pt>
                <c:pt idx="218">
                  <c:v>1394.5507453238872</c:v>
                </c:pt>
                <c:pt idx="219">
                  <c:v>1414.6973323544598</c:v>
                </c:pt>
                <c:pt idx="220">
                  <c:v>1449.2127237266709</c:v>
                </c:pt>
                <c:pt idx="221">
                  <c:v>1480.5147202131184</c:v>
                </c:pt>
                <c:pt idx="222">
                  <c:v>1504.0199114294076</c:v>
                </c:pt>
                <c:pt idx="223">
                  <c:v>1526.1468573071393</c:v>
                </c:pt>
                <c:pt idx="224">
                  <c:v>1562.4321124653436</c:v>
                </c:pt>
                <c:pt idx="225">
                  <c:v>1574.8215057652178</c:v>
                </c:pt>
                <c:pt idx="226">
                  <c:v>1587.16808498617</c:v>
                </c:pt>
                <c:pt idx="227">
                  <c:v>1610.4284307815726</c:v>
                </c:pt>
                <c:pt idx="228">
                  <c:v>1617.8504592189031</c:v>
                </c:pt>
                <c:pt idx="229">
                  <c:v>1650.618434319086</c:v>
                </c:pt>
                <c:pt idx="230">
                  <c:v>1672.0401402339264</c:v>
                </c:pt>
                <c:pt idx="231">
                  <c:v>1699.6089059106762</c:v>
                </c:pt>
                <c:pt idx="232">
                  <c:v>1745.7237096815636</c:v>
                </c:pt>
                <c:pt idx="233">
                  <c:v>1730.5537035798459</c:v>
                </c:pt>
                <c:pt idx="234">
                  <c:v>1744.7444085978375</c:v>
                </c:pt>
                <c:pt idx="235">
                  <c:v>1755.2750998863132</c:v>
                </c:pt>
                <c:pt idx="236">
                  <c:v>1767.7220307851951</c:v>
                </c:pt>
                <c:pt idx="237">
                  <c:v>1800.21301189214</c:v>
                </c:pt>
                <c:pt idx="238">
                  <c:v>1826.3611631627791</c:v>
                </c:pt>
                <c:pt idx="239">
                  <c:v>1841.5336157382283</c:v>
                </c:pt>
                <c:pt idx="240">
                  <c:v>1863.2192185140102</c:v>
                </c:pt>
                <c:pt idx="241">
                  <c:v>1891.0261059034642</c:v>
                </c:pt>
                <c:pt idx="242">
                  <c:v>1904.2548111253584</c:v>
                </c:pt>
                <c:pt idx="243">
                  <c:v>1925.1861064953553</c:v>
                </c:pt>
                <c:pt idx="244">
                  <c:v>1940.8327655615369</c:v>
                </c:pt>
                <c:pt idx="245">
                  <c:v>1959.5574220382682</c:v>
                </c:pt>
                <c:pt idx="246">
                  <c:v>1982.9870298923302</c:v>
                </c:pt>
                <c:pt idx="247">
                  <c:v>1996.4215808559782</c:v>
                </c:pt>
                <c:pt idx="248">
                  <c:v>2011.4094530560153</c:v>
                </c:pt>
                <c:pt idx="249">
                  <c:v>2073.6096310512999</c:v>
                </c:pt>
                <c:pt idx="250">
                  <c:v>2120.3276707653263</c:v>
                </c:pt>
                <c:pt idx="251">
                  <c:v>2148.5189604893617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9-4BCD-AE24-385A7E8CF40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Simulation'!$C$4:$C$255</c:f>
              <c:numCache>
                <c:formatCode>0.00</c:formatCode>
                <c:ptCount val="252"/>
                <c:pt idx="0">
                  <c:v>98.452027823463652</c:v>
                </c:pt>
                <c:pt idx="1">
                  <c:v>99.689576614178733</c:v>
                </c:pt>
                <c:pt idx="2">
                  <c:v>100.24917307957871</c:v>
                </c:pt>
                <c:pt idx="3">
                  <c:v>102.1202821335913</c:v>
                </c:pt>
                <c:pt idx="4">
                  <c:v>103.60741473811473</c:v>
                </c:pt>
                <c:pt idx="5">
                  <c:v>105.49282648786767</c:v>
                </c:pt>
                <c:pt idx="6">
                  <c:v>106.71132123061744</c:v>
                </c:pt>
                <c:pt idx="7">
                  <c:v>108.6053528038623</c:v>
                </c:pt>
                <c:pt idx="8">
                  <c:v>110.21036998846725</c:v>
                </c:pt>
                <c:pt idx="9">
                  <c:v>111.70152657475774</c:v>
                </c:pt>
                <c:pt idx="10">
                  <c:v>113.48057748420796</c:v>
                </c:pt>
                <c:pt idx="11">
                  <c:v>115.59978095935934</c:v>
                </c:pt>
                <c:pt idx="12">
                  <c:v>117.61476071869407</c:v>
                </c:pt>
                <c:pt idx="13">
                  <c:v>119.5018456880714</c:v>
                </c:pt>
                <c:pt idx="14">
                  <c:v>122.42773382560948</c:v>
                </c:pt>
                <c:pt idx="15">
                  <c:v>123.42490643119238</c:v>
                </c:pt>
                <c:pt idx="16">
                  <c:v>125.29985115153048</c:v>
                </c:pt>
                <c:pt idx="17">
                  <c:v>127.32330093210929</c:v>
                </c:pt>
                <c:pt idx="18">
                  <c:v>128.31720365970665</c:v>
                </c:pt>
                <c:pt idx="19">
                  <c:v>129.1978598522054</c:v>
                </c:pt>
                <c:pt idx="20">
                  <c:v>129.93488964840111</c:v>
                </c:pt>
                <c:pt idx="21">
                  <c:v>131.74333546800483</c:v>
                </c:pt>
                <c:pt idx="22">
                  <c:v>135.47790989375156</c:v>
                </c:pt>
                <c:pt idx="23">
                  <c:v>137.12527019330463</c:v>
                </c:pt>
                <c:pt idx="24">
                  <c:v>137.39033381121001</c:v>
                </c:pt>
                <c:pt idx="25">
                  <c:v>138.32149568087323</c:v>
                </c:pt>
                <c:pt idx="26">
                  <c:v>139.20511272494693</c:v>
                </c:pt>
                <c:pt idx="27">
                  <c:v>140.31216090654556</c:v>
                </c:pt>
                <c:pt idx="28">
                  <c:v>141.91703138089045</c:v>
                </c:pt>
                <c:pt idx="29">
                  <c:v>143.7506825410797</c:v>
                </c:pt>
                <c:pt idx="30">
                  <c:v>146.53789356760578</c:v>
                </c:pt>
                <c:pt idx="31">
                  <c:v>147.12573662271743</c:v>
                </c:pt>
                <c:pt idx="32">
                  <c:v>151.17058534657923</c:v>
                </c:pt>
                <c:pt idx="33">
                  <c:v>153.52076904225473</c:v>
                </c:pt>
                <c:pt idx="34">
                  <c:v>155.83237146488031</c:v>
                </c:pt>
                <c:pt idx="35">
                  <c:v>157.7813094390566</c:v>
                </c:pt>
                <c:pt idx="36">
                  <c:v>160.06448909394524</c:v>
                </c:pt>
                <c:pt idx="37">
                  <c:v>162.37913671150719</c:v>
                </c:pt>
                <c:pt idx="38">
                  <c:v>163.54130616524336</c:v>
                </c:pt>
                <c:pt idx="39">
                  <c:v>164.27239843478625</c:v>
                </c:pt>
                <c:pt idx="40">
                  <c:v>166.13946220515848</c:v>
                </c:pt>
                <c:pt idx="41">
                  <c:v>168.05343300418247</c:v>
                </c:pt>
                <c:pt idx="42">
                  <c:v>169.64753362332598</c:v>
                </c:pt>
                <c:pt idx="43">
                  <c:v>171.91326148831533</c:v>
                </c:pt>
                <c:pt idx="44">
                  <c:v>173.68967669068672</c:v>
                </c:pt>
                <c:pt idx="45">
                  <c:v>175.24491906008922</c:v>
                </c:pt>
                <c:pt idx="46">
                  <c:v>177.55769203895682</c:v>
                </c:pt>
                <c:pt idx="47">
                  <c:v>180.08023172404836</c:v>
                </c:pt>
                <c:pt idx="48">
                  <c:v>181.61532649481265</c:v>
                </c:pt>
                <c:pt idx="49">
                  <c:v>184.94911164621581</c:v>
                </c:pt>
                <c:pt idx="50">
                  <c:v>185.57479282836425</c:v>
                </c:pt>
                <c:pt idx="51">
                  <c:v>187.7658944905788</c:v>
                </c:pt>
                <c:pt idx="52">
                  <c:v>189.57217203755638</c:v>
                </c:pt>
                <c:pt idx="53">
                  <c:v>191.46797475344204</c:v>
                </c:pt>
                <c:pt idx="54">
                  <c:v>193.3725298327137</c:v>
                </c:pt>
                <c:pt idx="55">
                  <c:v>196.9215846545942</c:v>
                </c:pt>
                <c:pt idx="56">
                  <c:v>201.06322096616009</c:v>
                </c:pt>
                <c:pt idx="57">
                  <c:v>200.87832703369571</c:v>
                </c:pt>
                <c:pt idx="58">
                  <c:v>201.99484623232411</c:v>
                </c:pt>
                <c:pt idx="59">
                  <c:v>205.4787607215149</c:v>
                </c:pt>
                <c:pt idx="60">
                  <c:v>206.30223508900309</c:v>
                </c:pt>
                <c:pt idx="61">
                  <c:v>210.44354219797447</c:v>
                </c:pt>
                <c:pt idx="62">
                  <c:v>215.73817819104056</c:v>
                </c:pt>
                <c:pt idx="63">
                  <c:v>219.00284281810545</c:v>
                </c:pt>
                <c:pt idx="64">
                  <c:v>222.0074241445534</c:v>
                </c:pt>
                <c:pt idx="65">
                  <c:v>225.29833004662402</c:v>
                </c:pt>
                <c:pt idx="66">
                  <c:v>228.45446322103516</c:v>
                </c:pt>
                <c:pt idx="67">
                  <c:v>230.77601682699827</c:v>
                </c:pt>
                <c:pt idx="68">
                  <c:v>233.21444814628063</c:v>
                </c:pt>
                <c:pt idx="69">
                  <c:v>235.53272040245841</c:v>
                </c:pt>
                <c:pt idx="70">
                  <c:v>240.8563307741413</c:v>
                </c:pt>
                <c:pt idx="71">
                  <c:v>244.41852480618181</c:v>
                </c:pt>
                <c:pt idx="72">
                  <c:v>245.6019259136612</c:v>
                </c:pt>
                <c:pt idx="73">
                  <c:v>247.52794468476895</c:v>
                </c:pt>
                <c:pt idx="74">
                  <c:v>250.03127168378572</c:v>
                </c:pt>
                <c:pt idx="75">
                  <c:v>257.15239518398647</c:v>
                </c:pt>
                <c:pt idx="76">
                  <c:v>259.46747173785468</c:v>
                </c:pt>
                <c:pt idx="77">
                  <c:v>262.41986524922731</c:v>
                </c:pt>
                <c:pt idx="78">
                  <c:v>264.72382912838884</c:v>
                </c:pt>
                <c:pt idx="79">
                  <c:v>265.12635345578298</c:v>
                </c:pt>
                <c:pt idx="80">
                  <c:v>267.38493915529813</c:v>
                </c:pt>
                <c:pt idx="81">
                  <c:v>272.12788937197104</c:v>
                </c:pt>
                <c:pt idx="82">
                  <c:v>274.30938019602814</c:v>
                </c:pt>
                <c:pt idx="83">
                  <c:v>278.84718914295439</c:v>
                </c:pt>
                <c:pt idx="84">
                  <c:v>280.24308422615036</c:v>
                </c:pt>
                <c:pt idx="85">
                  <c:v>282.01604467955053</c:v>
                </c:pt>
                <c:pt idx="86">
                  <c:v>288.27326896219603</c:v>
                </c:pt>
                <c:pt idx="87">
                  <c:v>291.86085860823954</c:v>
                </c:pt>
                <c:pt idx="88">
                  <c:v>301.09723231226587</c:v>
                </c:pt>
                <c:pt idx="89">
                  <c:v>302.13802848659935</c:v>
                </c:pt>
                <c:pt idx="90">
                  <c:v>306.247864156719</c:v>
                </c:pt>
                <c:pt idx="91">
                  <c:v>311.66932690374784</c:v>
                </c:pt>
                <c:pt idx="92">
                  <c:v>318.38801367851414</c:v>
                </c:pt>
                <c:pt idx="93">
                  <c:v>323.71103972161666</c:v>
                </c:pt>
                <c:pt idx="94">
                  <c:v>329.62635284813683</c:v>
                </c:pt>
                <c:pt idx="95">
                  <c:v>335.29189935675663</c:v>
                </c:pt>
                <c:pt idx="96">
                  <c:v>341.53071992970968</c:v>
                </c:pt>
                <c:pt idx="97">
                  <c:v>345.50152375264435</c:v>
                </c:pt>
                <c:pt idx="98">
                  <c:v>349.53834746993527</c:v>
                </c:pt>
                <c:pt idx="99">
                  <c:v>356.74601114751721</c:v>
                </c:pt>
                <c:pt idx="100">
                  <c:v>359.66311459993324</c:v>
                </c:pt>
                <c:pt idx="101">
                  <c:v>363.33926463866578</c:v>
                </c:pt>
                <c:pt idx="102">
                  <c:v>374.10641883989803</c:v>
                </c:pt>
                <c:pt idx="103">
                  <c:v>377.31672857616707</c:v>
                </c:pt>
                <c:pt idx="104">
                  <c:v>381.69499112027114</c:v>
                </c:pt>
                <c:pt idx="105">
                  <c:v>386.89096457848984</c:v>
                </c:pt>
                <c:pt idx="106">
                  <c:v>388.7430238270295</c:v>
                </c:pt>
                <c:pt idx="107">
                  <c:v>395.87331794896471</c:v>
                </c:pt>
                <c:pt idx="108">
                  <c:v>401.29161138295615</c:v>
                </c:pt>
                <c:pt idx="109">
                  <c:v>400.61196746077752</c:v>
                </c:pt>
                <c:pt idx="110">
                  <c:v>407.3260888141042</c:v>
                </c:pt>
                <c:pt idx="111">
                  <c:v>412.39054086778367</c:v>
                </c:pt>
                <c:pt idx="112">
                  <c:v>418.3227285779239</c:v>
                </c:pt>
                <c:pt idx="113">
                  <c:v>427.09114827846582</c:v>
                </c:pt>
                <c:pt idx="114">
                  <c:v>435.25983938004953</c:v>
                </c:pt>
                <c:pt idx="115">
                  <c:v>444.75606131061704</c:v>
                </c:pt>
                <c:pt idx="116">
                  <c:v>448.00892844691441</c:v>
                </c:pt>
                <c:pt idx="117">
                  <c:v>457.22541354028425</c:v>
                </c:pt>
                <c:pt idx="118">
                  <c:v>462.37748821083528</c:v>
                </c:pt>
                <c:pt idx="119">
                  <c:v>472.06874586266815</c:v>
                </c:pt>
                <c:pt idx="120">
                  <c:v>481.29678469337716</c:v>
                </c:pt>
                <c:pt idx="121">
                  <c:v>486.55154125813362</c:v>
                </c:pt>
                <c:pt idx="122">
                  <c:v>494.22323213618807</c:v>
                </c:pt>
                <c:pt idx="123">
                  <c:v>501.78035223321541</c:v>
                </c:pt>
                <c:pt idx="124">
                  <c:v>512.20366087491038</c:v>
                </c:pt>
                <c:pt idx="125">
                  <c:v>516.0477893926336</c:v>
                </c:pt>
                <c:pt idx="126">
                  <c:v>530.68030824543609</c:v>
                </c:pt>
                <c:pt idx="127">
                  <c:v>540.94781229555383</c:v>
                </c:pt>
                <c:pt idx="128">
                  <c:v>547.16589746616478</c:v>
                </c:pt>
                <c:pt idx="129">
                  <c:v>554.53578840941339</c:v>
                </c:pt>
                <c:pt idx="130">
                  <c:v>563.7117534612147</c:v>
                </c:pt>
                <c:pt idx="131">
                  <c:v>569.20176975691777</c:v>
                </c:pt>
                <c:pt idx="132">
                  <c:v>574.14041267681648</c:v>
                </c:pt>
                <c:pt idx="133">
                  <c:v>581.44241214062549</c:v>
                </c:pt>
                <c:pt idx="134">
                  <c:v>587.91609466451018</c:v>
                </c:pt>
                <c:pt idx="135">
                  <c:v>595.00581315255579</c:v>
                </c:pt>
                <c:pt idx="136">
                  <c:v>604.41171807465821</c:v>
                </c:pt>
                <c:pt idx="137">
                  <c:v>612.05280771783373</c:v>
                </c:pt>
                <c:pt idx="138">
                  <c:v>625.62865078573486</c:v>
                </c:pt>
                <c:pt idx="139">
                  <c:v>645.28562186938268</c:v>
                </c:pt>
                <c:pt idx="140">
                  <c:v>652.72941942992418</c:v>
                </c:pt>
                <c:pt idx="141">
                  <c:v>658.84281411763607</c:v>
                </c:pt>
                <c:pt idx="142">
                  <c:v>665.41222171799211</c:v>
                </c:pt>
                <c:pt idx="143">
                  <c:v>677.26865080455968</c:v>
                </c:pt>
                <c:pt idx="144">
                  <c:v>683.53695157202151</c:v>
                </c:pt>
                <c:pt idx="145">
                  <c:v>689.3156496697103</c:v>
                </c:pt>
                <c:pt idx="146">
                  <c:v>702.87373470806779</c:v>
                </c:pt>
                <c:pt idx="147">
                  <c:v>712.20689172372784</c:v>
                </c:pt>
                <c:pt idx="148">
                  <c:v>726.09798875058937</c:v>
                </c:pt>
                <c:pt idx="149">
                  <c:v>736.3281552655676</c:v>
                </c:pt>
                <c:pt idx="150">
                  <c:v>750.97991534422727</c:v>
                </c:pt>
                <c:pt idx="151">
                  <c:v>763.49482293503763</c:v>
                </c:pt>
                <c:pt idx="152">
                  <c:v>768.14378819577553</c:v>
                </c:pt>
                <c:pt idx="153">
                  <c:v>769.34371080787764</c:v>
                </c:pt>
                <c:pt idx="154">
                  <c:v>782.37023401007855</c:v>
                </c:pt>
                <c:pt idx="155">
                  <c:v>789.54639872621374</c:v>
                </c:pt>
                <c:pt idx="156">
                  <c:v>793.38242461484708</c:v>
                </c:pt>
                <c:pt idx="157">
                  <c:v>813.99089248136363</c:v>
                </c:pt>
                <c:pt idx="158">
                  <c:v>833.61598038029615</c:v>
                </c:pt>
                <c:pt idx="159">
                  <c:v>841.49960983675476</c:v>
                </c:pt>
                <c:pt idx="160">
                  <c:v>846.96147650956289</c:v>
                </c:pt>
                <c:pt idx="161">
                  <c:v>859.48663926268239</c:v>
                </c:pt>
                <c:pt idx="162">
                  <c:v>879.75449257946843</c:v>
                </c:pt>
                <c:pt idx="163">
                  <c:v>878.84182751455285</c:v>
                </c:pt>
                <c:pt idx="164">
                  <c:v>893.56043503424303</c:v>
                </c:pt>
                <c:pt idx="165">
                  <c:v>900.48256449902851</c:v>
                </c:pt>
                <c:pt idx="166">
                  <c:v>908.39916402100437</c:v>
                </c:pt>
                <c:pt idx="167">
                  <c:v>913.0813054647615</c:v>
                </c:pt>
                <c:pt idx="168">
                  <c:v>934.35615839664626</c:v>
                </c:pt>
                <c:pt idx="169">
                  <c:v>947.62839732025668</c:v>
                </c:pt>
                <c:pt idx="170">
                  <c:v>958.00838802395151</c:v>
                </c:pt>
                <c:pt idx="171">
                  <c:v>966.46674397651373</c:v>
                </c:pt>
                <c:pt idx="172">
                  <c:v>971.89585753467293</c:v>
                </c:pt>
                <c:pt idx="173">
                  <c:v>993.70157282633056</c:v>
                </c:pt>
                <c:pt idx="174">
                  <c:v>1010.2709182949603</c:v>
                </c:pt>
                <c:pt idx="175">
                  <c:v>1011.3086028407188</c:v>
                </c:pt>
                <c:pt idx="176">
                  <c:v>1017.0560450688911</c:v>
                </c:pt>
                <c:pt idx="177">
                  <c:v>1024.0691686435525</c:v>
                </c:pt>
                <c:pt idx="178">
                  <c:v>1039.8996143054812</c:v>
                </c:pt>
                <c:pt idx="179">
                  <c:v>1050.8722222663243</c:v>
                </c:pt>
                <c:pt idx="180">
                  <c:v>1077.8219638355888</c:v>
                </c:pt>
                <c:pt idx="181">
                  <c:v>1096.196696386538</c:v>
                </c:pt>
                <c:pt idx="182">
                  <c:v>1108.1642309369529</c:v>
                </c:pt>
                <c:pt idx="183">
                  <c:v>1115.8387492445838</c:v>
                </c:pt>
                <c:pt idx="184">
                  <c:v>1130.0148084118346</c:v>
                </c:pt>
                <c:pt idx="185">
                  <c:v>1141.1944671612903</c:v>
                </c:pt>
                <c:pt idx="186">
                  <c:v>1155.1813511046855</c:v>
                </c:pt>
                <c:pt idx="187">
                  <c:v>1175.4207592380135</c:v>
                </c:pt>
                <c:pt idx="188">
                  <c:v>1195.4144923176264</c:v>
                </c:pt>
                <c:pt idx="189">
                  <c:v>1215.1022329510897</c:v>
                </c:pt>
                <c:pt idx="190">
                  <c:v>1233.0105876650064</c:v>
                </c:pt>
                <c:pt idx="191">
                  <c:v>1238.9943214255491</c:v>
                </c:pt>
                <c:pt idx="192">
                  <c:v>1259.6101513153969</c:v>
                </c:pt>
                <c:pt idx="193">
                  <c:v>1278.8716814008992</c:v>
                </c:pt>
                <c:pt idx="194">
                  <c:v>1293.7488555827263</c:v>
                </c:pt>
                <c:pt idx="195">
                  <c:v>1307.2583418134561</c:v>
                </c:pt>
                <c:pt idx="196">
                  <c:v>1331.0354741606918</c:v>
                </c:pt>
                <c:pt idx="197">
                  <c:v>1359.0819544310657</c:v>
                </c:pt>
                <c:pt idx="198">
                  <c:v>1385.6798968517642</c:v>
                </c:pt>
                <c:pt idx="199">
                  <c:v>1400.7800185376402</c:v>
                </c:pt>
                <c:pt idx="200">
                  <c:v>1431.2316100660869</c:v>
                </c:pt>
                <c:pt idx="201">
                  <c:v>1468.2304956315763</c:v>
                </c:pt>
                <c:pt idx="202">
                  <c:v>1493.8665816712939</c:v>
                </c:pt>
                <c:pt idx="203">
                  <c:v>1522.272260212211</c:v>
                </c:pt>
                <c:pt idx="204">
                  <c:v>1551.8557390663707</c:v>
                </c:pt>
                <c:pt idx="205">
                  <c:v>1559.5609272639413</c:v>
                </c:pt>
                <c:pt idx="206">
                  <c:v>1588.6140073383065</c:v>
                </c:pt>
                <c:pt idx="207">
                  <c:v>1585.3496279758444</c:v>
                </c:pt>
                <c:pt idx="208">
                  <c:v>1616.4766556964164</c:v>
                </c:pt>
                <c:pt idx="209">
                  <c:v>1630.2306494127449</c:v>
                </c:pt>
                <c:pt idx="210">
                  <c:v>1637.9014506647136</c:v>
                </c:pt>
                <c:pt idx="211">
                  <c:v>1662.9440277310043</c:v>
                </c:pt>
                <c:pt idx="212">
                  <c:v>1666.3954248344558</c:v>
                </c:pt>
                <c:pt idx="213">
                  <c:v>1682.2663480182161</c:v>
                </c:pt>
                <c:pt idx="214">
                  <c:v>1710.364425801472</c:v>
                </c:pt>
                <c:pt idx="215">
                  <c:v>1740.5958837807191</c:v>
                </c:pt>
                <c:pt idx="216">
                  <c:v>1750.9272928753242</c:v>
                </c:pt>
                <c:pt idx="217">
                  <c:v>1779.6422309699874</c:v>
                </c:pt>
                <c:pt idx="218">
                  <c:v>1795.9245633414439</c:v>
                </c:pt>
                <c:pt idx="219">
                  <c:v>1832.3455749103446</c:v>
                </c:pt>
                <c:pt idx="220">
                  <c:v>1865.1787722769459</c:v>
                </c:pt>
                <c:pt idx="221">
                  <c:v>1882.7998890995807</c:v>
                </c:pt>
                <c:pt idx="222">
                  <c:v>1913.0640677459508</c:v>
                </c:pt>
                <c:pt idx="223">
                  <c:v>1929.6662882548283</c:v>
                </c:pt>
                <c:pt idx="224">
                  <c:v>1965.3167256539095</c:v>
                </c:pt>
                <c:pt idx="225">
                  <c:v>1983.2358414898029</c:v>
                </c:pt>
                <c:pt idx="226">
                  <c:v>2013.1963356058345</c:v>
                </c:pt>
                <c:pt idx="227">
                  <c:v>2032.759868538127</c:v>
                </c:pt>
                <c:pt idx="228">
                  <c:v>2078.5037086485845</c:v>
                </c:pt>
                <c:pt idx="229">
                  <c:v>2070.4620999218432</c:v>
                </c:pt>
                <c:pt idx="230">
                  <c:v>2110.5137790433741</c:v>
                </c:pt>
                <c:pt idx="231">
                  <c:v>2125.491436918227</c:v>
                </c:pt>
                <c:pt idx="232">
                  <c:v>2131.6072145803851</c:v>
                </c:pt>
                <c:pt idx="233">
                  <c:v>2181.9803973538683</c:v>
                </c:pt>
                <c:pt idx="234">
                  <c:v>2219.4668296530645</c:v>
                </c:pt>
                <c:pt idx="235">
                  <c:v>2247.7256639235397</c:v>
                </c:pt>
                <c:pt idx="236">
                  <c:v>2283.3658192612502</c:v>
                </c:pt>
                <c:pt idx="237">
                  <c:v>2317.5227688963564</c:v>
                </c:pt>
                <c:pt idx="238">
                  <c:v>2353.6054222081771</c:v>
                </c:pt>
                <c:pt idx="239">
                  <c:v>2398.1193858684078</c:v>
                </c:pt>
                <c:pt idx="240">
                  <c:v>2411.5289312858836</c:v>
                </c:pt>
                <c:pt idx="241">
                  <c:v>2416.7383803669118</c:v>
                </c:pt>
                <c:pt idx="242">
                  <c:v>2448.308036054435</c:v>
                </c:pt>
                <c:pt idx="243">
                  <c:v>2516.2319901231185</c:v>
                </c:pt>
                <c:pt idx="244">
                  <c:v>2551.3184984549689</c:v>
                </c:pt>
                <c:pt idx="245">
                  <c:v>2584.7187194495564</c:v>
                </c:pt>
                <c:pt idx="246">
                  <c:v>2604.9132666658033</c:v>
                </c:pt>
                <c:pt idx="247">
                  <c:v>2634.674266930761</c:v>
                </c:pt>
                <c:pt idx="248">
                  <c:v>2655.9846126638649</c:v>
                </c:pt>
                <c:pt idx="249">
                  <c:v>2675.7679196192034</c:v>
                </c:pt>
                <c:pt idx="250">
                  <c:v>2705.9033059366498</c:v>
                </c:pt>
                <c:pt idx="251">
                  <c:v>2708.3424846305907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9-4BCD-AE24-385A7E8CF40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Simulation'!$D$4:$D$255</c:f>
              <c:numCache>
                <c:formatCode>0.00</c:formatCode>
                <c:ptCount val="252"/>
                <c:pt idx="0">
                  <c:v>97.488891560175261</c:v>
                </c:pt>
                <c:pt idx="1">
                  <c:v>98.201891915356057</c:v>
                </c:pt>
                <c:pt idx="2">
                  <c:v>99.256412423032003</c:v>
                </c:pt>
                <c:pt idx="3">
                  <c:v>101.27583637969714</c:v>
                </c:pt>
                <c:pt idx="4">
                  <c:v>103.04861432220044</c:v>
                </c:pt>
                <c:pt idx="5">
                  <c:v>104.73447422155877</c:v>
                </c:pt>
                <c:pt idx="6">
                  <c:v>105.88389149873261</c:v>
                </c:pt>
                <c:pt idx="7">
                  <c:v>106.65326963825447</c:v>
                </c:pt>
                <c:pt idx="8">
                  <c:v>106.2035300302949</c:v>
                </c:pt>
                <c:pt idx="9">
                  <c:v>105.65176436658039</c:v>
                </c:pt>
                <c:pt idx="10">
                  <c:v>107.01100397808464</c:v>
                </c:pt>
                <c:pt idx="11">
                  <c:v>109.23643949158081</c:v>
                </c:pt>
                <c:pt idx="12">
                  <c:v>110.65629518189854</c:v>
                </c:pt>
                <c:pt idx="13">
                  <c:v>112.33746619896787</c:v>
                </c:pt>
                <c:pt idx="14">
                  <c:v>113.94663208422986</c:v>
                </c:pt>
                <c:pt idx="15">
                  <c:v>115.91235733446328</c:v>
                </c:pt>
                <c:pt idx="16">
                  <c:v>117.84081450904938</c:v>
                </c:pt>
                <c:pt idx="17">
                  <c:v>120.15921893258239</c:v>
                </c:pt>
                <c:pt idx="18">
                  <c:v>120.94507589698152</c:v>
                </c:pt>
                <c:pt idx="19">
                  <c:v>123.13800269244435</c:v>
                </c:pt>
                <c:pt idx="20">
                  <c:v>124.64454525375608</c:v>
                </c:pt>
                <c:pt idx="21">
                  <c:v>125.70393675994225</c:v>
                </c:pt>
                <c:pt idx="22">
                  <c:v>127.44325665141317</c:v>
                </c:pt>
                <c:pt idx="23">
                  <c:v>129.1955638442098</c:v>
                </c:pt>
                <c:pt idx="24">
                  <c:v>130.06739206255438</c:v>
                </c:pt>
                <c:pt idx="25">
                  <c:v>133.07985127883541</c:v>
                </c:pt>
                <c:pt idx="26">
                  <c:v>135.02060231236376</c:v>
                </c:pt>
                <c:pt idx="27">
                  <c:v>136.91447665315448</c:v>
                </c:pt>
                <c:pt idx="28">
                  <c:v>139.84675307506456</c:v>
                </c:pt>
                <c:pt idx="29">
                  <c:v>140.96807092100516</c:v>
                </c:pt>
                <c:pt idx="30">
                  <c:v>143.90373713488512</c:v>
                </c:pt>
                <c:pt idx="31">
                  <c:v>146.12841500702757</c:v>
                </c:pt>
                <c:pt idx="32">
                  <c:v>148.57381924716435</c:v>
                </c:pt>
                <c:pt idx="33">
                  <c:v>151.2667061194708</c:v>
                </c:pt>
                <c:pt idx="34">
                  <c:v>153.1166588196844</c:v>
                </c:pt>
                <c:pt idx="35">
                  <c:v>155.67424722486118</c:v>
                </c:pt>
                <c:pt idx="36">
                  <c:v>156.50150985327173</c:v>
                </c:pt>
                <c:pt idx="37">
                  <c:v>158.05247067840719</c:v>
                </c:pt>
                <c:pt idx="38">
                  <c:v>161.49048893887411</c:v>
                </c:pt>
                <c:pt idx="39">
                  <c:v>164.09199689895485</c:v>
                </c:pt>
                <c:pt idx="40">
                  <c:v>165.76523915332754</c:v>
                </c:pt>
                <c:pt idx="41">
                  <c:v>167.75370248131307</c:v>
                </c:pt>
                <c:pt idx="42">
                  <c:v>169.64542939084475</c:v>
                </c:pt>
                <c:pt idx="43">
                  <c:v>175.26418800293322</c:v>
                </c:pt>
                <c:pt idx="44">
                  <c:v>176.50650387189373</c:v>
                </c:pt>
                <c:pt idx="45">
                  <c:v>179.58578665366738</c:v>
                </c:pt>
                <c:pt idx="46">
                  <c:v>181.68210973364157</c:v>
                </c:pt>
                <c:pt idx="47">
                  <c:v>181.74222876816771</c:v>
                </c:pt>
                <c:pt idx="48">
                  <c:v>185.06406425152292</c:v>
                </c:pt>
                <c:pt idx="49">
                  <c:v>186.1602824899702</c:v>
                </c:pt>
                <c:pt idx="50">
                  <c:v>189.25990294418202</c:v>
                </c:pt>
                <c:pt idx="51">
                  <c:v>192.45231251839203</c:v>
                </c:pt>
                <c:pt idx="52">
                  <c:v>194.5793077057302</c:v>
                </c:pt>
                <c:pt idx="53">
                  <c:v>198.47811171925909</c:v>
                </c:pt>
                <c:pt idx="54">
                  <c:v>202.86439143088776</c:v>
                </c:pt>
                <c:pt idx="55">
                  <c:v>206.30520527204868</c:v>
                </c:pt>
                <c:pt idx="56">
                  <c:v>208.18002348648852</c:v>
                </c:pt>
                <c:pt idx="57">
                  <c:v>213.48793520616951</c:v>
                </c:pt>
                <c:pt idx="58">
                  <c:v>211.7907858436935</c:v>
                </c:pt>
                <c:pt idx="59">
                  <c:v>217.91253254925527</c:v>
                </c:pt>
                <c:pt idx="60">
                  <c:v>218.6889173927687</c:v>
                </c:pt>
                <c:pt idx="61">
                  <c:v>222.39764164591256</c:v>
                </c:pt>
                <c:pt idx="62">
                  <c:v>227.77806429020575</c:v>
                </c:pt>
                <c:pt idx="63">
                  <c:v>232.3355841291999</c:v>
                </c:pt>
                <c:pt idx="64">
                  <c:v>235.3806503868951</c:v>
                </c:pt>
                <c:pt idx="65">
                  <c:v>237.70032437707866</c:v>
                </c:pt>
                <c:pt idx="66">
                  <c:v>239.47039460824914</c:v>
                </c:pt>
                <c:pt idx="67">
                  <c:v>242.6180271398056</c:v>
                </c:pt>
                <c:pt idx="68">
                  <c:v>245.11505330875801</c:v>
                </c:pt>
                <c:pt idx="69">
                  <c:v>250.58544839417826</c:v>
                </c:pt>
                <c:pt idx="70">
                  <c:v>256.02968273431043</c:v>
                </c:pt>
                <c:pt idx="71">
                  <c:v>261.02874613483874</c:v>
                </c:pt>
                <c:pt idx="72">
                  <c:v>263.13338948386189</c:v>
                </c:pt>
                <c:pt idx="73">
                  <c:v>265.12870484978737</c:v>
                </c:pt>
                <c:pt idx="74">
                  <c:v>265.48044127726826</c:v>
                </c:pt>
                <c:pt idx="75">
                  <c:v>268.15624354605137</c:v>
                </c:pt>
                <c:pt idx="76">
                  <c:v>269.73748858463046</c:v>
                </c:pt>
                <c:pt idx="77">
                  <c:v>272.24944656179815</c:v>
                </c:pt>
                <c:pt idx="78">
                  <c:v>275.46446100852069</c:v>
                </c:pt>
                <c:pt idx="79">
                  <c:v>278.60662164265148</c:v>
                </c:pt>
                <c:pt idx="80">
                  <c:v>284.81315769309111</c:v>
                </c:pt>
                <c:pt idx="81">
                  <c:v>287.29615187851692</c:v>
                </c:pt>
                <c:pt idx="82">
                  <c:v>290.3545288266364</c:v>
                </c:pt>
                <c:pt idx="83">
                  <c:v>291.03974382769707</c:v>
                </c:pt>
                <c:pt idx="84">
                  <c:v>293.51260118842021</c:v>
                </c:pt>
                <c:pt idx="85">
                  <c:v>298.61617526927438</c:v>
                </c:pt>
                <c:pt idx="86">
                  <c:v>304.27714506651506</c:v>
                </c:pt>
                <c:pt idx="87">
                  <c:v>310.55109010839129</c:v>
                </c:pt>
                <c:pt idx="88">
                  <c:v>316.91519519718963</c:v>
                </c:pt>
                <c:pt idx="89">
                  <c:v>316.58674541564147</c:v>
                </c:pt>
                <c:pt idx="90">
                  <c:v>315.83727481738657</c:v>
                </c:pt>
                <c:pt idx="91">
                  <c:v>315.44738928206613</c:v>
                </c:pt>
                <c:pt idx="92">
                  <c:v>322.02276881105814</c:v>
                </c:pt>
                <c:pt idx="93">
                  <c:v>328.54505676489856</c:v>
                </c:pt>
                <c:pt idx="94">
                  <c:v>330.56459029046937</c:v>
                </c:pt>
                <c:pt idx="95">
                  <c:v>336.1315669496534</c:v>
                </c:pt>
                <c:pt idx="96">
                  <c:v>339.13939187624442</c:v>
                </c:pt>
                <c:pt idx="97">
                  <c:v>346.09941281997482</c:v>
                </c:pt>
                <c:pt idx="98">
                  <c:v>352.16535805906852</c:v>
                </c:pt>
                <c:pt idx="99">
                  <c:v>357.69164892789172</c:v>
                </c:pt>
                <c:pt idx="100">
                  <c:v>362.34656328000631</c:v>
                </c:pt>
                <c:pt idx="101">
                  <c:v>358.22972141432575</c:v>
                </c:pt>
                <c:pt idx="102">
                  <c:v>364.55996977941192</c:v>
                </c:pt>
                <c:pt idx="103">
                  <c:v>362.9076654571424</c:v>
                </c:pt>
                <c:pt idx="104">
                  <c:v>365.34032861583472</c:v>
                </c:pt>
                <c:pt idx="105">
                  <c:v>369.96115642609595</c:v>
                </c:pt>
                <c:pt idx="106">
                  <c:v>370.9253937307347</c:v>
                </c:pt>
                <c:pt idx="107">
                  <c:v>379.54758897073259</c:v>
                </c:pt>
                <c:pt idx="108">
                  <c:v>385.84269250589364</c:v>
                </c:pt>
                <c:pt idx="109">
                  <c:v>389.00788957783834</c:v>
                </c:pt>
                <c:pt idx="110">
                  <c:v>389.16135780864363</c:v>
                </c:pt>
                <c:pt idx="111">
                  <c:v>401.39722784103367</c:v>
                </c:pt>
                <c:pt idx="112">
                  <c:v>401.37219675033612</c:v>
                </c:pt>
                <c:pt idx="113">
                  <c:v>408.82073940993337</c:v>
                </c:pt>
                <c:pt idx="114">
                  <c:v>417.37070078876098</c:v>
                </c:pt>
                <c:pt idx="115">
                  <c:v>423.36777448695602</c:v>
                </c:pt>
                <c:pt idx="116">
                  <c:v>431.83087350331766</c:v>
                </c:pt>
                <c:pt idx="117">
                  <c:v>437.73395316632804</c:v>
                </c:pt>
                <c:pt idx="118">
                  <c:v>443.43132417162536</c:v>
                </c:pt>
                <c:pt idx="119">
                  <c:v>448.95465799023759</c:v>
                </c:pt>
                <c:pt idx="120">
                  <c:v>455.64124306833122</c:v>
                </c:pt>
                <c:pt idx="121">
                  <c:v>459.9411283709137</c:v>
                </c:pt>
                <c:pt idx="122">
                  <c:v>466.57595567336818</c:v>
                </c:pt>
                <c:pt idx="123">
                  <c:v>475.88927243022897</c:v>
                </c:pt>
                <c:pt idx="124">
                  <c:v>490.24206941634924</c:v>
                </c:pt>
                <c:pt idx="125">
                  <c:v>501.24524618882987</c:v>
                </c:pt>
                <c:pt idx="126">
                  <c:v>501.57897306469539</c:v>
                </c:pt>
                <c:pt idx="127">
                  <c:v>510.71535224861555</c:v>
                </c:pt>
                <c:pt idx="128">
                  <c:v>516.37974218660804</c:v>
                </c:pt>
                <c:pt idx="129">
                  <c:v>526.46296140770619</c:v>
                </c:pt>
                <c:pt idx="130">
                  <c:v>533.90084459497837</c:v>
                </c:pt>
                <c:pt idx="131">
                  <c:v>542.02732364583073</c:v>
                </c:pt>
                <c:pt idx="132">
                  <c:v>546.69142888248712</c:v>
                </c:pt>
                <c:pt idx="133">
                  <c:v>555.88199597503467</c:v>
                </c:pt>
                <c:pt idx="134">
                  <c:v>557.98313624654156</c:v>
                </c:pt>
                <c:pt idx="135">
                  <c:v>568.4240271073935</c:v>
                </c:pt>
                <c:pt idx="136">
                  <c:v>577.62578729513757</c:v>
                </c:pt>
                <c:pt idx="137">
                  <c:v>585.57490960857831</c:v>
                </c:pt>
                <c:pt idx="138">
                  <c:v>598.83802316941069</c:v>
                </c:pt>
                <c:pt idx="139">
                  <c:v>611.96367670435325</c:v>
                </c:pt>
                <c:pt idx="140">
                  <c:v>625.86251699755383</c:v>
                </c:pt>
                <c:pt idx="141">
                  <c:v>625.70569933591844</c:v>
                </c:pt>
                <c:pt idx="142">
                  <c:v>633.25806807798267</c:v>
                </c:pt>
                <c:pt idx="143">
                  <c:v>640.0105898155382</c:v>
                </c:pt>
                <c:pt idx="144">
                  <c:v>645.33570016161377</c:v>
                </c:pt>
                <c:pt idx="145">
                  <c:v>658.7655493447204</c:v>
                </c:pt>
                <c:pt idx="146">
                  <c:v>664.5180576598741</c:v>
                </c:pt>
                <c:pt idx="147">
                  <c:v>672.06073135136421</c:v>
                </c:pt>
                <c:pt idx="148">
                  <c:v>686.58016682058121</c:v>
                </c:pt>
                <c:pt idx="149">
                  <c:v>687.04178152219947</c:v>
                </c:pt>
                <c:pt idx="150">
                  <c:v>696.07781581645906</c:v>
                </c:pt>
                <c:pt idx="151">
                  <c:v>699.30779806255657</c:v>
                </c:pt>
                <c:pt idx="152">
                  <c:v>715.72354341696052</c:v>
                </c:pt>
                <c:pt idx="153">
                  <c:v>718.23701335579005</c:v>
                </c:pt>
                <c:pt idx="154">
                  <c:v>719.4353055342782</c:v>
                </c:pt>
                <c:pt idx="155">
                  <c:v>741.15484047466509</c:v>
                </c:pt>
                <c:pt idx="156">
                  <c:v>751.87156598266711</c:v>
                </c:pt>
                <c:pt idx="157">
                  <c:v>764.32996772640934</c:v>
                </c:pt>
                <c:pt idx="158">
                  <c:v>767.46625956724461</c:v>
                </c:pt>
                <c:pt idx="159">
                  <c:v>789.58621178781152</c:v>
                </c:pt>
                <c:pt idx="160">
                  <c:v>808.30109515588128</c:v>
                </c:pt>
                <c:pt idx="161">
                  <c:v>826.20123988127659</c:v>
                </c:pt>
                <c:pt idx="162">
                  <c:v>839.24865857600378</c:v>
                </c:pt>
                <c:pt idx="163">
                  <c:v>854.10078171405792</c:v>
                </c:pt>
                <c:pt idx="164">
                  <c:v>867.81300196215534</c:v>
                </c:pt>
                <c:pt idx="165">
                  <c:v>881.2202495650954</c:v>
                </c:pt>
                <c:pt idx="166">
                  <c:v>898.9474485872978</c:v>
                </c:pt>
                <c:pt idx="167">
                  <c:v>909.49474466285756</c:v>
                </c:pt>
                <c:pt idx="168">
                  <c:v>915.73154849458126</c:v>
                </c:pt>
                <c:pt idx="169">
                  <c:v>920.42568313100855</c:v>
                </c:pt>
                <c:pt idx="170">
                  <c:v>938.5918309192881</c:v>
                </c:pt>
                <c:pt idx="171">
                  <c:v>942.07547482076666</c:v>
                </c:pt>
                <c:pt idx="172">
                  <c:v>961.80657325151947</c:v>
                </c:pt>
                <c:pt idx="173">
                  <c:v>972.99851757632405</c:v>
                </c:pt>
                <c:pt idx="174">
                  <c:v>986.22033787564362</c:v>
                </c:pt>
                <c:pt idx="175">
                  <c:v>1000.5254241049166</c:v>
                </c:pt>
                <c:pt idx="176">
                  <c:v>1021.2723144979948</c:v>
                </c:pt>
                <c:pt idx="177">
                  <c:v>1037.370302609</c:v>
                </c:pt>
                <c:pt idx="178">
                  <c:v>1052.0496013347611</c:v>
                </c:pt>
                <c:pt idx="179">
                  <c:v>1070.2766600899699</c:v>
                </c:pt>
                <c:pt idx="180">
                  <c:v>1091.3970651484074</c:v>
                </c:pt>
                <c:pt idx="181">
                  <c:v>1095.3215499542516</c:v>
                </c:pt>
                <c:pt idx="182">
                  <c:v>1113.9860851506933</c:v>
                </c:pt>
                <c:pt idx="183">
                  <c:v>1127.8869864650576</c:v>
                </c:pt>
                <c:pt idx="184">
                  <c:v>1142.6009791750021</c:v>
                </c:pt>
                <c:pt idx="185">
                  <c:v>1146.6278172821208</c:v>
                </c:pt>
                <c:pt idx="186">
                  <c:v>1181.2753819718912</c:v>
                </c:pt>
                <c:pt idx="187">
                  <c:v>1195.4640650895681</c:v>
                </c:pt>
                <c:pt idx="188">
                  <c:v>1199.2118869381331</c:v>
                </c:pt>
                <c:pt idx="189">
                  <c:v>1215.8708372578733</c:v>
                </c:pt>
                <c:pt idx="190">
                  <c:v>1237.602877492053</c:v>
                </c:pt>
                <c:pt idx="191">
                  <c:v>1258.0038239199741</c:v>
                </c:pt>
                <c:pt idx="192">
                  <c:v>1276.5064431877995</c:v>
                </c:pt>
                <c:pt idx="193">
                  <c:v>1289.5463140700406</c:v>
                </c:pt>
                <c:pt idx="194">
                  <c:v>1301.4723334464975</c:v>
                </c:pt>
                <c:pt idx="195">
                  <c:v>1321.6674037496798</c:v>
                </c:pt>
                <c:pt idx="196">
                  <c:v>1346.4481630399343</c:v>
                </c:pt>
                <c:pt idx="197">
                  <c:v>1369.1832264875438</c:v>
                </c:pt>
                <c:pt idx="198">
                  <c:v>1381.1861741516605</c:v>
                </c:pt>
                <c:pt idx="199">
                  <c:v>1386.7471610127375</c:v>
                </c:pt>
                <c:pt idx="200">
                  <c:v>1381.3597036952099</c:v>
                </c:pt>
                <c:pt idx="201">
                  <c:v>1395.3431686713357</c:v>
                </c:pt>
                <c:pt idx="202">
                  <c:v>1397.6059635759439</c:v>
                </c:pt>
                <c:pt idx="203">
                  <c:v>1415.1081578187138</c:v>
                </c:pt>
                <c:pt idx="204">
                  <c:v>1433.0113453025217</c:v>
                </c:pt>
                <c:pt idx="205">
                  <c:v>1458.2935965218949</c:v>
                </c:pt>
                <c:pt idx="206">
                  <c:v>1472.3881518839094</c:v>
                </c:pt>
                <c:pt idx="207">
                  <c:v>1500.5824128019894</c:v>
                </c:pt>
                <c:pt idx="208">
                  <c:v>1515.7310385508069</c:v>
                </c:pt>
                <c:pt idx="209">
                  <c:v>1544.4347799272134</c:v>
                </c:pt>
                <c:pt idx="210">
                  <c:v>1582.6597072318461</c:v>
                </c:pt>
                <c:pt idx="211">
                  <c:v>1608.9270468457978</c:v>
                </c:pt>
                <c:pt idx="212">
                  <c:v>1635.5369270435465</c:v>
                </c:pt>
                <c:pt idx="213">
                  <c:v>1661.3648438743433</c:v>
                </c:pt>
                <c:pt idx="214">
                  <c:v>1703.1019358249043</c:v>
                </c:pt>
                <c:pt idx="215">
                  <c:v>1713.834321704222</c:v>
                </c:pt>
                <c:pt idx="216">
                  <c:v>1742.0225338018188</c:v>
                </c:pt>
                <c:pt idx="217">
                  <c:v>1760.0561762130692</c:v>
                </c:pt>
                <c:pt idx="218">
                  <c:v>1778.1742563245919</c:v>
                </c:pt>
                <c:pt idx="219">
                  <c:v>1803.0520867681432</c:v>
                </c:pt>
                <c:pt idx="220">
                  <c:v>1808.1886330020072</c:v>
                </c:pt>
                <c:pt idx="221">
                  <c:v>1840.9684564857109</c:v>
                </c:pt>
                <c:pt idx="222">
                  <c:v>1881.9592550532072</c:v>
                </c:pt>
                <c:pt idx="223">
                  <c:v>1877.6692857937512</c:v>
                </c:pt>
                <c:pt idx="224">
                  <c:v>1900.7739538450523</c:v>
                </c:pt>
                <c:pt idx="225">
                  <c:v>1947.1517307164136</c:v>
                </c:pt>
                <c:pt idx="226">
                  <c:v>1979.7643076967897</c:v>
                </c:pt>
                <c:pt idx="227">
                  <c:v>1992.9454206893092</c:v>
                </c:pt>
                <c:pt idx="228">
                  <c:v>2025.1960100987369</c:v>
                </c:pt>
                <c:pt idx="229">
                  <c:v>2053.2300378349096</c:v>
                </c:pt>
                <c:pt idx="230">
                  <c:v>2084.511165893714</c:v>
                </c:pt>
                <c:pt idx="231">
                  <c:v>2104.9058970892124</c:v>
                </c:pt>
                <c:pt idx="232">
                  <c:v>2159.5874959512621</c:v>
                </c:pt>
                <c:pt idx="233">
                  <c:v>2197.3022592556154</c:v>
                </c:pt>
                <c:pt idx="234">
                  <c:v>2224.4200385357076</c:v>
                </c:pt>
                <c:pt idx="235">
                  <c:v>2232.9767474646956</c:v>
                </c:pt>
                <c:pt idx="236">
                  <c:v>2278.3519313739293</c:v>
                </c:pt>
                <c:pt idx="237">
                  <c:v>2305.0637440157348</c:v>
                </c:pt>
                <c:pt idx="238">
                  <c:v>2344.6075655871491</c:v>
                </c:pt>
                <c:pt idx="239">
                  <c:v>2376.0627384049826</c:v>
                </c:pt>
                <c:pt idx="240">
                  <c:v>2417.5615585076162</c:v>
                </c:pt>
                <c:pt idx="241">
                  <c:v>2454.649534640791</c:v>
                </c:pt>
                <c:pt idx="242">
                  <c:v>2480.3639102706152</c:v>
                </c:pt>
                <c:pt idx="243">
                  <c:v>2500.9225133910659</c:v>
                </c:pt>
                <c:pt idx="244">
                  <c:v>2558.5647626960799</c:v>
                </c:pt>
                <c:pt idx="245">
                  <c:v>2584.2500944425415</c:v>
                </c:pt>
                <c:pt idx="246">
                  <c:v>2636.8819668313918</c:v>
                </c:pt>
                <c:pt idx="247">
                  <c:v>2666.706579835351</c:v>
                </c:pt>
                <c:pt idx="248">
                  <c:v>2719.7385844372584</c:v>
                </c:pt>
                <c:pt idx="249">
                  <c:v>2789.9342520665805</c:v>
                </c:pt>
                <c:pt idx="250">
                  <c:v>2857.6892033273248</c:v>
                </c:pt>
                <c:pt idx="251">
                  <c:v>2898.0147667615211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9-4BCD-AE24-385A7E8CF40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Simulation'!$E$4:$E$255</c:f>
              <c:numCache>
                <c:formatCode>0.00</c:formatCode>
                <c:ptCount val="252"/>
                <c:pt idx="0">
                  <c:v>97.862221082704622</c:v>
                </c:pt>
                <c:pt idx="1">
                  <c:v>98.865713638604646</c:v>
                </c:pt>
                <c:pt idx="2">
                  <c:v>99.354150865450251</c:v>
                </c:pt>
                <c:pt idx="3">
                  <c:v>100.05152644273502</c:v>
                </c:pt>
                <c:pt idx="4">
                  <c:v>102.10208673706884</c:v>
                </c:pt>
                <c:pt idx="5">
                  <c:v>104.3143617048419</c:v>
                </c:pt>
                <c:pt idx="6">
                  <c:v>104.64428454407432</c:v>
                </c:pt>
                <c:pt idx="7">
                  <c:v>106.2026008795771</c:v>
                </c:pt>
                <c:pt idx="8">
                  <c:v>107.53126370652716</c:v>
                </c:pt>
                <c:pt idx="9">
                  <c:v>110.41239480991456</c:v>
                </c:pt>
                <c:pt idx="10">
                  <c:v>111.7760525645117</c:v>
                </c:pt>
                <c:pt idx="11">
                  <c:v>112.32749312409004</c:v>
                </c:pt>
                <c:pt idx="12">
                  <c:v>113.26195603820686</c:v>
                </c:pt>
                <c:pt idx="13">
                  <c:v>114.4023580725086</c:v>
                </c:pt>
                <c:pt idx="14">
                  <c:v>116.51128271993534</c:v>
                </c:pt>
                <c:pt idx="15">
                  <c:v>117.15747387444004</c:v>
                </c:pt>
                <c:pt idx="16">
                  <c:v>118.96112118827904</c:v>
                </c:pt>
                <c:pt idx="17">
                  <c:v>119.58004609296439</c:v>
                </c:pt>
                <c:pt idx="18">
                  <c:v>120.99463441352788</c:v>
                </c:pt>
                <c:pt idx="19">
                  <c:v>123.38893704149864</c:v>
                </c:pt>
                <c:pt idx="20">
                  <c:v>123.24295251941741</c:v>
                </c:pt>
                <c:pt idx="21">
                  <c:v>123.44234362453342</c:v>
                </c:pt>
                <c:pt idx="22">
                  <c:v>125.43820657710776</c:v>
                </c:pt>
                <c:pt idx="23">
                  <c:v>126.73072686364209</c:v>
                </c:pt>
                <c:pt idx="24">
                  <c:v>128.53794518760219</c:v>
                </c:pt>
                <c:pt idx="25">
                  <c:v>130.56855744996486</c:v>
                </c:pt>
                <c:pt idx="26">
                  <c:v>132.01609126309265</c:v>
                </c:pt>
                <c:pt idx="27">
                  <c:v>134.54512838852278</c:v>
                </c:pt>
                <c:pt idx="28">
                  <c:v>135.8787625023154</c:v>
                </c:pt>
                <c:pt idx="29">
                  <c:v>136.60333303073517</c:v>
                </c:pt>
                <c:pt idx="30">
                  <c:v>138.86307948437235</c:v>
                </c:pt>
                <c:pt idx="31">
                  <c:v>141.2269723263085</c:v>
                </c:pt>
                <c:pt idx="32">
                  <c:v>146.26412951697361</c:v>
                </c:pt>
                <c:pt idx="33">
                  <c:v>149.04246523349977</c:v>
                </c:pt>
                <c:pt idx="34">
                  <c:v>151.48172748443892</c:v>
                </c:pt>
                <c:pt idx="35">
                  <c:v>154.4136531074877</c:v>
                </c:pt>
                <c:pt idx="36">
                  <c:v>156.93472956713165</c:v>
                </c:pt>
                <c:pt idx="37">
                  <c:v>157.11600860206286</c:v>
                </c:pt>
                <c:pt idx="38">
                  <c:v>156.87717241976173</c:v>
                </c:pt>
                <c:pt idx="39">
                  <c:v>160.57630807849807</c:v>
                </c:pt>
                <c:pt idx="40">
                  <c:v>161.53490463744905</c:v>
                </c:pt>
                <c:pt idx="41">
                  <c:v>164.8378231089379</c:v>
                </c:pt>
                <c:pt idx="42">
                  <c:v>166.02248098508463</c:v>
                </c:pt>
                <c:pt idx="43">
                  <c:v>167.57902477602073</c:v>
                </c:pt>
                <c:pt idx="44">
                  <c:v>172.5529321540306</c:v>
                </c:pt>
                <c:pt idx="45">
                  <c:v>174.3264454505746</c:v>
                </c:pt>
                <c:pt idx="46">
                  <c:v>179.20908751235618</c:v>
                </c:pt>
                <c:pt idx="47">
                  <c:v>183.09773883719129</c:v>
                </c:pt>
                <c:pt idx="48">
                  <c:v>186.33368171679967</c:v>
                </c:pt>
                <c:pt idx="49">
                  <c:v>188.86806497314006</c:v>
                </c:pt>
                <c:pt idx="50">
                  <c:v>191.93050211031519</c:v>
                </c:pt>
                <c:pt idx="51">
                  <c:v>193.77197501883319</c:v>
                </c:pt>
                <c:pt idx="52">
                  <c:v>195.90044850517307</c:v>
                </c:pt>
                <c:pt idx="53">
                  <c:v>196.70349630871331</c:v>
                </c:pt>
                <c:pt idx="54">
                  <c:v>197.12877656747125</c:v>
                </c:pt>
                <c:pt idx="55">
                  <c:v>199.43095538463677</c:v>
                </c:pt>
                <c:pt idx="56">
                  <c:v>199.83424780672993</c:v>
                </c:pt>
                <c:pt idx="57">
                  <c:v>200.76835629831695</c:v>
                </c:pt>
                <c:pt idx="58">
                  <c:v>203.69967014842737</c:v>
                </c:pt>
                <c:pt idx="59">
                  <c:v>208.98140797248337</c:v>
                </c:pt>
                <c:pt idx="60">
                  <c:v>209.79748266779148</c:v>
                </c:pt>
                <c:pt idx="61">
                  <c:v>211.87733104474748</c:v>
                </c:pt>
                <c:pt idx="62">
                  <c:v>215.38230942881773</c:v>
                </c:pt>
                <c:pt idx="63">
                  <c:v>216.79586250152443</c:v>
                </c:pt>
                <c:pt idx="64">
                  <c:v>219.52943312755875</c:v>
                </c:pt>
                <c:pt idx="65">
                  <c:v>223.21566950151237</c:v>
                </c:pt>
                <c:pt idx="66">
                  <c:v>225.31203791421822</c:v>
                </c:pt>
                <c:pt idx="67">
                  <c:v>230.65191446503721</c:v>
                </c:pt>
                <c:pt idx="68">
                  <c:v>233.48772767904575</c:v>
                </c:pt>
                <c:pt idx="69">
                  <c:v>234.78733675116567</c:v>
                </c:pt>
                <c:pt idx="70">
                  <c:v>237.55592044613186</c:v>
                </c:pt>
                <c:pt idx="71">
                  <c:v>239.32187640986982</c:v>
                </c:pt>
                <c:pt idx="72">
                  <c:v>241.87664815340216</c:v>
                </c:pt>
                <c:pt idx="73">
                  <c:v>244.52799334235189</c:v>
                </c:pt>
                <c:pt idx="74">
                  <c:v>246.98908505797627</c:v>
                </c:pt>
                <c:pt idx="75">
                  <c:v>248.68259519953986</c:v>
                </c:pt>
                <c:pt idx="76">
                  <c:v>253.94244346439623</c:v>
                </c:pt>
                <c:pt idx="77">
                  <c:v>254.48660948282421</c:v>
                </c:pt>
                <c:pt idx="78">
                  <c:v>259.4986748818261</c:v>
                </c:pt>
                <c:pt idx="79">
                  <c:v>260.91332198301575</c:v>
                </c:pt>
                <c:pt idx="80">
                  <c:v>264.91812685147329</c:v>
                </c:pt>
                <c:pt idx="81">
                  <c:v>269.2652633346151</c:v>
                </c:pt>
                <c:pt idx="82">
                  <c:v>270.21661137799452</c:v>
                </c:pt>
                <c:pt idx="83">
                  <c:v>273.1110654616478</c:v>
                </c:pt>
                <c:pt idx="84">
                  <c:v>276.45422356607423</c:v>
                </c:pt>
                <c:pt idx="85">
                  <c:v>281.45562407712157</c:v>
                </c:pt>
                <c:pt idx="86">
                  <c:v>285.66107615573952</c:v>
                </c:pt>
                <c:pt idx="87">
                  <c:v>292.87323062888362</c:v>
                </c:pt>
                <c:pt idx="88">
                  <c:v>299.22195808395253</c:v>
                </c:pt>
                <c:pt idx="89">
                  <c:v>300.78273247342287</c:v>
                </c:pt>
                <c:pt idx="90">
                  <c:v>304.83242799149366</c:v>
                </c:pt>
                <c:pt idx="91">
                  <c:v>309.9050302416091</c:v>
                </c:pt>
                <c:pt idx="92">
                  <c:v>312.87856566857101</c:v>
                </c:pt>
                <c:pt idx="93">
                  <c:v>312.87210864390789</c:v>
                </c:pt>
                <c:pt idx="94">
                  <c:v>317.08204644198355</c:v>
                </c:pt>
                <c:pt idx="95">
                  <c:v>320.70261060232048</c:v>
                </c:pt>
                <c:pt idx="96">
                  <c:v>323.87923648487322</c:v>
                </c:pt>
                <c:pt idx="97">
                  <c:v>325.73694725012649</c:v>
                </c:pt>
                <c:pt idx="98">
                  <c:v>327.44782051179288</c:v>
                </c:pt>
                <c:pt idx="99">
                  <c:v>330.63517192269438</c:v>
                </c:pt>
                <c:pt idx="100">
                  <c:v>331.54947598300129</c:v>
                </c:pt>
                <c:pt idx="101">
                  <c:v>331.99782596851878</c:v>
                </c:pt>
                <c:pt idx="102">
                  <c:v>333.44259856249141</c:v>
                </c:pt>
                <c:pt idx="103">
                  <c:v>339.34308497560255</c:v>
                </c:pt>
                <c:pt idx="104">
                  <c:v>345.77634477141748</c:v>
                </c:pt>
                <c:pt idx="105">
                  <c:v>354.39958455211627</c:v>
                </c:pt>
                <c:pt idx="106">
                  <c:v>360.66441813644519</c:v>
                </c:pt>
                <c:pt idx="107">
                  <c:v>363.78448526122475</c:v>
                </c:pt>
                <c:pt idx="108">
                  <c:v>371.60120062873398</c:v>
                </c:pt>
                <c:pt idx="109">
                  <c:v>379.8575989580761</c:v>
                </c:pt>
                <c:pt idx="110">
                  <c:v>389.0122715760283</c:v>
                </c:pt>
                <c:pt idx="111">
                  <c:v>393.4654298283167</c:v>
                </c:pt>
                <c:pt idx="112">
                  <c:v>405.30603188921884</c:v>
                </c:pt>
                <c:pt idx="113">
                  <c:v>409.17094160441746</c:v>
                </c:pt>
                <c:pt idx="114">
                  <c:v>413.87872910860159</c:v>
                </c:pt>
                <c:pt idx="115">
                  <c:v>423.44909964216578</c:v>
                </c:pt>
                <c:pt idx="116">
                  <c:v>427.49160421800417</c:v>
                </c:pt>
                <c:pt idx="117">
                  <c:v>432.27205371438652</c:v>
                </c:pt>
                <c:pt idx="118">
                  <c:v>438.14164133679435</c:v>
                </c:pt>
                <c:pt idx="119">
                  <c:v>442.96800045958571</c:v>
                </c:pt>
                <c:pt idx="120">
                  <c:v>445.56768263181118</c:v>
                </c:pt>
                <c:pt idx="121">
                  <c:v>452.41077919992892</c:v>
                </c:pt>
                <c:pt idx="122">
                  <c:v>458.15407543346078</c:v>
                </c:pt>
                <c:pt idx="123">
                  <c:v>461.35105415029204</c:v>
                </c:pt>
                <c:pt idx="124">
                  <c:v>465.06565498240815</c:v>
                </c:pt>
                <c:pt idx="125">
                  <c:v>465.32397056715382</c:v>
                </c:pt>
                <c:pt idx="126">
                  <c:v>469.63216791743866</c:v>
                </c:pt>
                <c:pt idx="127">
                  <c:v>477.66969857707352</c:v>
                </c:pt>
                <c:pt idx="128">
                  <c:v>487.33008167921662</c:v>
                </c:pt>
                <c:pt idx="129">
                  <c:v>498.47187203554762</c:v>
                </c:pt>
                <c:pt idx="130">
                  <c:v>501.84413229291482</c:v>
                </c:pt>
                <c:pt idx="131">
                  <c:v>510.76301809725157</c:v>
                </c:pt>
                <c:pt idx="132">
                  <c:v>512.97009360714196</c:v>
                </c:pt>
                <c:pt idx="133">
                  <c:v>518.45847275671633</c:v>
                </c:pt>
                <c:pt idx="134">
                  <c:v>524.71574931918303</c:v>
                </c:pt>
                <c:pt idx="135">
                  <c:v>529.02366322952071</c:v>
                </c:pt>
                <c:pt idx="136">
                  <c:v>541.74715703510788</c:v>
                </c:pt>
                <c:pt idx="137">
                  <c:v>541.7011247065002</c:v>
                </c:pt>
                <c:pt idx="138">
                  <c:v>551.49271684745872</c:v>
                </c:pt>
                <c:pt idx="139">
                  <c:v>555.26682109258161</c:v>
                </c:pt>
                <c:pt idx="140">
                  <c:v>568.32040011110041</c:v>
                </c:pt>
                <c:pt idx="141">
                  <c:v>571.11429482542542</c:v>
                </c:pt>
                <c:pt idx="142">
                  <c:v>578.36719789818778</c:v>
                </c:pt>
                <c:pt idx="143">
                  <c:v>595.20994621965588</c:v>
                </c:pt>
                <c:pt idx="144">
                  <c:v>602.15840168389741</c:v>
                </c:pt>
                <c:pt idx="145">
                  <c:v>603.27801096936571</c:v>
                </c:pt>
                <c:pt idx="146">
                  <c:v>615.84553643865604</c:v>
                </c:pt>
                <c:pt idx="147">
                  <c:v>622.48392211396003</c:v>
                </c:pt>
                <c:pt idx="148">
                  <c:v>623.93983462500591</c:v>
                </c:pt>
                <c:pt idx="149">
                  <c:v>631.3755995043706</c:v>
                </c:pt>
                <c:pt idx="150">
                  <c:v>633.99400557852971</c:v>
                </c:pt>
                <c:pt idx="151">
                  <c:v>651.46962931472262</c:v>
                </c:pt>
                <c:pt idx="152">
                  <c:v>655.76313715322601</c:v>
                </c:pt>
                <c:pt idx="153">
                  <c:v>663.38222735317311</c:v>
                </c:pt>
                <c:pt idx="154">
                  <c:v>670.54643782724122</c:v>
                </c:pt>
                <c:pt idx="155">
                  <c:v>678.3246108769373</c:v>
                </c:pt>
                <c:pt idx="156">
                  <c:v>686.75095063451863</c:v>
                </c:pt>
                <c:pt idx="157">
                  <c:v>690.62847294653477</c:v>
                </c:pt>
                <c:pt idx="158">
                  <c:v>704.47658361983088</c:v>
                </c:pt>
                <c:pt idx="159">
                  <c:v>711.61076097087891</c:v>
                </c:pt>
                <c:pt idx="160">
                  <c:v>729.57531401961273</c:v>
                </c:pt>
                <c:pt idx="161">
                  <c:v>741.0891545817675</c:v>
                </c:pt>
                <c:pt idx="162">
                  <c:v>747.65652070505075</c:v>
                </c:pt>
                <c:pt idx="163">
                  <c:v>754.8834117685692</c:v>
                </c:pt>
                <c:pt idx="164">
                  <c:v>758.8349154301311</c:v>
                </c:pt>
                <c:pt idx="165">
                  <c:v>766.83742917267341</c:v>
                </c:pt>
                <c:pt idx="166">
                  <c:v>789.21570439028596</c:v>
                </c:pt>
                <c:pt idx="167">
                  <c:v>794.56202087889778</c:v>
                </c:pt>
                <c:pt idx="168">
                  <c:v>809.64663608893818</c:v>
                </c:pt>
                <c:pt idx="169">
                  <c:v>825.41141811337206</c:v>
                </c:pt>
                <c:pt idx="170">
                  <c:v>835.0144517253957</c:v>
                </c:pt>
                <c:pt idx="171">
                  <c:v>837.99423358058493</c:v>
                </c:pt>
                <c:pt idx="172">
                  <c:v>856.66901572138579</c:v>
                </c:pt>
                <c:pt idx="173">
                  <c:v>864.13857044600195</c:v>
                </c:pt>
                <c:pt idx="174">
                  <c:v>881.39989440682166</c:v>
                </c:pt>
                <c:pt idx="175">
                  <c:v>900.39783297711995</c:v>
                </c:pt>
                <c:pt idx="176">
                  <c:v>911.27574026401351</c:v>
                </c:pt>
                <c:pt idx="177">
                  <c:v>925.19041958517391</c:v>
                </c:pt>
                <c:pt idx="178">
                  <c:v>949.08728083402536</c:v>
                </c:pt>
                <c:pt idx="179">
                  <c:v>969.42981959566146</c:v>
                </c:pt>
                <c:pt idx="180">
                  <c:v>966.97199190642368</c:v>
                </c:pt>
                <c:pt idx="181">
                  <c:v>971.80329421211616</c:v>
                </c:pt>
                <c:pt idx="182">
                  <c:v>992.94757107615453</c:v>
                </c:pt>
                <c:pt idx="183">
                  <c:v>1001.1117188411228</c:v>
                </c:pt>
                <c:pt idx="184">
                  <c:v>1017.311469438122</c:v>
                </c:pt>
                <c:pt idx="185">
                  <c:v>1039.121970496092</c:v>
                </c:pt>
                <c:pt idx="186">
                  <c:v>1037.5915754085916</c:v>
                </c:pt>
                <c:pt idx="187">
                  <c:v>1055.258817110056</c:v>
                </c:pt>
                <c:pt idx="188">
                  <c:v>1057.0807914757927</c:v>
                </c:pt>
                <c:pt idx="189">
                  <c:v>1067.6341754813341</c:v>
                </c:pt>
                <c:pt idx="190">
                  <c:v>1074.6973386995185</c:v>
                </c:pt>
                <c:pt idx="191">
                  <c:v>1095.2029939800989</c:v>
                </c:pt>
                <c:pt idx="192">
                  <c:v>1102.7700837661225</c:v>
                </c:pt>
                <c:pt idx="193">
                  <c:v>1118.0398093642546</c:v>
                </c:pt>
                <c:pt idx="194">
                  <c:v>1129.2128303267166</c:v>
                </c:pt>
                <c:pt idx="195">
                  <c:v>1153.0842767807815</c:v>
                </c:pt>
                <c:pt idx="196">
                  <c:v>1182.6224209155141</c:v>
                </c:pt>
                <c:pt idx="197">
                  <c:v>1193.7814086922281</c:v>
                </c:pt>
                <c:pt idx="198">
                  <c:v>1217.9366090597912</c:v>
                </c:pt>
                <c:pt idx="199">
                  <c:v>1223.6555535947198</c:v>
                </c:pt>
                <c:pt idx="200">
                  <c:v>1236.9672188048037</c:v>
                </c:pt>
                <c:pt idx="201">
                  <c:v>1246.2261786115653</c:v>
                </c:pt>
                <c:pt idx="202">
                  <c:v>1270.9571775667837</c:v>
                </c:pt>
                <c:pt idx="203">
                  <c:v>1297.7799360017896</c:v>
                </c:pt>
                <c:pt idx="204">
                  <c:v>1300.5530541005189</c:v>
                </c:pt>
                <c:pt idx="205">
                  <c:v>1334.6418743335139</c:v>
                </c:pt>
                <c:pt idx="206">
                  <c:v>1346.1564271166665</c:v>
                </c:pt>
                <c:pt idx="207">
                  <c:v>1355.2035183712301</c:v>
                </c:pt>
                <c:pt idx="208">
                  <c:v>1377.3757258567732</c:v>
                </c:pt>
                <c:pt idx="209">
                  <c:v>1399.2225572221209</c:v>
                </c:pt>
                <c:pt idx="210">
                  <c:v>1413.0069760033841</c:v>
                </c:pt>
                <c:pt idx="211">
                  <c:v>1437.1256128106297</c:v>
                </c:pt>
                <c:pt idx="212">
                  <c:v>1449.4930364655634</c:v>
                </c:pt>
                <c:pt idx="213">
                  <c:v>1463.5056946576333</c:v>
                </c:pt>
                <c:pt idx="214">
                  <c:v>1486.5819229538638</c:v>
                </c:pt>
                <c:pt idx="215">
                  <c:v>1516.1309882459982</c:v>
                </c:pt>
                <c:pt idx="216">
                  <c:v>1533.0869747264862</c:v>
                </c:pt>
                <c:pt idx="217">
                  <c:v>1551.4824142538137</c:v>
                </c:pt>
                <c:pt idx="218">
                  <c:v>1567.1499818118605</c:v>
                </c:pt>
                <c:pt idx="219">
                  <c:v>1568.9734020249489</c:v>
                </c:pt>
                <c:pt idx="220">
                  <c:v>1599.7394100719744</c:v>
                </c:pt>
                <c:pt idx="221">
                  <c:v>1602.9119715535226</c:v>
                </c:pt>
                <c:pt idx="222">
                  <c:v>1628.0529711190111</c:v>
                </c:pt>
                <c:pt idx="223">
                  <c:v>1616.3163451868943</c:v>
                </c:pt>
                <c:pt idx="224">
                  <c:v>1642.8710281657893</c:v>
                </c:pt>
                <c:pt idx="225">
                  <c:v>1663.2281352003063</c:v>
                </c:pt>
                <c:pt idx="226">
                  <c:v>1690.6665945752436</c:v>
                </c:pt>
                <c:pt idx="227">
                  <c:v>1709.1092532633654</c:v>
                </c:pt>
                <c:pt idx="228">
                  <c:v>1704.8747425928955</c:v>
                </c:pt>
                <c:pt idx="229">
                  <c:v>1731.9815600268439</c:v>
                </c:pt>
                <c:pt idx="230">
                  <c:v>1757.9793767475608</c:v>
                </c:pt>
                <c:pt idx="231">
                  <c:v>1795.7320692616709</c:v>
                </c:pt>
                <c:pt idx="232">
                  <c:v>1817.0017201259466</c:v>
                </c:pt>
                <c:pt idx="233">
                  <c:v>1840.0767353653221</c:v>
                </c:pt>
                <c:pt idx="234">
                  <c:v>1863.3391624607525</c:v>
                </c:pt>
                <c:pt idx="235">
                  <c:v>1905.6151116525232</c:v>
                </c:pt>
                <c:pt idx="236">
                  <c:v>1911.9350458538836</c:v>
                </c:pt>
                <c:pt idx="237">
                  <c:v>1934.0819160511076</c:v>
                </c:pt>
                <c:pt idx="238">
                  <c:v>1949.1881690951932</c:v>
                </c:pt>
                <c:pt idx="239">
                  <c:v>1958.7250859840651</c:v>
                </c:pt>
                <c:pt idx="240">
                  <c:v>1981.4414477266955</c:v>
                </c:pt>
                <c:pt idx="241">
                  <c:v>2033.9928877280363</c:v>
                </c:pt>
                <c:pt idx="242">
                  <c:v>2053.4027609713526</c:v>
                </c:pt>
                <c:pt idx="243">
                  <c:v>2093.0593816865603</c:v>
                </c:pt>
                <c:pt idx="244">
                  <c:v>2110.0125267708813</c:v>
                </c:pt>
                <c:pt idx="245">
                  <c:v>2155.0701113285659</c:v>
                </c:pt>
                <c:pt idx="246">
                  <c:v>2178.9002506160846</c:v>
                </c:pt>
                <c:pt idx="247">
                  <c:v>2204.6324280921831</c:v>
                </c:pt>
                <c:pt idx="248">
                  <c:v>2232.4870559913293</c:v>
                </c:pt>
                <c:pt idx="249">
                  <c:v>2253.1174729321378</c:v>
                </c:pt>
                <c:pt idx="250">
                  <c:v>2254.882931904157</c:v>
                </c:pt>
                <c:pt idx="251">
                  <c:v>2287.9886137312442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09-4BCD-AE24-385A7E8CF40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'Monte Carlo Simulation'!$F$4:$F$255</c:f>
              <c:numCache>
                <c:formatCode>0.00</c:formatCode>
                <c:ptCount val="252"/>
                <c:pt idx="0">
                  <c:v>99.255068069536634</c:v>
                </c:pt>
                <c:pt idx="1">
                  <c:v>100.91060969515959</c:v>
                </c:pt>
                <c:pt idx="2">
                  <c:v>101.87560844216696</c:v>
                </c:pt>
                <c:pt idx="3">
                  <c:v>102.07533343182789</c:v>
                </c:pt>
                <c:pt idx="4">
                  <c:v>104.34358186967116</c:v>
                </c:pt>
                <c:pt idx="5">
                  <c:v>106.68131447194902</c:v>
                </c:pt>
                <c:pt idx="6">
                  <c:v>107.00339684777211</c:v>
                </c:pt>
                <c:pt idx="7">
                  <c:v>107.31048777638202</c:v>
                </c:pt>
                <c:pt idx="8">
                  <c:v>108.85511484029453</c:v>
                </c:pt>
                <c:pt idx="9">
                  <c:v>111.84747710435755</c:v>
                </c:pt>
                <c:pt idx="10">
                  <c:v>112.36979438479096</c:v>
                </c:pt>
                <c:pt idx="11">
                  <c:v>113.615660569284</c:v>
                </c:pt>
                <c:pt idx="12">
                  <c:v>113.73855905120631</c:v>
                </c:pt>
                <c:pt idx="13">
                  <c:v>113.46786795975186</c:v>
                </c:pt>
                <c:pt idx="14">
                  <c:v>115.51988917042506</c:v>
                </c:pt>
                <c:pt idx="15">
                  <c:v>117.9675925601322</c:v>
                </c:pt>
                <c:pt idx="16">
                  <c:v>120.33522628020522</c:v>
                </c:pt>
                <c:pt idx="17">
                  <c:v>121.98337549833998</c:v>
                </c:pt>
                <c:pt idx="18">
                  <c:v>123.16394850833915</c:v>
                </c:pt>
                <c:pt idx="19">
                  <c:v>124.89991079008341</c:v>
                </c:pt>
                <c:pt idx="20">
                  <c:v>125.54765250180812</c:v>
                </c:pt>
                <c:pt idx="21">
                  <c:v>127.98917128555655</c:v>
                </c:pt>
                <c:pt idx="22">
                  <c:v>129.83217108028657</c:v>
                </c:pt>
                <c:pt idx="23">
                  <c:v>130.80274720390722</c:v>
                </c:pt>
                <c:pt idx="24">
                  <c:v>132.67111491415676</c:v>
                </c:pt>
                <c:pt idx="25">
                  <c:v>134.0756308900996</c:v>
                </c:pt>
                <c:pt idx="26">
                  <c:v>136.73192825999701</c:v>
                </c:pt>
                <c:pt idx="27">
                  <c:v>140.53668755946862</c:v>
                </c:pt>
                <c:pt idx="28">
                  <c:v>143.53449679494173</c:v>
                </c:pt>
                <c:pt idx="29">
                  <c:v>145.09688871346088</c:v>
                </c:pt>
                <c:pt idx="30">
                  <c:v>146.90513014644341</c:v>
                </c:pt>
                <c:pt idx="31">
                  <c:v>148.98766262020948</c:v>
                </c:pt>
                <c:pt idx="32">
                  <c:v>151.3594464032484</c:v>
                </c:pt>
                <c:pt idx="33">
                  <c:v>151.97510509368357</c:v>
                </c:pt>
                <c:pt idx="34">
                  <c:v>152.48948009254755</c:v>
                </c:pt>
                <c:pt idx="35">
                  <c:v>152.34167776141859</c:v>
                </c:pt>
                <c:pt idx="36">
                  <c:v>155.51360792827128</c:v>
                </c:pt>
                <c:pt idx="37">
                  <c:v>156.95026306397926</c:v>
                </c:pt>
                <c:pt idx="38">
                  <c:v>161.79461006341612</c:v>
                </c:pt>
                <c:pt idx="39">
                  <c:v>163.77848114394413</c:v>
                </c:pt>
                <c:pt idx="40">
                  <c:v>167.53891199301523</c:v>
                </c:pt>
                <c:pt idx="41">
                  <c:v>171.14360686324247</c:v>
                </c:pt>
                <c:pt idx="42">
                  <c:v>175.30476489101176</c:v>
                </c:pt>
                <c:pt idx="43">
                  <c:v>177.06644318285416</c:v>
                </c:pt>
                <c:pt idx="44">
                  <c:v>177.63375503623109</c:v>
                </c:pt>
                <c:pt idx="45">
                  <c:v>179.09935371004178</c:v>
                </c:pt>
                <c:pt idx="46">
                  <c:v>182.76119759896216</c:v>
                </c:pt>
                <c:pt idx="47">
                  <c:v>186.030685629142</c:v>
                </c:pt>
                <c:pt idx="48">
                  <c:v>188.08799678816723</c:v>
                </c:pt>
                <c:pt idx="49">
                  <c:v>191.11500119359505</c:v>
                </c:pt>
                <c:pt idx="50">
                  <c:v>194.57065652104686</c:v>
                </c:pt>
                <c:pt idx="51">
                  <c:v>198.74727395404892</c:v>
                </c:pt>
                <c:pt idx="52">
                  <c:v>201.72397277630799</c:v>
                </c:pt>
                <c:pt idx="53">
                  <c:v>204.20420471712481</c:v>
                </c:pt>
                <c:pt idx="54">
                  <c:v>204.7717172464227</c:v>
                </c:pt>
                <c:pt idx="55">
                  <c:v>206.67603139393464</c:v>
                </c:pt>
                <c:pt idx="56">
                  <c:v>209.16056041599197</c:v>
                </c:pt>
                <c:pt idx="57">
                  <c:v>211.38896644413865</c:v>
                </c:pt>
                <c:pt idx="58">
                  <c:v>213.46310441579053</c:v>
                </c:pt>
                <c:pt idx="59">
                  <c:v>214.16057955752791</c:v>
                </c:pt>
                <c:pt idx="60">
                  <c:v>216.07392000763295</c:v>
                </c:pt>
                <c:pt idx="61">
                  <c:v>217.35963170968967</c:v>
                </c:pt>
                <c:pt idx="62">
                  <c:v>221.0739063307069</c:v>
                </c:pt>
                <c:pt idx="63">
                  <c:v>224.52929350065767</c:v>
                </c:pt>
                <c:pt idx="64">
                  <c:v>229.8892869154385</c:v>
                </c:pt>
                <c:pt idx="65">
                  <c:v>231.11643780790359</c:v>
                </c:pt>
                <c:pt idx="66">
                  <c:v>234.16714510068431</c:v>
                </c:pt>
                <c:pt idx="67">
                  <c:v>233.01041358982798</c:v>
                </c:pt>
                <c:pt idx="68">
                  <c:v>234.52323379219948</c:v>
                </c:pt>
                <c:pt idx="69">
                  <c:v>237.78369655135916</c:v>
                </c:pt>
                <c:pt idx="70">
                  <c:v>239.55324850488043</c:v>
                </c:pt>
                <c:pt idx="71">
                  <c:v>245.08888825279891</c:v>
                </c:pt>
                <c:pt idx="72">
                  <c:v>247.55031663514134</c:v>
                </c:pt>
                <c:pt idx="73">
                  <c:v>249.6177336053486</c:v>
                </c:pt>
                <c:pt idx="74">
                  <c:v>254.54281342355833</c:v>
                </c:pt>
                <c:pt idx="75">
                  <c:v>256.91115150519994</c:v>
                </c:pt>
                <c:pt idx="76">
                  <c:v>258.70779721860924</c:v>
                </c:pt>
                <c:pt idx="77">
                  <c:v>261.39815252275469</c:v>
                </c:pt>
                <c:pt idx="78">
                  <c:v>266.60065092457427</c:v>
                </c:pt>
                <c:pt idx="79">
                  <c:v>269.19339240453792</c:v>
                </c:pt>
                <c:pt idx="80">
                  <c:v>274.08935881796634</c:v>
                </c:pt>
                <c:pt idx="81">
                  <c:v>279.01590060095509</c:v>
                </c:pt>
                <c:pt idx="82">
                  <c:v>281.07251041245507</c:v>
                </c:pt>
                <c:pt idx="83">
                  <c:v>285.07252768026416</c:v>
                </c:pt>
                <c:pt idx="84">
                  <c:v>286.91497314115082</c:v>
                </c:pt>
                <c:pt idx="85">
                  <c:v>289.82750712348775</c:v>
                </c:pt>
                <c:pt idx="86">
                  <c:v>292.65810142930974</c:v>
                </c:pt>
                <c:pt idx="87">
                  <c:v>299.20030852614929</c:v>
                </c:pt>
                <c:pt idx="88">
                  <c:v>302.17798879072382</c:v>
                </c:pt>
                <c:pt idx="89">
                  <c:v>303.88687716666806</c:v>
                </c:pt>
                <c:pt idx="90">
                  <c:v>306.47118333466477</c:v>
                </c:pt>
                <c:pt idx="91">
                  <c:v>307.51271206453134</c:v>
                </c:pt>
                <c:pt idx="92">
                  <c:v>310.06955980197597</c:v>
                </c:pt>
                <c:pt idx="93">
                  <c:v>315.81337797817201</c:v>
                </c:pt>
                <c:pt idx="94">
                  <c:v>319.16526045285167</c:v>
                </c:pt>
                <c:pt idx="95">
                  <c:v>323.6710098220118</c:v>
                </c:pt>
                <c:pt idx="96">
                  <c:v>327.40255352795458</c:v>
                </c:pt>
                <c:pt idx="97">
                  <c:v>331.28958248471963</c:v>
                </c:pt>
                <c:pt idx="98">
                  <c:v>338.34972584549138</c:v>
                </c:pt>
                <c:pt idx="99">
                  <c:v>343.36027213258745</c:v>
                </c:pt>
                <c:pt idx="100">
                  <c:v>347.8363092858022</c:v>
                </c:pt>
                <c:pt idx="101">
                  <c:v>353.9704220035631</c:v>
                </c:pt>
                <c:pt idx="102">
                  <c:v>360.5373207663834</c:v>
                </c:pt>
                <c:pt idx="103">
                  <c:v>366.72008503862128</c:v>
                </c:pt>
                <c:pt idx="104">
                  <c:v>369.00529881756671</c:v>
                </c:pt>
                <c:pt idx="105">
                  <c:v>373.71053557469105</c:v>
                </c:pt>
                <c:pt idx="106">
                  <c:v>379.39961594598572</c:v>
                </c:pt>
                <c:pt idx="107">
                  <c:v>382.3888056927521</c:v>
                </c:pt>
                <c:pt idx="108">
                  <c:v>384.59704977466185</c:v>
                </c:pt>
                <c:pt idx="109">
                  <c:v>389.95637692766485</c:v>
                </c:pt>
                <c:pt idx="110">
                  <c:v>400.13021310435505</c:v>
                </c:pt>
                <c:pt idx="111">
                  <c:v>398.73789752700333</c:v>
                </c:pt>
                <c:pt idx="112">
                  <c:v>400.93180714443213</c:v>
                </c:pt>
                <c:pt idx="113">
                  <c:v>406.28826415541494</c:v>
                </c:pt>
                <c:pt idx="114">
                  <c:v>417.75720611704065</c:v>
                </c:pt>
                <c:pt idx="115">
                  <c:v>426.93817896661335</c:v>
                </c:pt>
                <c:pt idx="116">
                  <c:v>431.46815512432136</c:v>
                </c:pt>
                <c:pt idx="117">
                  <c:v>433.18652830635131</c:v>
                </c:pt>
                <c:pt idx="118">
                  <c:v>438.66017799646932</c:v>
                </c:pt>
                <c:pt idx="119">
                  <c:v>444.95169420750915</c:v>
                </c:pt>
                <c:pt idx="120">
                  <c:v>452.45076014461119</c:v>
                </c:pt>
                <c:pt idx="121">
                  <c:v>454.01540968814305</c:v>
                </c:pt>
                <c:pt idx="122">
                  <c:v>462.41658334314292</c:v>
                </c:pt>
                <c:pt idx="123">
                  <c:v>471.66157244851007</c:v>
                </c:pt>
                <c:pt idx="124">
                  <c:v>476.2979618840879</c:v>
                </c:pt>
                <c:pt idx="125">
                  <c:v>479.58636520791634</c:v>
                </c:pt>
                <c:pt idx="126">
                  <c:v>482.85679660998431</c:v>
                </c:pt>
                <c:pt idx="127">
                  <c:v>490.15805738789436</c:v>
                </c:pt>
                <c:pt idx="128">
                  <c:v>493.31328765125841</c:v>
                </c:pt>
                <c:pt idx="129">
                  <c:v>498.53699162635337</c:v>
                </c:pt>
                <c:pt idx="130">
                  <c:v>507.21055449119666</c:v>
                </c:pt>
                <c:pt idx="131">
                  <c:v>510.86942177962754</c:v>
                </c:pt>
                <c:pt idx="132">
                  <c:v>523.67437743042365</c:v>
                </c:pt>
                <c:pt idx="133">
                  <c:v>529.81630839578725</c:v>
                </c:pt>
                <c:pt idx="134">
                  <c:v>535.22711819709207</c:v>
                </c:pt>
                <c:pt idx="135">
                  <c:v>545.49770855679833</c:v>
                </c:pt>
                <c:pt idx="136">
                  <c:v>557.00778228883394</c:v>
                </c:pt>
                <c:pt idx="137">
                  <c:v>565.11969002940509</c:v>
                </c:pt>
                <c:pt idx="138">
                  <c:v>567.99483445893441</c:v>
                </c:pt>
                <c:pt idx="139">
                  <c:v>570.21637800732435</c:v>
                </c:pt>
                <c:pt idx="140">
                  <c:v>578.60623606420722</c:v>
                </c:pt>
                <c:pt idx="141">
                  <c:v>582.9784833163078</c:v>
                </c:pt>
                <c:pt idx="142">
                  <c:v>585.82846684329297</c:v>
                </c:pt>
                <c:pt idx="143">
                  <c:v>598.76424592752892</c:v>
                </c:pt>
                <c:pt idx="144">
                  <c:v>610.31505622110694</c:v>
                </c:pt>
                <c:pt idx="145">
                  <c:v>621.69287215705424</c:v>
                </c:pt>
                <c:pt idx="146">
                  <c:v>634.47511459982172</c:v>
                </c:pt>
                <c:pt idx="147">
                  <c:v>645.80914097299296</c:v>
                </c:pt>
                <c:pt idx="148">
                  <c:v>652.2262036183306</c:v>
                </c:pt>
                <c:pt idx="149">
                  <c:v>661.19826457974875</c:v>
                </c:pt>
                <c:pt idx="150">
                  <c:v>663.42547480911003</c:v>
                </c:pt>
                <c:pt idx="151">
                  <c:v>681.31136623902671</c:v>
                </c:pt>
                <c:pt idx="152">
                  <c:v>688.46312202834122</c:v>
                </c:pt>
                <c:pt idx="153">
                  <c:v>701.34229263934742</c:v>
                </c:pt>
                <c:pt idx="154">
                  <c:v>709.36925691172132</c:v>
                </c:pt>
                <c:pt idx="155">
                  <c:v>716.72376191736805</c:v>
                </c:pt>
                <c:pt idx="156">
                  <c:v>721.09578540639893</c:v>
                </c:pt>
                <c:pt idx="157">
                  <c:v>731.65496163534385</c:v>
                </c:pt>
                <c:pt idx="158">
                  <c:v>749.55623971874036</c:v>
                </c:pt>
                <c:pt idx="159">
                  <c:v>757.56442065723354</c:v>
                </c:pt>
                <c:pt idx="160">
                  <c:v>766.36963705408698</c:v>
                </c:pt>
                <c:pt idx="161">
                  <c:v>777.43949279662547</c:v>
                </c:pt>
                <c:pt idx="162">
                  <c:v>786.43011537300731</c:v>
                </c:pt>
                <c:pt idx="163">
                  <c:v>794.36184738398629</c:v>
                </c:pt>
                <c:pt idx="164">
                  <c:v>799.85034317486941</c:v>
                </c:pt>
                <c:pt idx="165">
                  <c:v>813.46662709245527</c:v>
                </c:pt>
                <c:pt idx="166">
                  <c:v>818.97238833910671</c:v>
                </c:pt>
                <c:pt idx="167">
                  <c:v>836.40470789459698</c:v>
                </c:pt>
                <c:pt idx="168">
                  <c:v>840.86399523139278</c:v>
                </c:pt>
                <c:pt idx="169">
                  <c:v>853.20083904308922</c:v>
                </c:pt>
                <c:pt idx="170">
                  <c:v>861.27307314817256</c:v>
                </c:pt>
                <c:pt idx="171">
                  <c:v>873.45908755072821</c:v>
                </c:pt>
                <c:pt idx="172">
                  <c:v>874.94895792850446</c:v>
                </c:pt>
                <c:pt idx="173">
                  <c:v>883.50299485004587</c:v>
                </c:pt>
                <c:pt idx="174">
                  <c:v>904.43103480199397</c:v>
                </c:pt>
                <c:pt idx="175">
                  <c:v>917.42486380837158</c:v>
                </c:pt>
                <c:pt idx="176">
                  <c:v>936.93851744959056</c:v>
                </c:pt>
                <c:pt idx="177">
                  <c:v>948.70699997065901</c:v>
                </c:pt>
                <c:pt idx="178">
                  <c:v>977.56350687271299</c:v>
                </c:pt>
                <c:pt idx="179">
                  <c:v>994.35748647643925</c:v>
                </c:pt>
                <c:pt idx="180">
                  <c:v>1012.7907288836504</c:v>
                </c:pt>
                <c:pt idx="181">
                  <c:v>1037.3348425253739</c:v>
                </c:pt>
                <c:pt idx="182">
                  <c:v>1043.249393376394</c:v>
                </c:pt>
                <c:pt idx="183">
                  <c:v>1067.6229872313379</c:v>
                </c:pt>
                <c:pt idx="184">
                  <c:v>1081.5317987496169</c:v>
                </c:pt>
                <c:pt idx="185">
                  <c:v>1078.551982315375</c:v>
                </c:pt>
                <c:pt idx="186">
                  <c:v>1095.723810275113</c:v>
                </c:pt>
                <c:pt idx="187">
                  <c:v>1125.3401968931266</c:v>
                </c:pt>
                <c:pt idx="188">
                  <c:v>1156.4859557877583</c:v>
                </c:pt>
                <c:pt idx="189">
                  <c:v>1168.3385011382643</c:v>
                </c:pt>
                <c:pt idx="190">
                  <c:v>1167.0099890132474</c:v>
                </c:pt>
                <c:pt idx="191">
                  <c:v>1189.6772893541372</c:v>
                </c:pt>
                <c:pt idx="192">
                  <c:v>1204.3282978634882</c:v>
                </c:pt>
                <c:pt idx="193">
                  <c:v>1217.5665201768802</c:v>
                </c:pt>
                <c:pt idx="194">
                  <c:v>1234.2874327494369</c:v>
                </c:pt>
                <c:pt idx="195">
                  <c:v>1246.2702478201841</c:v>
                </c:pt>
                <c:pt idx="196">
                  <c:v>1263.4872683754249</c:v>
                </c:pt>
                <c:pt idx="197">
                  <c:v>1287.6956635715999</c:v>
                </c:pt>
                <c:pt idx="198">
                  <c:v>1309.4055648354963</c:v>
                </c:pt>
                <c:pt idx="199">
                  <c:v>1324.6699457797265</c:v>
                </c:pt>
                <c:pt idx="200">
                  <c:v>1345.3557296450269</c:v>
                </c:pt>
                <c:pt idx="201">
                  <c:v>1377.8684808908347</c:v>
                </c:pt>
                <c:pt idx="202">
                  <c:v>1396.3644910213816</c:v>
                </c:pt>
                <c:pt idx="203">
                  <c:v>1402.3894165996917</c:v>
                </c:pt>
                <c:pt idx="204">
                  <c:v>1411.6490921564471</c:v>
                </c:pt>
                <c:pt idx="205">
                  <c:v>1426.0714570029122</c:v>
                </c:pt>
                <c:pt idx="206">
                  <c:v>1437.7760169811099</c:v>
                </c:pt>
                <c:pt idx="207">
                  <c:v>1458.4620076265965</c:v>
                </c:pt>
                <c:pt idx="208">
                  <c:v>1483.6174128859252</c:v>
                </c:pt>
                <c:pt idx="209">
                  <c:v>1510.1932414862704</c:v>
                </c:pt>
                <c:pt idx="210">
                  <c:v>1515.0137596980924</c:v>
                </c:pt>
                <c:pt idx="211">
                  <c:v>1546.9818701916406</c:v>
                </c:pt>
                <c:pt idx="212">
                  <c:v>1566.2997115226467</c:v>
                </c:pt>
                <c:pt idx="213">
                  <c:v>1588.641806969631</c:v>
                </c:pt>
                <c:pt idx="214">
                  <c:v>1608.1359225289468</c:v>
                </c:pt>
                <c:pt idx="215">
                  <c:v>1641.2699803684286</c:v>
                </c:pt>
                <c:pt idx="216">
                  <c:v>1685.2461234785389</c:v>
                </c:pt>
                <c:pt idx="217">
                  <c:v>1714.6081569543308</c:v>
                </c:pt>
                <c:pt idx="218">
                  <c:v>1735.2504793915473</c:v>
                </c:pt>
                <c:pt idx="219">
                  <c:v>1742.8596612142783</c:v>
                </c:pt>
                <c:pt idx="220">
                  <c:v>1766.6192836083903</c:v>
                </c:pt>
                <c:pt idx="221">
                  <c:v>1788.503011666731</c:v>
                </c:pt>
                <c:pt idx="222">
                  <c:v>1830.2390564847285</c:v>
                </c:pt>
                <c:pt idx="223">
                  <c:v>1885.8157094367868</c:v>
                </c:pt>
                <c:pt idx="224">
                  <c:v>1920.0053965961599</c:v>
                </c:pt>
                <c:pt idx="225">
                  <c:v>1958.7571862023751</c:v>
                </c:pt>
                <c:pt idx="226">
                  <c:v>1978.8951821397279</c:v>
                </c:pt>
                <c:pt idx="227">
                  <c:v>2000.7915877892347</c:v>
                </c:pt>
                <c:pt idx="228">
                  <c:v>2038.264984500702</c:v>
                </c:pt>
                <c:pt idx="229">
                  <c:v>2035.3406599966338</c:v>
                </c:pt>
                <c:pt idx="230">
                  <c:v>2063.8829809148037</c:v>
                </c:pt>
                <c:pt idx="231">
                  <c:v>2097.0351400255813</c:v>
                </c:pt>
                <c:pt idx="232">
                  <c:v>2105.8348102418599</c:v>
                </c:pt>
                <c:pt idx="233">
                  <c:v>2128.5248671805621</c:v>
                </c:pt>
                <c:pt idx="234">
                  <c:v>2138.4852260392408</c:v>
                </c:pt>
                <c:pt idx="235">
                  <c:v>2152.1351665533534</c:v>
                </c:pt>
                <c:pt idx="236">
                  <c:v>2173.6709830532623</c:v>
                </c:pt>
                <c:pt idx="237">
                  <c:v>2229.3015315927973</c:v>
                </c:pt>
                <c:pt idx="238">
                  <c:v>2272.1795821318019</c:v>
                </c:pt>
                <c:pt idx="239">
                  <c:v>2320.7342598917617</c:v>
                </c:pt>
                <c:pt idx="240">
                  <c:v>2351.5892275001338</c:v>
                </c:pt>
                <c:pt idx="241">
                  <c:v>2373.0099730505399</c:v>
                </c:pt>
                <c:pt idx="242">
                  <c:v>2422.5611363778744</c:v>
                </c:pt>
                <c:pt idx="243">
                  <c:v>2481.8563004734901</c:v>
                </c:pt>
                <c:pt idx="244">
                  <c:v>2491.7618537159697</c:v>
                </c:pt>
                <c:pt idx="245">
                  <c:v>2546.9288368544658</c:v>
                </c:pt>
                <c:pt idx="246">
                  <c:v>2557.1185846739741</c:v>
                </c:pt>
                <c:pt idx="247">
                  <c:v>2607.2721990662935</c:v>
                </c:pt>
                <c:pt idx="248">
                  <c:v>2676.1861939885603</c:v>
                </c:pt>
                <c:pt idx="249">
                  <c:v>2723.7017375058222</c:v>
                </c:pt>
                <c:pt idx="250">
                  <c:v>2760.3863287357462</c:v>
                </c:pt>
                <c:pt idx="251">
                  <c:v>2795.8085183793105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09-4BCD-AE24-385A7E8CF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516912"/>
        <c:axId val="1717530832"/>
      </c:lineChart>
      <c:catAx>
        <c:axId val="1717516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30832"/>
        <c:crosses val="autoZero"/>
        <c:auto val="1"/>
        <c:lblAlgn val="ctr"/>
        <c:lblOffset val="100"/>
        <c:noMultiLvlLbl val="0"/>
      </c:catAx>
      <c:valAx>
        <c:axId val="17175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9</xdr:row>
      <xdr:rowOff>104775</xdr:rowOff>
    </xdr:from>
    <xdr:to>
      <xdr:col>14</xdr:col>
      <xdr:colOff>9525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BBB102-08C9-0CFD-2B15-A335B9DE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258</xdr:row>
      <xdr:rowOff>9525</xdr:rowOff>
    </xdr:from>
    <xdr:to>
      <xdr:col>29</xdr:col>
      <xdr:colOff>85725</xdr:colOff>
      <xdr:row>290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12BCF-90F7-EDC3-E522-2D0F9F874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80"/>
  <sheetViews>
    <sheetView workbookViewId="0">
      <selection activeCell="O10" sqref="O10"/>
    </sheetView>
  </sheetViews>
  <sheetFormatPr defaultColWidth="12.5703125" defaultRowHeight="15.75" customHeight="1" x14ac:dyDescent="0.2"/>
  <cols>
    <col min="2" max="2" width="19.42578125" customWidth="1"/>
    <col min="4" max="4" width="17.28515625" customWidth="1"/>
    <col min="5" max="5" width="22" customWidth="1"/>
    <col min="10" max="10" width="13.7109375" customWidth="1"/>
    <col min="15" max="15" width="12.85546875" customWidth="1"/>
    <col min="17" max="21" width="13.7109375" bestFit="1" customWidth="1"/>
  </cols>
  <sheetData>
    <row r="1" spans="1:21" ht="18.75" thickBot="1" x14ac:dyDescent="0.3">
      <c r="A1" s="1" t="s">
        <v>0</v>
      </c>
      <c r="B1" s="58"/>
      <c r="C1" s="1" t="s">
        <v>1</v>
      </c>
      <c r="D1" s="59">
        <v>0.09</v>
      </c>
      <c r="E1" s="1" t="s">
        <v>2</v>
      </c>
      <c r="F1" s="3">
        <v>0.03</v>
      </c>
      <c r="G1" s="2"/>
      <c r="H1" s="2"/>
      <c r="J1" s="4" t="s">
        <v>3</v>
      </c>
      <c r="O1" s="71"/>
      <c r="P1" s="72"/>
      <c r="Q1" s="72"/>
      <c r="R1" s="73" t="s">
        <v>67</v>
      </c>
      <c r="S1" s="72"/>
      <c r="T1" s="72"/>
      <c r="U1" s="74"/>
    </row>
    <row r="2" spans="1:21" ht="13.5" thickTop="1" x14ac:dyDescent="0.2">
      <c r="A2" s="5"/>
      <c r="B2" s="5"/>
      <c r="C2" s="6"/>
      <c r="D2" s="7"/>
      <c r="E2" s="8" t="s">
        <v>4</v>
      </c>
      <c r="F2" s="7"/>
      <c r="G2" s="7"/>
      <c r="H2" s="9"/>
      <c r="J2" s="10" t="s">
        <v>5</v>
      </c>
      <c r="O2" s="64"/>
      <c r="P2" s="67"/>
      <c r="Q2" s="68"/>
      <c r="R2" s="69" t="s">
        <v>62</v>
      </c>
      <c r="S2" s="68"/>
      <c r="T2" s="68"/>
      <c r="U2" s="70"/>
    </row>
    <row r="3" spans="1:21" ht="12.75" x14ac:dyDescent="0.2">
      <c r="A3" s="11"/>
      <c r="B3" s="12" t="s">
        <v>6</v>
      </c>
      <c r="C3" s="12" t="s">
        <v>7</v>
      </c>
      <c r="D3" s="12" t="s">
        <v>8</v>
      </c>
      <c r="E3" s="12" t="s">
        <v>9</v>
      </c>
      <c r="F3" s="12"/>
      <c r="G3" s="12" t="s">
        <v>10</v>
      </c>
      <c r="H3" s="11"/>
      <c r="J3" s="10" t="s">
        <v>11</v>
      </c>
      <c r="O3" s="77" t="s">
        <v>66</v>
      </c>
      <c r="P3" s="78">
        <f>C20</f>
        <v>181.59881828695183</v>
      </c>
      <c r="Q3" s="79">
        <v>0.02</v>
      </c>
      <c r="R3" s="76">
        <v>2.5000000000000001E-2</v>
      </c>
      <c r="S3" s="76">
        <v>0.03</v>
      </c>
      <c r="T3" s="76">
        <v>3.5000000000000003E-2</v>
      </c>
      <c r="U3" s="76">
        <v>0.04</v>
      </c>
    </row>
    <row r="4" spans="1:21" ht="12.75" x14ac:dyDescent="0.2">
      <c r="A4" s="11" t="s">
        <v>12</v>
      </c>
      <c r="B4" s="11">
        <v>2026</v>
      </c>
      <c r="C4" s="13">
        <v>5024.5200000000004</v>
      </c>
      <c r="D4" s="11">
        <f>1/(1+$D$1)</f>
        <v>0.9174311926605504</v>
      </c>
      <c r="E4" s="11">
        <f t="shared" ref="E4:E8" si="0">C4*D4</f>
        <v>4609.6513761467895</v>
      </c>
      <c r="F4" s="11"/>
      <c r="G4" s="11"/>
      <c r="H4" s="11"/>
      <c r="J4" s="10" t="s">
        <v>13</v>
      </c>
      <c r="O4" s="65" t="s">
        <v>63</v>
      </c>
      <c r="P4" s="75">
        <v>0.08</v>
      </c>
      <c r="Q4" s="63">
        <f t="dataTable" ref="Q4:U8" dt2D="1" dtr="1" r1="F1" r2="D1"/>
        <v>187.9358906040695</v>
      </c>
      <c r="R4" s="63">
        <v>201.85450348266636</v>
      </c>
      <c r="S4" s="63">
        <v>218.55683893698261</v>
      </c>
      <c r="T4" s="63">
        <v>238.97080449225808</v>
      </c>
      <c r="U4" s="63">
        <v>264.48826143635245</v>
      </c>
    </row>
    <row r="5" spans="1:21" ht="12.75" x14ac:dyDescent="0.2">
      <c r="A5" s="11" t="s">
        <v>14</v>
      </c>
      <c r="B5" s="11">
        <v>2027</v>
      </c>
      <c r="C5" s="13">
        <f>C4*(1+0.11)</f>
        <v>5577.217200000001</v>
      </c>
      <c r="D5" s="11">
        <f>1/((1+$D$1)^2)</f>
        <v>0.84167999326655996</v>
      </c>
      <c r="E5" s="11">
        <f t="shared" si="0"/>
        <v>4694.232135342143</v>
      </c>
      <c r="F5" s="11"/>
      <c r="G5" s="14">
        <f t="shared" ref="G5:G8" si="1">C5/C4</f>
        <v>1.1100000000000001</v>
      </c>
      <c r="H5" s="11"/>
      <c r="O5" s="65" t="s">
        <v>64</v>
      </c>
      <c r="P5" s="76">
        <v>0.09</v>
      </c>
      <c r="Q5" s="63">
        <v>160.51838023862939</v>
      </c>
      <c r="R5" s="63">
        <v>170.24781318400895</v>
      </c>
      <c r="S5" s="63">
        <v>181.59881828695183</v>
      </c>
      <c r="T5" s="63">
        <v>195.01364249952067</v>
      </c>
      <c r="U5" s="63">
        <v>211.11143155460329</v>
      </c>
    </row>
    <row r="6" spans="1:21" ht="12.75" x14ac:dyDescent="0.2">
      <c r="A6" s="11" t="s">
        <v>15</v>
      </c>
      <c r="B6" s="11">
        <v>2028</v>
      </c>
      <c r="C6" s="13">
        <f>C5*(1+0.09)</f>
        <v>6079.1667480000015</v>
      </c>
      <c r="D6" s="11">
        <f>1/((1+$D$1)^3)</f>
        <v>0.77218348006106419</v>
      </c>
      <c r="E6" s="11">
        <f t="shared" si="0"/>
        <v>4694.2321353421439</v>
      </c>
      <c r="F6" s="11"/>
      <c r="G6" s="14">
        <f t="shared" si="1"/>
        <v>1.0900000000000001</v>
      </c>
      <c r="H6" s="11"/>
      <c r="O6" s="65" t="s">
        <v>65</v>
      </c>
      <c r="P6" s="76">
        <v>0.1</v>
      </c>
      <c r="Q6" s="63">
        <v>139.97138920224378</v>
      </c>
      <c r="R6" s="63">
        <v>147.08488250045747</v>
      </c>
      <c r="S6" s="63">
        <v>155.21458912698742</v>
      </c>
      <c r="T6" s="63">
        <v>164.59501984990661</v>
      </c>
      <c r="U6" s="63">
        <v>175.53885569331231</v>
      </c>
    </row>
    <row r="7" spans="1:21" ht="12.75" x14ac:dyDescent="0.2">
      <c r="A7" s="11" t="s">
        <v>16</v>
      </c>
      <c r="B7" s="11">
        <v>2029</v>
      </c>
      <c r="C7" s="13">
        <f>C6*(1+0.07)</f>
        <v>6504.7084203600016</v>
      </c>
      <c r="D7" s="11">
        <f>1/((1+$D$1)^4)</f>
        <v>0.7084252110651964</v>
      </c>
      <c r="E7" s="11">
        <f t="shared" si="0"/>
        <v>4608.0994356110941</v>
      </c>
      <c r="F7" s="11"/>
      <c r="G7" s="14">
        <f t="shared" si="1"/>
        <v>1.07</v>
      </c>
      <c r="H7" s="11"/>
      <c r="O7" s="65" t="s">
        <v>65</v>
      </c>
      <c r="P7" s="76">
        <v>0.11</v>
      </c>
      <c r="Q7" s="63">
        <v>124.00411737014133</v>
      </c>
      <c r="R7" s="63">
        <v>129.3849758182823</v>
      </c>
      <c r="S7" s="63">
        <v>135.43844157244089</v>
      </c>
      <c r="T7" s="63">
        <v>142.29903609382063</v>
      </c>
      <c r="U7" s="63">
        <v>150.13971554682607</v>
      </c>
    </row>
    <row r="8" spans="1:21" ht="13.5" thickBot="1" x14ac:dyDescent="0.25">
      <c r="A8" s="11" t="s">
        <v>17</v>
      </c>
      <c r="B8" s="11">
        <v>2030</v>
      </c>
      <c r="C8" s="13">
        <f>C7*(1+0.05)</f>
        <v>6829.9438413780017</v>
      </c>
      <c r="D8" s="15">
        <f>1/((1+$D$1)^5)</f>
        <v>0.64993138629834524</v>
      </c>
      <c r="E8" s="15">
        <f t="shared" si="0"/>
        <v>4438.9948691666505</v>
      </c>
      <c r="F8" s="11"/>
      <c r="G8" s="14">
        <f t="shared" si="1"/>
        <v>1.05</v>
      </c>
      <c r="H8" s="11"/>
      <c r="O8" s="66"/>
      <c r="P8" s="76">
        <v>0.12</v>
      </c>
      <c r="Q8" s="63">
        <v>111.24211503262056</v>
      </c>
      <c r="R8" s="63">
        <v>115.42243208535753</v>
      </c>
      <c r="S8" s="63">
        <v>120.06722881062086</v>
      </c>
      <c r="T8" s="63">
        <v>125.25847220944458</v>
      </c>
      <c r="U8" s="63">
        <v>131.0986210331213</v>
      </c>
    </row>
    <row r="9" spans="1:21" ht="13.5" thickTop="1" x14ac:dyDescent="0.2">
      <c r="D9" s="16">
        <f>(SUM(D4:D8))/5</f>
        <v>0.77793025267034333</v>
      </c>
      <c r="E9" s="16">
        <f>SUM(E4:E8)</f>
        <v>23045.20995160882</v>
      </c>
    </row>
    <row r="10" spans="1:21" ht="12.75" x14ac:dyDescent="0.2">
      <c r="B10" s="17" t="s">
        <v>18</v>
      </c>
      <c r="C10" s="11">
        <f>C8*(1+F1)/(D1-F1)</f>
        <v>117247.36927698903</v>
      </c>
    </row>
    <row r="11" spans="1:21" ht="12.75" x14ac:dyDescent="0.2">
      <c r="B11" s="17" t="s">
        <v>19</v>
      </c>
      <c r="C11" s="11">
        <f>C10/(1+D1)^5</f>
        <v>76202.745254027497</v>
      </c>
    </row>
    <row r="12" spans="1:21" ht="12.75" x14ac:dyDescent="0.2">
      <c r="B12" s="17" t="s">
        <v>20</v>
      </c>
      <c r="C12" s="11">
        <f>SUM(E4:E8)+C11</f>
        <v>99247.955205636317</v>
      </c>
    </row>
    <row r="14" spans="1:21" ht="12.75" x14ac:dyDescent="0.2">
      <c r="B14" s="17" t="s">
        <v>21</v>
      </c>
      <c r="C14" s="11">
        <v>6.0170000000000003</v>
      </c>
    </row>
    <row r="16" spans="1:21" ht="12.75" x14ac:dyDescent="0.2">
      <c r="B16" s="17" t="s">
        <v>22</v>
      </c>
      <c r="C16" s="11">
        <f>C12-C14</f>
        <v>99241.93820563631</v>
      </c>
    </row>
    <row r="18" spans="1:8" ht="12.75" x14ac:dyDescent="0.2">
      <c r="B18" s="17" t="s">
        <v>23</v>
      </c>
      <c r="C18" s="11">
        <v>546.49</v>
      </c>
    </row>
    <row r="20" spans="1:8" ht="12.75" x14ac:dyDescent="0.2">
      <c r="B20" s="17" t="s">
        <v>24</v>
      </c>
      <c r="C20" s="11">
        <f>C16/C18</f>
        <v>181.59881828695183</v>
      </c>
    </row>
    <row r="22" spans="1:8" ht="12.75" x14ac:dyDescent="0.2">
      <c r="B22" s="17" t="s">
        <v>25</v>
      </c>
      <c r="C22" s="11">
        <v>92</v>
      </c>
    </row>
    <row r="24" spans="1:8" ht="12.75" x14ac:dyDescent="0.2">
      <c r="B24" s="17" t="s">
        <v>26</v>
      </c>
      <c r="C24" s="11">
        <f>C18/C22</f>
        <v>5.9401086956521736</v>
      </c>
      <c r="D24" s="18">
        <f>(C20-C22)/C20</f>
        <v>0.4933887738485887</v>
      </c>
    </row>
    <row r="25" spans="1:8" ht="12.75" x14ac:dyDescent="0.2">
      <c r="B25" s="17" t="s">
        <v>27</v>
      </c>
      <c r="C25" s="14">
        <f>C24/C20</f>
        <v>3.2710062497576173E-2</v>
      </c>
      <c r="D25" s="18">
        <f>D24/C20</f>
        <v>2.7169162140084227E-3</v>
      </c>
    </row>
    <row r="29" spans="1:8" ht="15.75" customHeight="1" x14ac:dyDescent="0.2">
      <c r="A29" s="52" t="s">
        <v>28</v>
      </c>
      <c r="B29" s="55"/>
      <c r="C29" s="52" t="s">
        <v>1</v>
      </c>
      <c r="D29" s="56">
        <v>7.0000000000000007E-2</v>
      </c>
      <c r="E29" s="47" t="s">
        <v>2</v>
      </c>
      <c r="F29" s="54">
        <v>0.04</v>
      </c>
      <c r="G29" s="53"/>
      <c r="H29" s="55"/>
    </row>
    <row r="30" spans="1:8" ht="15.75" customHeight="1" x14ac:dyDescent="0.2">
      <c r="A30" s="42"/>
      <c r="B30" s="42"/>
      <c r="C30" s="43"/>
      <c r="D30" s="44"/>
      <c r="E30" s="45" t="s">
        <v>4</v>
      </c>
      <c r="F30" s="44"/>
      <c r="G30" s="44"/>
      <c r="H30" s="46"/>
    </row>
    <row r="31" spans="1:8" ht="15.75" customHeight="1" x14ac:dyDescent="0.2">
      <c r="A31" s="11"/>
      <c r="B31" s="12" t="s">
        <v>6</v>
      </c>
      <c r="C31" s="12" t="s">
        <v>7</v>
      </c>
      <c r="D31" s="12" t="s">
        <v>8</v>
      </c>
      <c r="E31" s="12" t="s">
        <v>9</v>
      </c>
      <c r="F31" s="12"/>
      <c r="G31" s="12" t="s">
        <v>10</v>
      </c>
      <c r="H31" s="11"/>
    </row>
    <row r="32" spans="1:8" ht="15.75" customHeight="1" x14ac:dyDescent="0.2">
      <c r="A32" s="11" t="s">
        <v>12</v>
      </c>
      <c r="B32" s="11">
        <v>2026</v>
      </c>
      <c r="C32" s="13">
        <v>5024.5200000000004</v>
      </c>
      <c r="D32" s="11">
        <f>1/(1+$D$1)</f>
        <v>0.9174311926605504</v>
      </c>
      <c r="E32" s="11">
        <f t="shared" ref="E32:E36" si="2">C32*D32</f>
        <v>4609.6513761467895</v>
      </c>
      <c r="F32" s="11"/>
      <c r="G32" s="11"/>
      <c r="H32" s="11"/>
    </row>
    <row r="33" spans="1:8" ht="15.75" customHeight="1" x14ac:dyDescent="0.2">
      <c r="A33" s="11" t="s">
        <v>14</v>
      </c>
      <c r="B33" s="11">
        <v>2027</v>
      </c>
      <c r="C33" s="13">
        <f>C32*(1+0.13)</f>
        <v>5677.7075999999997</v>
      </c>
      <c r="D33" s="11">
        <f>1/((1+$D$1)^2)</f>
        <v>0.84167999326655996</v>
      </c>
      <c r="E33" s="11">
        <f t="shared" si="2"/>
        <v>4778.8128945374965</v>
      </c>
      <c r="F33" s="11"/>
      <c r="G33" s="14">
        <f t="shared" ref="G33:G36" si="3">C33/C32</f>
        <v>1.1299999999999999</v>
      </c>
      <c r="H33" s="11"/>
    </row>
    <row r="34" spans="1:8" ht="15.75" customHeight="1" x14ac:dyDescent="0.2">
      <c r="A34" s="11" t="s">
        <v>15</v>
      </c>
      <c r="B34" s="11">
        <v>2028</v>
      </c>
      <c r="C34" s="13">
        <f>C33*(1+0.11)</f>
        <v>6302.2554360000004</v>
      </c>
      <c r="D34" s="11">
        <f>1/((1+$D$1)^3)</f>
        <v>0.77218348006106419</v>
      </c>
      <c r="E34" s="11">
        <f t="shared" si="2"/>
        <v>4866.4975348042399</v>
      </c>
      <c r="F34" s="11"/>
      <c r="G34" s="14">
        <f t="shared" si="3"/>
        <v>1.1100000000000001</v>
      </c>
      <c r="H34" s="11"/>
    </row>
    <row r="35" spans="1:8" ht="15.75" customHeight="1" x14ac:dyDescent="0.2">
      <c r="A35" s="11" t="s">
        <v>16</v>
      </c>
      <c r="B35" s="11">
        <v>2029</v>
      </c>
      <c r="C35" s="13">
        <f>C34*(1+0.09)</f>
        <v>6869.4584252400009</v>
      </c>
      <c r="D35" s="11">
        <f>1/((1+$D$1)^4)</f>
        <v>0.7084252110651964</v>
      </c>
      <c r="E35" s="11">
        <f t="shared" si="2"/>
        <v>4866.497534804239</v>
      </c>
      <c r="F35" s="11"/>
      <c r="G35" s="14">
        <f t="shared" si="3"/>
        <v>1.0900000000000001</v>
      </c>
      <c r="H35" s="11"/>
    </row>
    <row r="36" spans="1:8" ht="15.75" customHeight="1" thickBot="1" x14ac:dyDescent="0.25">
      <c r="A36" s="11" t="s">
        <v>17</v>
      </c>
      <c r="B36" s="11">
        <v>2030</v>
      </c>
      <c r="C36" s="13">
        <f>C35*(1+0.07)</f>
        <v>7350.3205150068015</v>
      </c>
      <c r="D36" s="15">
        <f>1/((1+$D$1)^5)</f>
        <v>0.64993138629834524</v>
      </c>
      <c r="E36" s="15">
        <f t="shared" si="2"/>
        <v>4777.2040020555378</v>
      </c>
      <c r="F36" s="11"/>
      <c r="G36" s="14">
        <f t="shared" si="3"/>
        <v>1.07</v>
      </c>
      <c r="H36" s="11"/>
    </row>
    <row r="37" spans="1:8" ht="15.75" customHeight="1" thickTop="1" x14ac:dyDescent="0.2">
      <c r="D37" s="16">
        <f>(SUM(D32:D36))/5</f>
        <v>0.77793025267034333</v>
      </c>
      <c r="E37" s="16">
        <f>SUM(E32:E36)</f>
        <v>23898.6633423483</v>
      </c>
    </row>
    <row r="38" spans="1:8" ht="15.75" customHeight="1" x14ac:dyDescent="0.2">
      <c r="B38" s="17" t="s">
        <v>18</v>
      </c>
      <c r="C38" s="11">
        <f>C36*(1+F29)/(D29-F29)</f>
        <v>254811.11118690239</v>
      </c>
    </row>
    <row r="39" spans="1:8" ht="15.75" customHeight="1" x14ac:dyDescent="0.2">
      <c r="B39" s="17" t="s">
        <v>19</v>
      </c>
      <c r="C39" s="11">
        <f>C38/(1+D29)^5</f>
        <v>181676.80065513775</v>
      </c>
    </row>
    <row r="40" spans="1:8" ht="15.75" customHeight="1" x14ac:dyDescent="0.2">
      <c r="B40" s="17" t="s">
        <v>20</v>
      </c>
      <c r="C40" s="11">
        <f>SUM(E32:E36)+C39</f>
        <v>205575.46399748605</v>
      </c>
    </row>
    <row r="42" spans="1:8" ht="15.75" customHeight="1" x14ac:dyDescent="0.2">
      <c r="B42" s="17" t="s">
        <v>21</v>
      </c>
      <c r="C42" s="11">
        <v>6.0170000000000003</v>
      </c>
    </row>
    <row r="44" spans="1:8" ht="15.75" customHeight="1" x14ac:dyDescent="0.2">
      <c r="B44" s="17" t="s">
        <v>22</v>
      </c>
      <c r="C44" s="11">
        <f>C40-C42</f>
        <v>205569.44699748605</v>
      </c>
    </row>
    <row r="46" spans="1:8" ht="15.75" customHeight="1" x14ac:dyDescent="0.2">
      <c r="B46" s="17" t="s">
        <v>23</v>
      </c>
      <c r="C46" s="11">
        <v>546.49</v>
      </c>
    </row>
    <row r="48" spans="1:8" ht="15.75" customHeight="1" x14ac:dyDescent="0.2">
      <c r="B48" s="17" t="s">
        <v>24</v>
      </c>
      <c r="C48" s="11">
        <f>C44/C46</f>
        <v>376.16323628517642</v>
      </c>
    </row>
    <row r="50" spans="1:8" ht="15.75" customHeight="1" x14ac:dyDescent="0.2">
      <c r="B50" s="17" t="s">
        <v>25</v>
      </c>
      <c r="C50" s="11">
        <v>92</v>
      </c>
    </row>
    <row r="52" spans="1:8" ht="15.75" customHeight="1" x14ac:dyDescent="0.2">
      <c r="B52" s="17" t="s">
        <v>26</v>
      </c>
      <c r="C52" s="11">
        <f>C46/C50</f>
        <v>5.9401086956521736</v>
      </c>
      <c r="D52" s="18">
        <f>(C48-C50)/C48</f>
        <v>0.75542532835331877</v>
      </c>
    </row>
    <row r="53" spans="1:8" ht="15.75" customHeight="1" x14ac:dyDescent="0.2">
      <c r="B53" s="17" t="s">
        <v>27</v>
      </c>
      <c r="C53" s="14">
        <f>C52/C48</f>
        <v>1.5791305802007896E-2</v>
      </c>
      <c r="D53" s="18">
        <f>D52/C48</f>
        <v>2.008238061256514E-3</v>
      </c>
    </row>
    <row r="56" spans="1:8" ht="15.75" customHeight="1" x14ac:dyDescent="0.2">
      <c r="A56" s="48" t="s">
        <v>61</v>
      </c>
      <c r="B56" s="51"/>
      <c r="C56" s="48" t="s">
        <v>1</v>
      </c>
      <c r="D56" s="57">
        <v>0.11</v>
      </c>
      <c r="E56" s="60" t="s">
        <v>2</v>
      </c>
      <c r="F56" s="50">
        <v>0.02</v>
      </c>
      <c r="G56" s="49"/>
      <c r="H56" s="51"/>
    </row>
    <row r="57" spans="1:8" ht="15.75" customHeight="1" x14ac:dyDescent="0.2">
      <c r="A57" s="5"/>
      <c r="B57" s="5"/>
      <c r="C57" s="6"/>
      <c r="D57" s="7"/>
      <c r="E57" s="8" t="s">
        <v>4</v>
      </c>
      <c r="F57" s="7"/>
      <c r="G57" s="7"/>
      <c r="H57" s="9"/>
    </row>
    <row r="58" spans="1:8" ht="15.75" customHeight="1" x14ac:dyDescent="0.2">
      <c r="A58" s="11"/>
      <c r="B58" s="12" t="s">
        <v>6</v>
      </c>
      <c r="C58" s="12" t="s">
        <v>7</v>
      </c>
      <c r="D58" s="12" t="s">
        <v>8</v>
      </c>
      <c r="E58" s="12" t="s">
        <v>9</v>
      </c>
      <c r="F58" s="12"/>
      <c r="G58" s="12" t="s">
        <v>10</v>
      </c>
      <c r="H58" s="11"/>
    </row>
    <row r="59" spans="1:8" ht="15.75" customHeight="1" x14ac:dyDescent="0.2">
      <c r="A59" s="11" t="s">
        <v>12</v>
      </c>
      <c r="B59" s="11">
        <v>2026</v>
      </c>
      <c r="C59" s="13">
        <v>5024.5200000000004</v>
      </c>
      <c r="D59" s="11">
        <f>1/(1+$D$1)</f>
        <v>0.9174311926605504</v>
      </c>
      <c r="E59" s="11">
        <f t="shared" ref="E59:E63" si="4">C59*D59</f>
        <v>4609.6513761467895</v>
      </c>
      <c r="F59" s="11"/>
      <c r="G59" s="11"/>
      <c r="H59" s="11"/>
    </row>
    <row r="60" spans="1:8" ht="15.75" customHeight="1" x14ac:dyDescent="0.2">
      <c r="A60" s="11" t="s">
        <v>14</v>
      </c>
      <c r="B60" s="11">
        <v>2027</v>
      </c>
      <c r="C60" s="13">
        <f>C59*(1+0.09)</f>
        <v>5476.7268000000013</v>
      </c>
      <c r="D60" s="11">
        <f>1/((1+$D$1)^2)</f>
        <v>0.84167999326655996</v>
      </c>
      <c r="E60" s="11">
        <f t="shared" si="4"/>
        <v>4609.6513761467895</v>
      </c>
      <c r="F60" s="11"/>
      <c r="G60" s="14">
        <f t="shared" ref="G60:G63" si="5">C60/C59</f>
        <v>1.0900000000000001</v>
      </c>
      <c r="H60" s="11"/>
    </row>
    <row r="61" spans="1:8" ht="15.75" customHeight="1" x14ac:dyDescent="0.2">
      <c r="A61" s="11" t="s">
        <v>15</v>
      </c>
      <c r="B61" s="11">
        <v>2028</v>
      </c>
      <c r="C61" s="13">
        <f>C60*(1+0.07)</f>
        <v>5860.0976760000021</v>
      </c>
      <c r="D61" s="11">
        <f>1/((1+$D$1)^3)</f>
        <v>0.77218348006106419</v>
      </c>
      <c r="E61" s="11">
        <f t="shared" si="4"/>
        <v>4525.070616951436</v>
      </c>
      <c r="F61" s="11"/>
      <c r="G61" s="14">
        <f t="shared" si="5"/>
        <v>1.07</v>
      </c>
      <c r="H61" s="11"/>
    </row>
    <row r="62" spans="1:8" ht="15.75" customHeight="1" x14ac:dyDescent="0.2">
      <c r="A62" s="11" t="s">
        <v>16</v>
      </c>
      <c r="B62" s="11">
        <v>2029</v>
      </c>
      <c r="C62" s="13">
        <f>C61*(1+0.05)</f>
        <v>6153.1025598000024</v>
      </c>
      <c r="D62" s="11">
        <f>1/((1+$D$1)^4)</f>
        <v>0.7084252110651964</v>
      </c>
      <c r="E62" s="11">
        <f t="shared" si="4"/>
        <v>4359.0129796321171</v>
      </c>
      <c r="F62" s="11"/>
      <c r="G62" s="14">
        <f t="shared" si="5"/>
        <v>1.05</v>
      </c>
      <c r="H62" s="11"/>
    </row>
    <row r="63" spans="1:8" ht="15.75" customHeight="1" thickBot="1" x14ac:dyDescent="0.25">
      <c r="A63" s="11" t="s">
        <v>17</v>
      </c>
      <c r="B63" s="11">
        <v>2030</v>
      </c>
      <c r="C63" s="13">
        <f>C62*(1+0.03)</f>
        <v>6337.6956365940023</v>
      </c>
      <c r="D63" s="15">
        <f>1/((1+$D$1)^5)</f>
        <v>0.64993138629834524</v>
      </c>
      <c r="E63" s="15">
        <f t="shared" si="4"/>
        <v>4119.0673110285134</v>
      </c>
      <c r="F63" s="11"/>
      <c r="G63" s="14">
        <f t="shared" si="5"/>
        <v>1.03</v>
      </c>
      <c r="H63" s="11"/>
    </row>
    <row r="64" spans="1:8" ht="15.75" customHeight="1" thickTop="1" x14ac:dyDescent="0.2">
      <c r="D64" s="16">
        <f>(SUM(D59:D63))/5</f>
        <v>0.77793025267034333</v>
      </c>
      <c r="E64" s="16">
        <f>SUM(E59:E63)</f>
        <v>22222.453659905645</v>
      </c>
    </row>
    <row r="65" spans="2:4" ht="15.75" customHeight="1" x14ac:dyDescent="0.2">
      <c r="B65" s="17" t="s">
        <v>18</v>
      </c>
      <c r="C65" s="11">
        <f>C63*(1+F56)/(D56-F56)</f>
        <v>71827.217214732038</v>
      </c>
    </row>
    <row r="66" spans="2:4" ht="15.75" customHeight="1" x14ac:dyDescent="0.2">
      <c r="B66" s="17" t="s">
        <v>19</v>
      </c>
      <c r="C66" s="11">
        <f>C65/(1+D56)^5</f>
        <v>42625.957446833294</v>
      </c>
    </row>
    <row r="67" spans="2:4" ht="15.75" customHeight="1" x14ac:dyDescent="0.2">
      <c r="B67" s="17" t="s">
        <v>20</v>
      </c>
      <c r="C67" s="11">
        <f>SUM(E59:E63)+C66</f>
        <v>64848.411106738939</v>
      </c>
    </row>
    <row r="69" spans="2:4" ht="15.75" customHeight="1" x14ac:dyDescent="0.2">
      <c r="B69" s="17" t="s">
        <v>21</v>
      </c>
      <c r="C69" s="11">
        <v>6.0170000000000003</v>
      </c>
    </row>
    <row r="71" spans="2:4" ht="15.75" customHeight="1" x14ac:dyDescent="0.2">
      <c r="B71" s="17" t="s">
        <v>22</v>
      </c>
      <c r="C71" s="11">
        <f>C67-C69</f>
        <v>64842.394106738939</v>
      </c>
    </row>
    <row r="73" spans="2:4" ht="15.75" customHeight="1" x14ac:dyDescent="0.2">
      <c r="B73" s="17" t="s">
        <v>23</v>
      </c>
      <c r="C73" s="11">
        <v>546.49</v>
      </c>
    </row>
    <row r="75" spans="2:4" ht="15.75" customHeight="1" x14ac:dyDescent="0.2">
      <c r="B75" s="17" t="s">
        <v>24</v>
      </c>
      <c r="C75" s="11">
        <f>C71/C73</f>
        <v>118.65248057007253</v>
      </c>
    </row>
    <row r="77" spans="2:4" ht="15.75" customHeight="1" x14ac:dyDescent="0.2">
      <c r="B77" s="17" t="s">
        <v>25</v>
      </c>
      <c r="C77" s="11">
        <v>92</v>
      </c>
    </row>
    <row r="79" spans="2:4" ht="15.75" customHeight="1" x14ac:dyDescent="0.2">
      <c r="B79" s="17" t="s">
        <v>26</v>
      </c>
      <c r="C79" s="11">
        <f>C73/C77</f>
        <v>5.9401086956521736</v>
      </c>
      <c r="D79" s="18">
        <f>(C75-C77)/C75</f>
        <v>0.22462640850000928</v>
      </c>
    </row>
    <row r="80" spans="2:4" ht="15.75" customHeight="1" x14ac:dyDescent="0.2">
      <c r="B80" s="17" t="s">
        <v>27</v>
      </c>
      <c r="C80" s="14">
        <f>C79/C75</f>
        <v>5.0063080578784253E-2</v>
      </c>
      <c r="D80" s="18">
        <f>D79/C75</f>
        <v>1.8931454902651765E-3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4A73-9BC8-4A52-B492-B610E6CE6297}">
  <dimension ref="A1:V41"/>
  <sheetViews>
    <sheetView workbookViewId="0">
      <selection activeCell="K4" sqref="K4"/>
    </sheetView>
  </sheetViews>
  <sheetFormatPr defaultRowHeight="12.75" x14ac:dyDescent="0.2"/>
  <cols>
    <col min="1" max="1" width="10.140625" bestFit="1" customWidth="1"/>
    <col min="2" max="4" width="12" bestFit="1" customWidth="1"/>
    <col min="5" max="5" width="14.85546875" bestFit="1" customWidth="1"/>
    <col min="11" max="11" width="13.140625" bestFit="1" customWidth="1"/>
    <col min="12" max="12" width="20.5703125" bestFit="1" customWidth="1"/>
    <col min="13" max="13" width="22.7109375" bestFit="1" customWidth="1"/>
  </cols>
  <sheetData>
    <row r="1" spans="1:22" x14ac:dyDescent="0.2">
      <c r="A1" s="92" t="s">
        <v>68</v>
      </c>
      <c r="B1" s="93" t="s">
        <v>69</v>
      </c>
      <c r="C1" s="93" t="s">
        <v>70</v>
      </c>
      <c r="D1" s="93" t="s">
        <v>71</v>
      </c>
      <c r="E1" s="93" t="s">
        <v>72</v>
      </c>
      <c r="F1" s="84"/>
      <c r="K1" s="62"/>
      <c r="L1" s="61"/>
      <c r="M1" s="61"/>
    </row>
    <row r="2" spans="1:22" x14ac:dyDescent="0.2">
      <c r="A2" s="82">
        <v>46143</v>
      </c>
      <c r="B2" s="85">
        <f>$K$4*(1+$L$4)^E2</f>
        <v>98.118666992199991</v>
      </c>
      <c r="C2" s="85">
        <f>B2*EXP(1.96*$L$4*SQRT(E2))</f>
        <v>100.73240298897613</v>
      </c>
      <c r="D2" s="85">
        <f>B2*EXP(-1.96*$L$4*SQRT(F2))</f>
        <v>98.118666992199991</v>
      </c>
      <c r="E2" s="83">
        <v>1</v>
      </c>
      <c r="K2" s="90"/>
      <c r="L2" s="89" t="s">
        <v>75</v>
      </c>
      <c r="M2" s="91"/>
    </row>
    <row r="3" spans="1:22" x14ac:dyDescent="0.2">
      <c r="A3" s="82">
        <v>46174</v>
      </c>
      <c r="B3" s="85">
        <f t="shared" ref="B3:B14" si="0">$K$4*(1+$L$4)^E3</f>
        <v>99.434753277486422</v>
      </c>
      <c r="C3" s="85">
        <f t="shared" ref="C3:C14" si="1">B3*EXP(1.96*$L$4*SQRT(E3))</f>
        <v>103.20127466417814</v>
      </c>
      <c r="D3" s="85">
        <f t="shared" ref="D3:D14" si="2">B3*EXP(-1.96*$L$4*SQRT(F3))</f>
        <v>99.434753277486422</v>
      </c>
      <c r="E3" s="83">
        <v>2</v>
      </c>
      <c r="K3" s="86" t="s">
        <v>25</v>
      </c>
      <c r="L3" s="86" t="s">
        <v>73</v>
      </c>
      <c r="M3" s="86" t="s">
        <v>74</v>
      </c>
    </row>
    <row r="4" spans="1:22" x14ac:dyDescent="0.2">
      <c r="A4" s="82">
        <v>46204</v>
      </c>
      <c r="B4" s="85">
        <f t="shared" si="0"/>
        <v>100.76849250449554</v>
      </c>
      <c r="C4" s="85">
        <f t="shared" si="1"/>
        <v>105.4631033421938</v>
      </c>
      <c r="D4" s="85">
        <f t="shared" si="2"/>
        <v>100.76849250449554</v>
      </c>
      <c r="E4" s="83">
        <v>3</v>
      </c>
      <c r="K4" s="87">
        <v>96.82</v>
      </c>
      <c r="L4" s="88">
        <v>1.341321E-2</v>
      </c>
      <c r="M4" s="88">
        <v>6.9395241459352603E-3</v>
      </c>
    </row>
    <row r="5" spans="1:22" x14ac:dyDescent="0.2">
      <c r="A5" s="82">
        <v>46235</v>
      </c>
      <c r="B5" s="85">
        <f t="shared" si="0"/>
        <v>102.12012145584175</v>
      </c>
      <c r="C5" s="85">
        <f t="shared" si="1"/>
        <v>107.63324462421252</v>
      </c>
      <c r="D5" s="85">
        <f t="shared" si="2"/>
        <v>102.12012145584175</v>
      </c>
      <c r="E5" s="83">
        <v>4</v>
      </c>
    </row>
    <row r="6" spans="1:22" x14ac:dyDescent="0.2">
      <c r="A6" s="82">
        <v>46266</v>
      </c>
      <c r="B6" s="85">
        <f t="shared" si="0"/>
        <v>103.48988009015446</v>
      </c>
      <c r="C6" s="85">
        <f t="shared" si="1"/>
        <v>109.7560104918083</v>
      </c>
      <c r="D6" s="85">
        <f t="shared" si="2"/>
        <v>103.48988009015446</v>
      </c>
      <c r="E6" s="83">
        <v>5</v>
      </c>
    </row>
    <row r="7" spans="1:22" x14ac:dyDescent="0.2">
      <c r="A7" s="82">
        <v>46296</v>
      </c>
      <c r="B7" s="85">
        <f t="shared" si="0"/>
        <v>104.8780115846785</v>
      </c>
      <c r="C7" s="85">
        <f t="shared" si="1"/>
        <v>111.85402803670839</v>
      </c>
      <c r="D7" s="85">
        <f t="shared" si="2"/>
        <v>104.8780115846785</v>
      </c>
      <c r="E7" s="83">
        <v>6</v>
      </c>
    </row>
    <row r="8" spans="1:22" x14ac:dyDescent="0.2">
      <c r="A8" s="82">
        <v>46327</v>
      </c>
      <c r="B8" s="85">
        <f t="shared" si="0"/>
        <v>106.28476237844623</v>
      </c>
      <c r="C8" s="85">
        <f t="shared" si="1"/>
        <v>113.94073499935575</v>
      </c>
      <c r="D8" s="85">
        <f t="shared" si="2"/>
        <v>106.28476237844623</v>
      </c>
      <c r="E8" s="83">
        <v>7</v>
      </c>
    </row>
    <row r="9" spans="1:22" x14ac:dyDescent="0.2">
      <c r="A9" s="82">
        <v>46357</v>
      </c>
      <c r="B9" s="85">
        <f t="shared" si="0"/>
        <v>107.71038221602844</v>
      </c>
      <c r="C9" s="85">
        <f t="shared" si="1"/>
        <v>116.02492299459007</v>
      </c>
      <c r="D9" s="85">
        <f t="shared" si="2"/>
        <v>107.71038221602844</v>
      </c>
      <c r="E9" s="83">
        <v>8</v>
      </c>
    </row>
    <row r="10" spans="1:22" x14ac:dyDescent="0.2">
      <c r="A10" s="82">
        <v>46388</v>
      </c>
      <c r="B10" s="85">
        <f t="shared" si="0"/>
        <v>109.15512419187228</v>
      </c>
      <c r="C10" s="85">
        <f t="shared" si="1"/>
        <v>118.11275310529922</v>
      </c>
      <c r="D10" s="85">
        <f t="shared" si="2"/>
        <v>109.15512419187228</v>
      </c>
      <c r="E10" s="83">
        <v>9</v>
      </c>
    </row>
    <row r="11" spans="1:22" x14ac:dyDescent="0.2">
      <c r="A11" s="82">
        <v>46419</v>
      </c>
      <c r="B11" s="85">
        <f t="shared" si="0"/>
        <v>110.61924479523394</v>
      </c>
      <c r="C11" s="85">
        <f t="shared" si="1"/>
        <v>120.20877399692506</v>
      </c>
      <c r="D11" s="85">
        <f t="shared" si="2"/>
        <v>110.61924479523394</v>
      </c>
      <c r="E11" s="83">
        <v>10</v>
      </c>
    </row>
    <row r="12" spans="1:22" x14ac:dyDescent="0.2">
      <c r="A12" s="82">
        <v>46447</v>
      </c>
      <c r="B12" s="85">
        <f t="shared" si="0"/>
        <v>112.1030039557138</v>
      </c>
      <c r="C12" s="85">
        <f t="shared" si="1"/>
        <v>122.31648597078619</v>
      </c>
      <c r="D12" s="85">
        <f t="shared" si="2"/>
        <v>112.1030039557138</v>
      </c>
      <c r="E12" s="83">
        <v>11</v>
      </c>
      <c r="P12" s="94" t="s">
        <v>76</v>
      </c>
      <c r="Q12" s="95"/>
      <c r="R12" s="95"/>
      <c r="S12" s="95"/>
      <c r="T12" s="95"/>
      <c r="U12" s="95"/>
      <c r="V12" s="96"/>
    </row>
    <row r="13" spans="1:22" x14ac:dyDescent="0.2">
      <c r="A13" s="82">
        <v>46478</v>
      </c>
      <c r="B13" s="85">
        <f t="shared" si="0"/>
        <v>113.60666508940263</v>
      </c>
      <c r="C13" s="85">
        <f t="shared" si="1"/>
        <v>124.43867597185313</v>
      </c>
      <c r="D13" s="85">
        <f t="shared" si="2"/>
        <v>113.60666508940263</v>
      </c>
      <c r="E13" s="83">
        <v>12</v>
      </c>
      <c r="P13" s="97" t="s">
        <v>77</v>
      </c>
      <c r="Q13" s="98"/>
      <c r="R13" s="98"/>
      <c r="S13" s="98"/>
      <c r="T13" s="98"/>
      <c r="U13" s="98"/>
      <c r="V13" s="99"/>
    </row>
    <row r="14" spans="1:22" x14ac:dyDescent="0.2">
      <c r="A14" s="82">
        <v>46508</v>
      </c>
      <c r="B14" s="85">
        <f t="shared" si="0"/>
        <v>115.13049514564645</v>
      </c>
      <c r="C14" s="85">
        <f t="shared" si="1"/>
        <v>126.57762769429434</v>
      </c>
      <c r="D14" s="85">
        <f t="shared" si="2"/>
        <v>115.13049514564645</v>
      </c>
      <c r="E14" s="83">
        <v>13</v>
      </c>
      <c r="P14" s="97" t="s">
        <v>78</v>
      </c>
      <c r="Q14" s="98"/>
      <c r="R14" s="98"/>
      <c r="S14" s="98"/>
      <c r="T14" s="98"/>
      <c r="U14" s="98"/>
      <c r="V14" s="99"/>
    </row>
    <row r="15" spans="1:22" x14ac:dyDescent="0.2">
      <c r="A15" s="80"/>
      <c r="P15" s="100" t="s">
        <v>79</v>
      </c>
      <c r="Q15" s="101"/>
      <c r="R15" s="101"/>
      <c r="S15" s="101"/>
      <c r="T15" s="101"/>
      <c r="U15" s="101"/>
      <c r="V15" s="102"/>
    </row>
    <row r="16" spans="1:22" x14ac:dyDescent="0.2">
      <c r="A16" s="81"/>
    </row>
    <row r="17" spans="1:1" x14ac:dyDescent="0.2">
      <c r="A17" s="81"/>
    </row>
    <row r="18" spans="1:1" x14ac:dyDescent="0.2">
      <c r="A18" s="81"/>
    </row>
    <row r="19" spans="1:1" x14ac:dyDescent="0.2">
      <c r="A19" s="81"/>
    </row>
    <row r="20" spans="1:1" x14ac:dyDescent="0.2">
      <c r="A20" s="81"/>
    </row>
    <row r="21" spans="1:1" x14ac:dyDescent="0.2">
      <c r="A21" s="81"/>
    </row>
    <row r="22" spans="1:1" x14ac:dyDescent="0.2">
      <c r="A22" s="81"/>
    </row>
    <row r="23" spans="1:1" x14ac:dyDescent="0.2">
      <c r="A23" s="81"/>
    </row>
    <row r="24" spans="1:1" x14ac:dyDescent="0.2">
      <c r="A24" s="81"/>
    </row>
    <row r="25" spans="1:1" x14ac:dyDescent="0.2">
      <c r="A25" s="81"/>
    </row>
    <row r="26" spans="1:1" x14ac:dyDescent="0.2">
      <c r="A26" s="81"/>
    </row>
    <row r="27" spans="1:1" x14ac:dyDescent="0.2">
      <c r="A27" s="81"/>
    </row>
    <row r="28" spans="1:1" x14ac:dyDescent="0.2">
      <c r="A28" s="81"/>
    </row>
    <row r="29" spans="1:1" x14ac:dyDescent="0.2">
      <c r="A29" s="81"/>
    </row>
    <row r="30" spans="1:1" x14ac:dyDescent="0.2">
      <c r="A30" s="81"/>
    </row>
    <row r="31" spans="1:1" x14ac:dyDescent="0.2">
      <c r="A31" s="81"/>
    </row>
    <row r="32" spans="1:1" x14ac:dyDescent="0.2">
      <c r="A32" s="81"/>
    </row>
    <row r="33" spans="1:1" x14ac:dyDescent="0.2">
      <c r="A33" s="81"/>
    </row>
    <row r="34" spans="1:1" x14ac:dyDescent="0.2">
      <c r="A34" s="81"/>
    </row>
    <row r="35" spans="1:1" x14ac:dyDescent="0.2">
      <c r="A35" s="81"/>
    </row>
    <row r="36" spans="1:1" x14ac:dyDescent="0.2">
      <c r="A36" s="81"/>
    </row>
    <row r="37" spans="1:1" x14ac:dyDescent="0.2">
      <c r="A37" s="81"/>
    </row>
    <row r="38" spans="1:1" x14ac:dyDescent="0.2">
      <c r="A38" s="81"/>
    </row>
    <row r="39" spans="1:1" x14ac:dyDescent="0.2">
      <c r="A39" s="81"/>
    </row>
    <row r="40" spans="1:1" x14ac:dyDescent="0.2">
      <c r="A40" s="81"/>
    </row>
    <row r="41" spans="1:1" x14ac:dyDescent="0.2">
      <c r="A41" s="8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9ACB-468B-45C5-932A-729E72117A88}">
  <dimension ref="A1:D20"/>
  <sheetViews>
    <sheetView workbookViewId="0">
      <selection activeCell="J12" sqref="J12"/>
    </sheetView>
  </sheetViews>
  <sheetFormatPr defaultRowHeight="12.75" x14ac:dyDescent="0.2"/>
  <cols>
    <col min="2" max="2" width="20.5703125" bestFit="1" customWidth="1"/>
    <col min="3" max="4" width="16.85546875" bestFit="1" customWidth="1"/>
    <col min="5" max="5" width="9.42578125" customWidth="1"/>
    <col min="6" max="6" width="10.28515625" customWidth="1"/>
  </cols>
  <sheetData>
    <row r="1" spans="1:4" x14ac:dyDescent="0.2">
      <c r="B1" s="105" t="s">
        <v>80</v>
      </c>
      <c r="C1" s="106">
        <v>96.82</v>
      </c>
    </row>
    <row r="2" spans="1:4" x14ac:dyDescent="0.2">
      <c r="B2" s="105" t="s">
        <v>81</v>
      </c>
      <c r="C2" s="107">
        <v>123.21599999999999</v>
      </c>
    </row>
    <row r="3" spans="1:4" x14ac:dyDescent="0.2">
      <c r="B3" s="105" t="s">
        <v>82</v>
      </c>
      <c r="C3" s="107">
        <v>87.560400000000001</v>
      </c>
    </row>
    <row r="4" spans="1:4" x14ac:dyDescent="0.2">
      <c r="B4" s="105" t="s">
        <v>83</v>
      </c>
      <c r="C4" s="108">
        <f>2/21</f>
        <v>9.5238095238095233E-2</v>
      </c>
    </row>
    <row r="5" spans="1:4" x14ac:dyDescent="0.2">
      <c r="B5" s="105" t="s">
        <v>84</v>
      </c>
      <c r="C5" s="108">
        <f>2/51</f>
        <v>3.9215686274509803E-2</v>
      </c>
    </row>
    <row r="6" spans="1:4" x14ac:dyDescent="0.2">
      <c r="B6" s="105" t="s">
        <v>73</v>
      </c>
      <c r="C6" s="107">
        <v>1.341321E-2</v>
      </c>
    </row>
    <row r="8" spans="1:4" x14ac:dyDescent="0.2">
      <c r="A8" s="104" t="s">
        <v>97</v>
      </c>
      <c r="B8" s="104" t="s">
        <v>98</v>
      </c>
      <c r="C8" s="104" t="s">
        <v>99</v>
      </c>
      <c r="D8" s="104" t="s">
        <v>100</v>
      </c>
    </row>
    <row r="9" spans="1:4" x14ac:dyDescent="0.2">
      <c r="A9" s="103" t="s">
        <v>85</v>
      </c>
      <c r="B9" s="83">
        <v>96.82</v>
      </c>
      <c r="C9" s="109">
        <v>123.21599999999999</v>
      </c>
      <c r="D9" s="109">
        <v>87.560400000000001</v>
      </c>
    </row>
    <row r="10" spans="1:4" x14ac:dyDescent="0.2">
      <c r="A10" s="103" t="s">
        <v>86</v>
      </c>
      <c r="B10" s="85">
        <f>B9*(1+$C$6)</f>
        <v>98.118666992199991</v>
      </c>
      <c r="C10" s="85">
        <f>C9*(1-$C$4)+B10*$C$4</f>
        <v>120.82577780878096</v>
      </c>
      <c r="D10" s="85">
        <f>D9*(1-$C$5)+B10*$C$5</f>
        <v>87.974449685968622</v>
      </c>
    </row>
    <row r="11" spans="1:4" x14ac:dyDescent="0.2">
      <c r="A11" s="103" t="s">
        <v>87</v>
      </c>
      <c r="B11" s="85">
        <f t="shared" ref="B11:B20" si="0">B10*(1+$C$6)</f>
        <v>99.434753277486436</v>
      </c>
      <c r="C11" s="85">
        <f t="shared" ref="C11:C20" si="1">C10*(1-$C$4)+B11*$C$4</f>
        <v>118.78853737722909</v>
      </c>
      <c r="D11" s="85">
        <f t="shared" ref="D11:D20" si="2">D10*(1-$C$5)+B11*$C$5</f>
        <v>88.423873356224234</v>
      </c>
    </row>
    <row r="12" spans="1:4" x14ac:dyDescent="0.2">
      <c r="A12" s="103" t="s">
        <v>88</v>
      </c>
      <c r="B12" s="85">
        <f t="shared" si="0"/>
        <v>100.76849250449554</v>
      </c>
      <c r="C12" s="85">
        <f t="shared" si="1"/>
        <v>117.07234262744494</v>
      </c>
      <c r="D12" s="85">
        <f t="shared" si="2"/>
        <v>88.90797606792114</v>
      </c>
    </row>
    <row r="13" spans="1:4" x14ac:dyDescent="0.2">
      <c r="A13" s="103" t="s">
        <v>89</v>
      </c>
      <c r="B13" s="85">
        <f t="shared" si="0"/>
        <v>102.12012145584175</v>
      </c>
      <c r="C13" s="85">
        <f t="shared" si="1"/>
        <v>115.64832156348274</v>
      </c>
      <c r="D13" s="85">
        <f t="shared" si="2"/>
        <v>89.426099416467039</v>
      </c>
    </row>
    <row r="14" spans="1:4" x14ac:dyDescent="0.2">
      <c r="A14" s="103" t="s">
        <v>90</v>
      </c>
      <c r="B14" s="85">
        <f t="shared" si="0"/>
        <v>103.48988009015446</v>
      </c>
      <c r="C14" s="85">
        <f t="shared" si="1"/>
        <v>114.49037475649908</v>
      </c>
      <c r="D14" s="85">
        <f t="shared" si="2"/>
        <v>89.977620227199878</v>
      </c>
    </row>
    <row r="15" spans="1:4" x14ac:dyDescent="0.2">
      <c r="A15" s="103" t="s">
        <v>91</v>
      </c>
      <c r="B15" s="85">
        <f t="shared" si="0"/>
        <v>104.87801158467852</v>
      </c>
      <c r="C15" s="85">
        <f t="shared" si="1"/>
        <v>113.57491159727807</v>
      </c>
      <c r="D15" s="85">
        <f t="shared" si="2"/>
        <v>90.561949300042187</v>
      </c>
    </row>
    <row r="16" spans="1:4" x14ac:dyDescent="0.2">
      <c r="A16" s="103" t="s">
        <v>92</v>
      </c>
      <c r="B16" s="85">
        <f t="shared" si="0"/>
        <v>106.28476237844625</v>
      </c>
      <c r="C16" s="85">
        <f t="shared" si="1"/>
        <v>112.88061167167504</v>
      </c>
      <c r="D16" s="85">
        <f t="shared" si="2"/>
        <v>91.178530205077649</v>
      </c>
    </row>
    <row r="17" spans="1:4" x14ac:dyDescent="0.2">
      <c r="A17" s="103" t="s">
        <v>93</v>
      </c>
      <c r="B17" s="85">
        <f t="shared" si="0"/>
        <v>107.71038221602844</v>
      </c>
      <c r="C17" s="85">
        <f t="shared" si="1"/>
        <v>112.38820886637536</v>
      </c>
      <c r="D17" s="85">
        <f t="shared" si="2"/>
        <v>91.826838127075717</v>
      </c>
    </row>
    <row r="18" spans="1:4" x14ac:dyDescent="0.2">
      <c r="A18" s="103" t="s">
        <v>94</v>
      </c>
      <c r="B18" s="85">
        <f t="shared" si="0"/>
        <v>109.15512419187229</v>
      </c>
      <c r="C18" s="85">
        <f t="shared" si="1"/>
        <v>112.08029604023221</v>
      </c>
      <c r="D18" s="85">
        <f t="shared" si="2"/>
        <v>92.50637875706775</v>
      </c>
    </row>
    <row r="19" spans="1:4" x14ac:dyDescent="0.2">
      <c r="A19" s="103" t="s">
        <v>95</v>
      </c>
      <c r="B19" s="85">
        <f t="shared" si="0"/>
        <v>110.61924479523395</v>
      </c>
      <c r="C19" s="85">
        <f t="shared" si="1"/>
        <v>111.94114830261333</v>
      </c>
      <c r="D19" s="85">
        <f t="shared" si="2"/>
        <v>93.216687229152697</v>
      </c>
    </row>
    <row r="20" spans="1:4" x14ac:dyDescent="0.2">
      <c r="A20" s="103" t="s">
        <v>96</v>
      </c>
      <c r="B20" s="85">
        <f t="shared" si="0"/>
        <v>112.10300395571383</v>
      </c>
      <c r="C20" s="85">
        <f t="shared" si="1"/>
        <v>111.95656312671814</v>
      </c>
      <c r="D20" s="85">
        <f t="shared" si="2"/>
        <v>93.95732710078255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4E9C-CC2F-4FDE-805E-0D2637DFB384}">
  <dimension ref="A2:CW264"/>
  <sheetViews>
    <sheetView tabSelected="1" workbookViewId="0">
      <selection activeCell="K258" sqref="K258"/>
    </sheetView>
  </sheetViews>
  <sheetFormatPr defaultRowHeight="12.75" x14ac:dyDescent="0.2"/>
  <cols>
    <col min="2" max="2" width="9.5703125" bestFit="1" customWidth="1"/>
    <col min="3" max="3" width="15" bestFit="1" customWidth="1"/>
    <col min="4" max="4" width="13" bestFit="1" customWidth="1"/>
    <col min="5" max="5" width="16.42578125" customWidth="1"/>
    <col min="6" max="101" width="9.5703125" bestFit="1" customWidth="1"/>
  </cols>
  <sheetData>
    <row r="2" spans="1:101" x14ac:dyDescent="0.2">
      <c r="A2" s="115" t="s">
        <v>103</v>
      </c>
      <c r="B2" s="115">
        <v>1</v>
      </c>
      <c r="C2" s="115">
        <v>2</v>
      </c>
      <c r="D2" s="115">
        <v>3</v>
      </c>
      <c r="E2" s="115">
        <v>4</v>
      </c>
      <c r="F2" s="115">
        <v>5</v>
      </c>
      <c r="G2" s="115">
        <v>6</v>
      </c>
      <c r="H2" s="115">
        <v>7</v>
      </c>
      <c r="I2" s="115">
        <v>8</v>
      </c>
      <c r="J2" s="115">
        <v>9</v>
      </c>
      <c r="K2" s="115">
        <v>10</v>
      </c>
      <c r="L2" s="115">
        <v>11</v>
      </c>
      <c r="M2" s="115">
        <v>12</v>
      </c>
      <c r="N2" s="115">
        <v>13</v>
      </c>
      <c r="O2" s="115">
        <v>14</v>
      </c>
      <c r="P2" s="115">
        <v>15</v>
      </c>
      <c r="Q2" s="115">
        <v>16</v>
      </c>
      <c r="R2" s="115">
        <v>17</v>
      </c>
      <c r="S2" s="115">
        <v>18</v>
      </c>
      <c r="T2" s="115">
        <v>19</v>
      </c>
      <c r="U2" s="115">
        <v>20</v>
      </c>
      <c r="V2" s="115">
        <v>21</v>
      </c>
      <c r="W2" s="115">
        <v>22</v>
      </c>
      <c r="X2" s="115">
        <v>23</v>
      </c>
      <c r="Y2" s="115">
        <v>24</v>
      </c>
      <c r="Z2" s="115">
        <v>25</v>
      </c>
      <c r="AA2" s="115">
        <v>26</v>
      </c>
      <c r="AB2" s="115">
        <v>27</v>
      </c>
      <c r="AC2" s="115">
        <v>28</v>
      </c>
      <c r="AD2" s="115">
        <v>29</v>
      </c>
      <c r="AE2" s="115">
        <v>30</v>
      </c>
      <c r="AF2" s="115">
        <v>31</v>
      </c>
      <c r="AG2" s="115">
        <v>32</v>
      </c>
      <c r="AH2" s="115">
        <v>33</v>
      </c>
      <c r="AI2" s="115">
        <v>34</v>
      </c>
      <c r="AJ2" s="115">
        <v>35</v>
      </c>
      <c r="AK2" s="115">
        <v>36</v>
      </c>
      <c r="AL2" s="115">
        <v>37</v>
      </c>
      <c r="AM2" s="115">
        <v>38</v>
      </c>
      <c r="AN2" s="115">
        <v>39</v>
      </c>
      <c r="AO2" s="115">
        <v>40</v>
      </c>
      <c r="AP2" s="115">
        <v>41</v>
      </c>
      <c r="AQ2" s="115">
        <v>42</v>
      </c>
      <c r="AR2" s="115">
        <v>43</v>
      </c>
      <c r="AS2" s="115">
        <v>44</v>
      </c>
      <c r="AT2" s="115">
        <v>45</v>
      </c>
      <c r="AU2" s="115">
        <v>46</v>
      </c>
      <c r="AV2" s="115">
        <v>47</v>
      </c>
      <c r="AW2" s="115">
        <v>48</v>
      </c>
      <c r="AX2" s="115">
        <v>49</v>
      </c>
      <c r="AY2" s="115">
        <v>50</v>
      </c>
      <c r="AZ2" s="115">
        <v>51</v>
      </c>
      <c r="BA2" s="115">
        <v>52</v>
      </c>
      <c r="BB2" s="115">
        <v>53</v>
      </c>
      <c r="BC2" s="115">
        <v>54</v>
      </c>
      <c r="BD2" s="115">
        <v>55</v>
      </c>
      <c r="BE2" s="115">
        <v>56</v>
      </c>
      <c r="BF2" s="115">
        <v>57</v>
      </c>
      <c r="BG2" s="115">
        <v>58</v>
      </c>
      <c r="BH2" s="115">
        <v>59</v>
      </c>
      <c r="BI2" s="115">
        <v>60</v>
      </c>
      <c r="BJ2" s="115">
        <v>61</v>
      </c>
      <c r="BK2" s="115">
        <v>62</v>
      </c>
      <c r="BL2" s="115">
        <v>63</v>
      </c>
      <c r="BM2" s="115">
        <v>64</v>
      </c>
      <c r="BN2" s="115">
        <v>65</v>
      </c>
      <c r="BO2" s="115">
        <v>66</v>
      </c>
      <c r="BP2" s="115">
        <v>67</v>
      </c>
      <c r="BQ2" s="115">
        <v>68</v>
      </c>
      <c r="BR2" s="115">
        <v>69</v>
      </c>
      <c r="BS2" s="115">
        <v>70</v>
      </c>
      <c r="BT2" s="115">
        <v>71</v>
      </c>
      <c r="BU2" s="115">
        <v>72</v>
      </c>
      <c r="BV2" s="115">
        <v>73</v>
      </c>
      <c r="BW2" s="115">
        <v>74</v>
      </c>
      <c r="BX2" s="115">
        <v>75</v>
      </c>
      <c r="BY2" s="115">
        <v>76</v>
      </c>
      <c r="BZ2" s="115">
        <v>77</v>
      </c>
      <c r="CA2" s="115">
        <v>78</v>
      </c>
      <c r="CB2" s="115">
        <v>79</v>
      </c>
      <c r="CC2" s="115">
        <v>80</v>
      </c>
      <c r="CD2" s="115">
        <v>81</v>
      </c>
      <c r="CE2" s="115">
        <v>82</v>
      </c>
      <c r="CF2" s="115">
        <v>83</v>
      </c>
      <c r="CG2" s="115">
        <v>84</v>
      </c>
      <c r="CH2" s="115">
        <v>85</v>
      </c>
      <c r="CI2" s="115">
        <v>86</v>
      </c>
      <c r="CJ2" s="115">
        <v>87</v>
      </c>
      <c r="CK2" s="115">
        <v>88</v>
      </c>
      <c r="CL2" s="115">
        <v>89</v>
      </c>
      <c r="CM2" s="115">
        <v>90</v>
      </c>
      <c r="CN2" s="115">
        <v>91</v>
      </c>
      <c r="CO2" s="115">
        <v>92</v>
      </c>
      <c r="CP2" s="115">
        <v>93</v>
      </c>
      <c r="CQ2" s="115">
        <v>94</v>
      </c>
      <c r="CR2" s="115">
        <v>95</v>
      </c>
      <c r="CS2" s="115">
        <v>96</v>
      </c>
      <c r="CT2" s="115">
        <v>97</v>
      </c>
      <c r="CU2" s="115">
        <v>98</v>
      </c>
      <c r="CV2" s="115">
        <v>99</v>
      </c>
      <c r="CW2" s="115">
        <v>100</v>
      </c>
    </row>
    <row r="3" spans="1:101" x14ac:dyDescent="0.2">
      <c r="A3" s="115">
        <v>0</v>
      </c>
      <c r="B3" s="114">
        <v>96.82</v>
      </c>
      <c r="C3" s="114">
        <v>96.82</v>
      </c>
      <c r="D3" s="114">
        <v>96.82</v>
      </c>
      <c r="E3" s="114">
        <v>96.82</v>
      </c>
      <c r="F3" s="114">
        <v>96.82</v>
      </c>
      <c r="G3" s="114">
        <v>96.82</v>
      </c>
      <c r="H3" s="114">
        <v>96.82</v>
      </c>
      <c r="I3" s="114">
        <v>96.82</v>
      </c>
      <c r="J3" s="114">
        <v>96.82</v>
      </c>
      <c r="K3" s="114">
        <v>96.82</v>
      </c>
      <c r="L3" s="114">
        <v>96.82</v>
      </c>
      <c r="M3" s="114">
        <v>96.82</v>
      </c>
      <c r="N3" s="114">
        <v>96.82</v>
      </c>
      <c r="O3" s="114">
        <v>96.82</v>
      </c>
      <c r="P3" s="114">
        <v>96.82</v>
      </c>
      <c r="Q3" s="114">
        <v>96.82</v>
      </c>
      <c r="R3" s="114">
        <v>96.82</v>
      </c>
      <c r="S3" s="114">
        <v>96.82</v>
      </c>
      <c r="T3" s="114">
        <v>96.82</v>
      </c>
      <c r="U3" s="114">
        <v>96.82</v>
      </c>
      <c r="V3" s="114">
        <v>96.82</v>
      </c>
      <c r="W3" s="114">
        <v>96.82</v>
      </c>
      <c r="X3" s="114">
        <v>96.82</v>
      </c>
      <c r="Y3" s="114">
        <v>96.82</v>
      </c>
      <c r="Z3" s="114">
        <v>96.82</v>
      </c>
      <c r="AA3" s="114">
        <v>96.82</v>
      </c>
      <c r="AB3" s="114">
        <v>96.82</v>
      </c>
      <c r="AC3" s="114">
        <v>96.82</v>
      </c>
      <c r="AD3" s="114">
        <v>96.82</v>
      </c>
      <c r="AE3" s="114">
        <v>96.82</v>
      </c>
      <c r="AF3" s="114">
        <v>96.82</v>
      </c>
      <c r="AG3" s="114">
        <v>96.82</v>
      </c>
      <c r="AH3" s="114">
        <v>96.82</v>
      </c>
      <c r="AI3" s="114">
        <v>96.82</v>
      </c>
      <c r="AJ3" s="114">
        <v>96.82</v>
      </c>
      <c r="AK3" s="114">
        <v>96.82</v>
      </c>
      <c r="AL3" s="114">
        <v>96.82</v>
      </c>
      <c r="AM3" s="114">
        <v>96.82</v>
      </c>
      <c r="AN3" s="114">
        <v>96.82</v>
      </c>
      <c r="AO3" s="114">
        <v>96.82</v>
      </c>
      <c r="AP3" s="114">
        <v>96.82</v>
      </c>
      <c r="AQ3" s="114">
        <v>96.82</v>
      </c>
      <c r="AR3" s="114">
        <v>96.82</v>
      </c>
      <c r="AS3" s="114">
        <v>96.82</v>
      </c>
      <c r="AT3" s="114">
        <v>96.82</v>
      </c>
      <c r="AU3" s="114">
        <v>96.82</v>
      </c>
      <c r="AV3" s="114">
        <v>96.82</v>
      </c>
      <c r="AW3" s="114">
        <v>96.82</v>
      </c>
      <c r="AX3" s="114">
        <v>96.82</v>
      </c>
      <c r="AY3" s="114">
        <v>96.82</v>
      </c>
      <c r="AZ3" s="114">
        <v>96.82</v>
      </c>
      <c r="BA3" s="114">
        <v>96.82</v>
      </c>
      <c r="BB3" s="114">
        <v>96.82</v>
      </c>
      <c r="BC3" s="114">
        <v>96.82</v>
      </c>
      <c r="BD3" s="114">
        <v>96.82</v>
      </c>
      <c r="BE3" s="114">
        <v>96.82</v>
      </c>
      <c r="BF3" s="114">
        <v>96.82</v>
      </c>
      <c r="BG3" s="114">
        <v>96.82</v>
      </c>
      <c r="BH3" s="114">
        <v>96.82</v>
      </c>
      <c r="BI3" s="114">
        <v>96.82</v>
      </c>
      <c r="BJ3" s="114">
        <v>96.82</v>
      </c>
      <c r="BK3" s="114">
        <v>96.82</v>
      </c>
      <c r="BL3" s="114">
        <v>96.82</v>
      </c>
      <c r="BM3" s="114">
        <v>96.82</v>
      </c>
      <c r="BN3" s="114">
        <v>96.82</v>
      </c>
      <c r="BO3" s="114">
        <v>96.82</v>
      </c>
      <c r="BP3" s="114">
        <v>96.82</v>
      </c>
      <c r="BQ3" s="114">
        <v>96.82</v>
      </c>
      <c r="BR3" s="114">
        <v>96.82</v>
      </c>
      <c r="BS3" s="114">
        <v>96.82</v>
      </c>
      <c r="BT3" s="114">
        <v>96.82</v>
      </c>
      <c r="BU3" s="114">
        <v>96.82</v>
      </c>
      <c r="BV3" s="114">
        <v>96.82</v>
      </c>
      <c r="BW3" s="114">
        <v>96.82</v>
      </c>
      <c r="BX3" s="114">
        <v>96.82</v>
      </c>
      <c r="BY3" s="114">
        <v>96.82</v>
      </c>
      <c r="BZ3" s="114">
        <v>96.82</v>
      </c>
      <c r="CA3" s="114">
        <v>96.82</v>
      </c>
      <c r="CB3" s="114">
        <v>96.82</v>
      </c>
      <c r="CC3" s="114">
        <v>96.82</v>
      </c>
      <c r="CD3" s="114">
        <v>96.82</v>
      </c>
      <c r="CE3" s="114">
        <v>96.82</v>
      </c>
      <c r="CF3" s="114">
        <v>96.82</v>
      </c>
      <c r="CG3" s="114">
        <v>96.82</v>
      </c>
      <c r="CH3" s="114">
        <v>96.82</v>
      </c>
      <c r="CI3" s="114">
        <v>96.82</v>
      </c>
      <c r="CJ3" s="114">
        <v>96.82</v>
      </c>
      <c r="CK3" s="114">
        <v>96.82</v>
      </c>
      <c r="CL3" s="114">
        <v>96.82</v>
      </c>
      <c r="CM3" s="114">
        <v>96.82</v>
      </c>
      <c r="CN3" s="114">
        <v>96.82</v>
      </c>
      <c r="CO3" s="114">
        <v>96.82</v>
      </c>
      <c r="CP3" s="114">
        <v>96.82</v>
      </c>
      <c r="CQ3" s="114">
        <v>96.82</v>
      </c>
      <c r="CR3" s="114">
        <v>96.82</v>
      </c>
      <c r="CS3" s="114">
        <v>96.82</v>
      </c>
      <c r="CT3" s="114">
        <v>96.82</v>
      </c>
      <c r="CU3" s="114">
        <v>96.82</v>
      </c>
      <c r="CV3" s="114">
        <v>96.82</v>
      </c>
      <c r="CW3" s="114">
        <v>96.82</v>
      </c>
    </row>
    <row r="4" spans="1:101" x14ac:dyDescent="0.2">
      <c r="A4" s="115">
        <v>1</v>
      </c>
      <c r="B4" s="85">
        <f ca="1">B3*EXP(($C$259-0.5*$C$260^2)+$C$260*_xlfn.NORM.INV(RAND(),0,1))</f>
        <v>97.863753376757373</v>
      </c>
      <c r="C4" s="85">
        <f t="shared" ref="C4:BN7" ca="1" si="0">C3*EXP(($C$259-0.5*$C$260^2)+$C$260*_xlfn.NORM.INV(RAND(),0,1))</f>
        <v>98.452027823463652</v>
      </c>
      <c r="D4" s="85">
        <f t="shared" ca="1" si="0"/>
        <v>97.488891560175261</v>
      </c>
      <c r="E4" s="85">
        <f t="shared" ca="1" si="0"/>
        <v>97.862221082704622</v>
      </c>
      <c r="F4" s="85">
        <f t="shared" ca="1" si="0"/>
        <v>99.255068069536634</v>
      </c>
      <c r="G4" s="85">
        <f t="shared" ca="1" si="0"/>
        <v>97.250650364465201</v>
      </c>
      <c r="H4" s="85">
        <f t="shared" ca="1" si="0"/>
        <v>96.967891781455506</v>
      </c>
      <c r="I4" s="85">
        <f t="shared" ca="1" si="0"/>
        <v>98.76584906872607</v>
      </c>
      <c r="J4" s="85">
        <f t="shared" ca="1" si="0"/>
        <v>97.839615842340422</v>
      </c>
      <c r="K4" s="85">
        <f t="shared" ca="1" si="0"/>
        <v>98.131311445543602</v>
      </c>
      <c r="L4" s="85">
        <f t="shared" ca="1" si="0"/>
        <v>98.490587991000851</v>
      </c>
      <c r="M4" s="85">
        <f t="shared" ca="1" si="0"/>
        <v>97.522884715531518</v>
      </c>
      <c r="N4" s="85">
        <f t="shared" ca="1" si="0"/>
        <v>97.360201294043733</v>
      </c>
      <c r="O4" s="85">
        <f t="shared" ca="1" si="0"/>
        <v>97.561870188877322</v>
      </c>
      <c r="P4" s="85">
        <f t="shared" ca="1" si="0"/>
        <v>96.960905900838583</v>
      </c>
      <c r="Q4" s="85">
        <f t="shared" ca="1" si="0"/>
        <v>97.167698431244446</v>
      </c>
      <c r="R4" s="85">
        <f t="shared" ca="1" si="0"/>
        <v>96.620911922811601</v>
      </c>
      <c r="S4" s="85">
        <f t="shared" ca="1" si="0"/>
        <v>97.734594913939659</v>
      </c>
      <c r="T4" s="85">
        <f t="shared" ca="1" si="0"/>
        <v>97.774154429490324</v>
      </c>
      <c r="U4" s="85">
        <f t="shared" ca="1" si="0"/>
        <v>98.099040291908196</v>
      </c>
      <c r="V4" s="85">
        <f t="shared" ca="1" si="0"/>
        <v>98.243263769148925</v>
      </c>
      <c r="W4" s="85">
        <f t="shared" ca="1" si="0"/>
        <v>99.05117213041693</v>
      </c>
      <c r="X4" s="85">
        <f t="shared" ca="1" si="0"/>
        <v>98.508076789699061</v>
      </c>
      <c r="Y4" s="85">
        <f t="shared" ca="1" si="0"/>
        <v>97.691637637648441</v>
      </c>
      <c r="Z4" s="85">
        <f t="shared" ca="1" si="0"/>
        <v>99.488393494083169</v>
      </c>
      <c r="AA4" s="85">
        <f t="shared" ca="1" si="0"/>
        <v>98.225369362453009</v>
      </c>
      <c r="AB4" s="85">
        <f t="shared" ca="1" si="0"/>
        <v>98.130491193010641</v>
      </c>
      <c r="AC4" s="85">
        <f t="shared" ca="1" si="0"/>
        <v>99.520454743145066</v>
      </c>
      <c r="AD4" s="85">
        <f t="shared" ca="1" si="0"/>
        <v>99.558278641235617</v>
      </c>
      <c r="AE4" s="85">
        <f t="shared" ca="1" si="0"/>
        <v>98.093319588652633</v>
      </c>
      <c r="AF4" s="85">
        <f t="shared" ca="1" si="0"/>
        <v>98.433565602931466</v>
      </c>
      <c r="AG4" s="85">
        <f t="shared" ca="1" si="0"/>
        <v>97.08166793726528</v>
      </c>
      <c r="AH4" s="85">
        <f t="shared" ca="1" si="0"/>
        <v>98.917515021258311</v>
      </c>
      <c r="AI4" s="85">
        <f t="shared" ca="1" si="0"/>
        <v>98.704106119815179</v>
      </c>
      <c r="AJ4" s="85">
        <f t="shared" ca="1" si="0"/>
        <v>98.653454854596234</v>
      </c>
      <c r="AK4" s="85">
        <f t="shared" ca="1" si="0"/>
        <v>98.321892550587464</v>
      </c>
      <c r="AL4" s="85">
        <f t="shared" ca="1" si="0"/>
        <v>98.930045804799605</v>
      </c>
      <c r="AM4" s="85">
        <f t="shared" ca="1" si="0"/>
        <v>97.800501441000108</v>
      </c>
      <c r="AN4" s="85">
        <f t="shared" ca="1" si="0"/>
        <v>97.88675546598158</v>
      </c>
      <c r="AO4" s="85">
        <f t="shared" ca="1" si="0"/>
        <v>97.634246984210876</v>
      </c>
      <c r="AP4" s="85">
        <f t="shared" ca="1" si="0"/>
        <v>99.205277999044398</v>
      </c>
      <c r="AQ4" s="85">
        <f t="shared" ca="1" si="0"/>
        <v>98.358325258964513</v>
      </c>
      <c r="AR4" s="85">
        <f t="shared" ca="1" si="0"/>
        <v>97.854230123021921</v>
      </c>
      <c r="AS4" s="85">
        <f t="shared" ca="1" si="0"/>
        <v>97.705915124775373</v>
      </c>
      <c r="AT4" s="85">
        <f t="shared" ca="1" si="0"/>
        <v>97.912195058679316</v>
      </c>
      <c r="AU4" s="85">
        <f t="shared" ca="1" si="0"/>
        <v>98.708190654758951</v>
      </c>
      <c r="AV4" s="85">
        <f t="shared" ca="1" si="0"/>
        <v>97.9634661283241</v>
      </c>
      <c r="AW4" s="85">
        <f t="shared" ca="1" si="0"/>
        <v>98.254275168076674</v>
      </c>
      <c r="AX4" s="85">
        <f t="shared" ca="1" si="0"/>
        <v>99.218492344284158</v>
      </c>
      <c r="AY4" s="85">
        <f t="shared" ca="1" si="0"/>
        <v>98.076502379376507</v>
      </c>
      <c r="AZ4" s="85">
        <f t="shared" ca="1" si="0"/>
        <v>97.260107013819763</v>
      </c>
      <c r="BA4" s="85">
        <f t="shared" ca="1" si="0"/>
        <v>98.667424843845865</v>
      </c>
      <c r="BB4" s="85">
        <f t="shared" ca="1" si="0"/>
        <v>98.058156808678589</v>
      </c>
      <c r="BC4" s="85">
        <f t="shared" ca="1" si="0"/>
        <v>97.481694211389112</v>
      </c>
      <c r="BD4" s="85">
        <f t="shared" ca="1" si="0"/>
        <v>98.179815334590074</v>
      </c>
      <c r="BE4" s="85">
        <f t="shared" ca="1" si="0"/>
        <v>98.035479099803737</v>
      </c>
      <c r="BF4" s="85">
        <f t="shared" ca="1" si="0"/>
        <v>98.515751499249831</v>
      </c>
      <c r="BG4" s="85">
        <f t="shared" ca="1" si="0"/>
        <v>98.252278596296279</v>
      </c>
      <c r="BH4" s="85">
        <f t="shared" ca="1" si="0"/>
        <v>99.497298202182563</v>
      </c>
      <c r="BI4" s="85">
        <f t="shared" ca="1" si="0"/>
        <v>99.468096448755389</v>
      </c>
      <c r="BJ4" s="85">
        <f t="shared" ca="1" si="0"/>
        <v>99.141876763636176</v>
      </c>
      <c r="BK4" s="85">
        <f t="shared" ca="1" si="0"/>
        <v>99.021515898083649</v>
      </c>
      <c r="BL4" s="85">
        <f t="shared" ca="1" si="0"/>
        <v>98.779412673786425</v>
      </c>
      <c r="BM4" s="85">
        <f t="shared" ca="1" si="0"/>
        <v>97.49699614755211</v>
      </c>
      <c r="BN4" s="85">
        <f t="shared" ca="1" si="0"/>
        <v>98.779092277166725</v>
      </c>
      <c r="BO4" s="85">
        <f t="shared" ref="BO4:CW11" ca="1" si="1">BO3*EXP(($C$259-0.5*$C$260^2)+$C$260*_xlfn.NORM.INV(RAND(),0,1))</f>
        <v>96.700821490095336</v>
      </c>
      <c r="BP4" s="85">
        <f t="shared" ca="1" si="1"/>
        <v>98.742443576916486</v>
      </c>
      <c r="BQ4" s="85">
        <f t="shared" ca="1" si="1"/>
        <v>98.088516948910382</v>
      </c>
      <c r="BR4" s="85">
        <f t="shared" ca="1" si="1"/>
        <v>98.972141409323868</v>
      </c>
      <c r="BS4" s="85">
        <f t="shared" ca="1" si="1"/>
        <v>97.636509414309273</v>
      </c>
      <c r="BT4" s="85">
        <f t="shared" ca="1" si="1"/>
        <v>98.138901292802885</v>
      </c>
      <c r="BU4" s="85">
        <f t="shared" ca="1" si="1"/>
        <v>97.066229289303706</v>
      </c>
      <c r="BV4" s="85">
        <f t="shared" ca="1" si="1"/>
        <v>98.204497254677676</v>
      </c>
      <c r="BW4" s="85">
        <f t="shared" ca="1" si="1"/>
        <v>100.11311655842253</v>
      </c>
      <c r="BX4" s="85">
        <f t="shared" ca="1" si="1"/>
        <v>98.087378672883887</v>
      </c>
      <c r="BY4" s="85">
        <f t="shared" ca="1" si="1"/>
        <v>98.467792204860345</v>
      </c>
      <c r="BZ4" s="85">
        <f t="shared" ca="1" si="1"/>
        <v>98.643076479562282</v>
      </c>
      <c r="CA4" s="85">
        <f t="shared" ca="1" si="1"/>
        <v>97.741053578215755</v>
      </c>
      <c r="CB4" s="85">
        <f t="shared" ca="1" si="1"/>
        <v>98.774561039744029</v>
      </c>
      <c r="CC4" s="85">
        <f t="shared" ca="1" si="1"/>
        <v>98.695084717997986</v>
      </c>
      <c r="CD4" s="85">
        <f t="shared" ca="1" si="1"/>
        <v>98.148676014372441</v>
      </c>
      <c r="CE4" s="85">
        <f t="shared" ca="1" si="1"/>
        <v>99.541168054517613</v>
      </c>
      <c r="CF4" s="85">
        <f t="shared" ca="1" si="1"/>
        <v>98.875583011205237</v>
      </c>
      <c r="CG4" s="85">
        <f t="shared" ca="1" si="1"/>
        <v>98.364457227750961</v>
      </c>
      <c r="CH4" s="85">
        <f t="shared" ca="1" si="1"/>
        <v>99.523782133032128</v>
      </c>
      <c r="CI4" s="85">
        <f t="shared" ca="1" si="1"/>
        <v>98.563651079232159</v>
      </c>
      <c r="CJ4" s="85">
        <f t="shared" ca="1" si="1"/>
        <v>98.086955431659533</v>
      </c>
      <c r="CK4" s="85">
        <f t="shared" ca="1" si="1"/>
        <v>98.400108108804758</v>
      </c>
      <c r="CL4" s="85">
        <f t="shared" ca="1" si="1"/>
        <v>97.226513437768261</v>
      </c>
      <c r="CM4" s="85">
        <f t="shared" ca="1" si="1"/>
        <v>99.056979318393374</v>
      </c>
      <c r="CN4" s="85">
        <f t="shared" ca="1" si="1"/>
        <v>97.207479592282439</v>
      </c>
      <c r="CO4" s="85">
        <f t="shared" ca="1" si="1"/>
        <v>99.040819549855399</v>
      </c>
      <c r="CP4" s="85">
        <f t="shared" ca="1" si="1"/>
        <v>98.457518521653171</v>
      </c>
      <c r="CQ4" s="85">
        <f t="shared" ca="1" si="1"/>
        <v>97.719046943841093</v>
      </c>
      <c r="CR4" s="85">
        <f t="shared" ca="1" si="1"/>
        <v>98.535461046214039</v>
      </c>
      <c r="CS4" s="85">
        <f t="shared" ca="1" si="1"/>
        <v>97.827280643765249</v>
      </c>
      <c r="CT4" s="85">
        <f t="shared" ca="1" si="1"/>
        <v>98.29666650927804</v>
      </c>
      <c r="CU4" s="85">
        <f t="shared" ca="1" si="1"/>
        <v>98.78600766489896</v>
      </c>
      <c r="CV4" s="85">
        <f t="shared" ca="1" si="1"/>
        <v>98.527817476754706</v>
      </c>
      <c r="CW4" s="85">
        <f t="shared" ca="1" si="1"/>
        <v>99.251356640411259</v>
      </c>
    </row>
    <row r="5" spans="1:101" x14ac:dyDescent="0.2">
      <c r="A5" s="115">
        <v>2</v>
      </c>
      <c r="B5" s="85">
        <f t="shared" ref="B5:B68" ca="1" si="2">B4*EXP(($C$259-0.5*$C$260^2)+$C$260*_xlfn.NORM.INV(RAND(),0,1))</f>
        <v>99.924482176868338</v>
      </c>
      <c r="C5" s="85">
        <f t="shared" ca="1" si="0"/>
        <v>99.689576614178733</v>
      </c>
      <c r="D5" s="85">
        <f t="shared" ca="1" si="0"/>
        <v>98.201891915356057</v>
      </c>
      <c r="E5" s="85">
        <f t="shared" ca="1" si="0"/>
        <v>98.865713638604646</v>
      </c>
      <c r="F5" s="85">
        <f t="shared" ca="1" si="0"/>
        <v>100.91060969515959</v>
      </c>
      <c r="G5" s="85">
        <f t="shared" ca="1" si="0"/>
        <v>98.210782289939118</v>
      </c>
      <c r="H5" s="85">
        <f t="shared" ca="1" si="0"/>
        <v>98.990608873619621</v>
      </c>
      <c r="I5" s="85">
        <f t="shared" ca="1" si="0"/>
        <v>100.71144451471501</v>
      </c>
      <c r="J5" s="85">
        <f t="shared" ca="1" si="0"/>
        <v>98.286844242082168</v>
      </c>
      <c r="K5" s="85">
        <f t="shared" ca="1" si="0"/>
        <v>99.245578579239876</v>
      </c>
      <c r="L5" s="85">
        <f t="shared" ca="1" si="0"/>
        <v>100.09446672399814</v>
      </c>
      <c r="M5" s="85">
        <f t="shared" ca="1" si="0"/>
        <v>99.19576351762025</v>
      </c>
      <c r="N5" s="85">
        <f t="shared" ca="1" si="0"/>
        <v>97.392025735808147</v>
      </c>
      <c r="O5" s="85">
        <f t="shared" ca="1" si="0"/>
        <v>98.842569542062193</v>
      </c>
      <c r="P5" s="85">
        <f t="shared" ca="1" si="0"/>
        <v>99.177012584575607</v>
      </c>
      <c r="Q5" s="85">
        <f t="shared" ca="1" si="0"/>
        <v>98.764291728049557</v>
      </c>
      <c r="R5" s="85">
        <f t="shared" ca="1" si="0"/>
        <v>98.859714506038245</v>
      </c>
      <c r="S5" s="85">
        <f t="shared" ca="1" si="0"/>
        <v>99.693318507183363</v>
      </c>
      <c r="T5" s="85">
        <f t="shared" ca="1" si="0"/>
        <v>98.772186698497904</v>
      </c>
      <c r="U5" s="85">
        <f t="shared" ca="1" si="0"/>
        <v>100.01500606780496</v>
      </c>
      <c r="V5" s="85">
        <f t="shared" ca="1" si="0"/>
        <v>100.58792268237654</v>
      </c>
      <c r="W5" s="85">
        <f t="shared" ca="1" si="0"/>
        <v>100.88731029627843</v>
      </c>
      <c r="X5" s="85">
        <f t="shared" ca="1" si="0"/>
        <v>100.15418569570384</v>
      </c>
      <c r="Y5" s="85">
        <f t="shared" ca="1" si="0"/>
        <v>99.036292459359444</v>
      </c>
      <c r="Z5" s="85">
        <f t="shared" ca="1" si="0"/>
        <v>100.3122873594744</v>
      </c>
      <c r="AA5" s="85">
        <f t="shared" ca="1" si="0"/>
        <v>98.354520459131564</v>
      </c>
      <c r="AB5" s="85">
        <f t="shared" ca="1" si="0"/>
        <v>99.044368214508822</v>
      </c>
      <c r="AC5" s="85">
        <f t="shared" ca="1" si="0"/>
        <v>99.974029784942672</v>
      </c>
      <c r="AD5" s="85">
        <f t="shared" ca="1" si="0"/>
        <v>101.14635825786806</v>
      </c>
      <c r="AE5" s="85">
        <f t="shared" ca="1" si="0"/>
        <v>99.240230850325958</v>
      </c>
      <c r="AF5" s="85">
        <f t="shared" ca="1" si="0"/>
        <v>100.45189934928712</v>
      </c>
      <c r="AG5" s="85">
        <f t="shared" ca="1" si="0"/>
        <v>99.391084767881324</v>
      </c>
      <c r="AH5" s="85">
        <f t="shared" ca="1" si="0"/>
        <v>100.04569692201237</v>
      </c>
      <c r="AI5" s="85">
        <f t="shared" ca="1" si="0"/>
        <v>100.01548523342592</v>
      </c>
      <c r="AJ5" s="85">
        <f t="shared" ca="1" si="0"/>
        <v>100.66906892667862</v>
      </c>
      <c r="AK5" s="85">
        <f t="shared" ca="1" si="0"/>
        <v>99.19107821738713</v>
      </c>
      <c r="AL5" s="85">
        <f t="shared" ca="1" si="0"/>
        <v>100.57962827067989</v>
      </c>
      <c r="AM5" s="85">
        <f t="shared" ca="1" si="0"/>
        <v>99.765965610707156</v>
      </c>
      <c r="AN5" s="85">
        <f t="shared" ca="1" si="0"/>
        <v>98.904299070947474</v>
      </c>
      <c r="AO5" s="85">
        <f t="shared" ca="1" si="0"/>
        <v>98.630913383887901</v>
      </c>
      <c r="AP5" s="85">
        <f t="shared" ca="1" si="0"/>
        <v>101.84504659563316</v>
      </c>
      <c r="AQ5" s="85">
        <f t="shared" ca="1" si="0"/>
        <v>99.56293372425371</v>
      </c>
      <c r="AR5" s="85">
        <f t="shared" ca="1" si="0"/>
        <v>100.07025529742933</v>
      </c>
      <c r="AS5" s="85">
        <f t="shared" ca="1" si="0"/>
        <v>99.181186388336258</v>
      </c>
      <c r="AT5" s="85">
        <f t="shared" ca="1" si="0"/>
        <v>99.603449136186185</v>
      </c>
      <c r="AU5" s="85">
        <f t="shared" ca="1" si="0"/>
        <v>99.588728353213838</v>
      </c>
      <c r="AV5" s="85">
        <f t="shared" ca="1" si="0"/>
        <v>98.501188106238246</v>
      </c>
      <c r="AW5" s="85">
        <f t="shared" ca="1" si="0"/>
        <v>99.713359053970677</v>
      </c>
      <c r="AX5" s="85">
        <f t="shared" ca="1" si="0"/>
        <v>100.7334225980474</v>
      </c>
      <c r="AY5" s="85">
        <f t="shared" ca="1" si="0"/>
        <v>100.47271211271871</v>
      </c>
      <c r="AZ5" s="85">
        <f t="shared" ca="1" si="0"/>
        <v>98.134210556995228</v>
      </c>
      <c r="BA5" s="85">
        <f t="shared" ca="1" si="0"/>
        <v>100.38208087882659</v>
      </c>
      <c r="BB5" s="85">
        <f t="shared" ca="1" si="0"/>
        <v>99.492827299694568</v>
      </c>
      <c r="BC5" s="85">
        <f t="shared" ca="1" si="0"/>
        <v>97.824948538551766</v>
      </c>
      <c r="BD5" s="85">
        <f t="shared" ca="1" si="0"/>
        <v>99.896921610079545</v>
      </c>
      <c r="BE5" s="85">
        <f t="shared" ca="1" si="0"/>
        <v>99.80932491466487</v>
      </c>
      <c r="BF5" s="85">
        <f t="shared" ca="1" si="0"/>
        <v>99.964222384772341</v>
      </c>
      <c r="BG5" s="85">
        <f t="shared" ca="1" si="0"/>
        <v>99.397850415107513</v>
      </c>
      <c r="BH5" s="85">
        <f t="shared" ca="1" si="0"/>
        <v>101.61317003691144</v>
      </c>
      <c r="BI5" s="85">
        <f t="shared" ca="1" si="0"/>
        <v>99.818862791133469</v>
      </c>
      <c r="BJ5" s="85">
        <f t="shared" ca="1" si="0"/>
        <v>100.91560532901079</v>
      </c>
      <c r="BK5" s="85">
        <f t="shared" ca="1" si="0"/>
        <v>100.65910724346963</v>
      </c>
      <c r="BL5" s="85">
        <f t="shared" ca="1" si="0"/>
        <v>100.26753525716606</v>
      </c>
      <c r="BM5" s="85">
        <f t="shared" ca="1" si="0"/>
        <v>98.839730949982155</v>
      </c>
      <c r="BN5" s="85">
        <f t="shared" ca="1" si="0"/>
        <v>99.507623402522213</v>
      </c>
      <c r="BO5" s="85">
        <f t="shared" ca="1" si="1"/>
        <v>97.107601120284741</v>
      </c>
      <c r="BP5" s="85">
        <f t="shared" ca="1" si="1"/>
        <v>100.29746032213511</v>
      </c>
      <c r="BQ5" s="85">
        <f t="shared" ca="1" si="1"/>
        <v>99.056918049536591</v>
      </c>
      <c r="BR5" s="85">
        <f t="shared" ca="1" si="1"/>
        <v>101.29280882194273</v>
      </c>
      <c r="BS5" s="85">
        <f t="shared" ca="1" si="1"/>
        <v>98.819391923579417</v>
      </c>
      <c r="BT5" s="85">
        <f t="shared" ca="1" si="1"/>
        <v>100.10384581496122</v>
      </c>
      <c r="BU5" s="85">
        <f t="shared" ca="1" si="1"/>
        <v>98.280725687559936</v>
      </c>
      <c r="BV5" s="85">
        <f t="shared" ca="1" si="1"/>
        <v>98.05597960993731</v>
      </c>
      <c r="BW5" s="85">
        <f t="shared" ca="1" si="1"/>
        <v>102.05175393627303</v>
      </c>
      <c r="BX5" s="85">
        <f t="shared" ca="1" si="1"/>
        <v>99.702024979487049</v>
      </c>
      <c r="BY5" s="85">
        <f t="shared" ca="1" si="1"/>
        <v>98.797548370660536</v>
      </c>
      <c r="BZ5" s="85">
        <f t="shared" ca="1" si="1"/>
        <v>99.710570361816565</v>
      </c>
      <c r="CA5" s="85">
        <f t="shared" ca="1" si="1"/>
        <v>98.94310126228855</v>
      </c>
      <c r="CB5" s="85">
        <f t="shared" ca="1" si="1"/>
        <v>101.50062905797925</v>
      </c>
      <c r="CC5" s="85">
        <f t="shared" ca="1" si="1"/>
        <v>99.955827052612392</v>
      </c>
      <c r="CD5" s="85">
        <f t="shared" ca="1" si="1"/>
        <v>100.91593871619611</v>
      </c>
      <c r="CE5" s="85">
        <f t="shared" ca="1" si="1"/>
        <v>100.66852695797371</v>
      </c>
      <c r="CF5" s="85">
        <f t="shared" ca="1" si="1"/>
        <v>100.14306897426246</v>
      </c>
      <c r="CG5" s="85">
        <f t="shared" ca="1" si="1"/>
        <v>99.711477040849132</v>
      </c>
      <c r="CH5" s="85">
        <f t="shared" ca="1" si="1"/>
        <v>101.2807881765861</v>
      </c>
      <c r="CI5" s="85">
        <f t="shared" ca="1" si="1"/>
        <v>98.250304739209597</v>
      </c>
      <c r="CJ5" s="85">
        <f t="shared" ca="1" si="1"/>
        <v>100.39153435149768</v>
      </c>
      <c r="CK5" s="85">
        <f t="shared" ca="1" si="1"/>
        <v>100.15496535111892</v>
      </c>
      <c r="CL5" s="85">
        <f t="shared" ca="1" si="1"/>
        <v>98.475620281842367</v>
      </c>
      <c r="CM5" s="85">
        <f t="shared" ca="1" si="1"/>
        <v>101.12826156743772</v>
      </c>
      <c r="CN5" s="85">
        <f t="shared" ca="1" si="1"/>
        <v>98.644880739963085</v>
      </c>
      <c r="CO5" s="85">
        <f t="shared" ca="1" si="1"/>
        <v>100.18674874597671</v>
      </c>
      <c r="CP5" s="85">
        <f t="shared" ca="1" si="1"/>
        <v>99.899330645338679</v>
      </c>
      <c r="CQ5" s="85">
        <f t="shared" ca="1" si="1"/>
        <v>98.983357754645482</v>
      </c>
      <c r="CR5" s="85">
        <f t="shared" ca="1" si="1"/>
        <v>98.669807412824412</v>
      </c>
      <c r="CS5" s="85">
        <f t="shared" ca="1" si="1"/>
        <v>99.226272603911227</v>
      </c>
      <c r="CT5" s="85">
        <f t="shared" ca="1" si="1"/>
        <v>99.301132843185727</v>
      </c>
      <c r="CU5" s="85">
        <f t="shared" ca="1" si="1"/>
        <v>99.653692156434857</v>
      </c>
      <c r="CV5" s="85">
        <f t="shared" ca="1" si="1"/>
        <v>99.96709911865409</v>
      </c>
      <c r="CW5" s="85">
        <f t="shared" ca="1" si="1"/>
        <v>101.33395191798741</v>
      </c>
    </row>
    <row r="6" spans="1:101" x14ac:dyDescent="0.2">
      <c r="A6" s="115">
        <v>3</v>
      </c>
      <c r="B6" s="85">
        <f t="shared" ca="1" si="2"/>
        <v>102.20108838611557</v>
      </c>
      <c r="C6" s="85">
        <f t="shared" ca="1" si="0"/>
        <v>100.24917307957871</v>
      </c>
      <c r="D6" s="85">
        <f t="shared" ca="1" si="0"/>
        <v>99.256412423032003</v>
      </c>
      <c r="E6" s="85">
        <f t="shared" ca="1" si="0"/>
        <v>99.354150865450251</v>
      </c>
      <c r="F6" s="85">
        <f t="shared" ca="1" si="0"/>
        <v>101.87560844216696</v>
      </c>
      <c r="G6" s="85">
        <f t="shared" ca="1" si="0"/>
        <v>97.706290209183194</v>
      </c>
      <c r="H6" s="85">
        <f t="shared" ca="1" si="0"/>
        <v>100.84688938175391</v>
      </c>
      <c r="I6" s="85">
        <f t="shared" ca="1" si="0"/>
        <v>101.77772312779634</v>
      </c>
      <c r="J6" s="85">
        <f t="shared" ca="1" si="0"/>
        <v>100.1328346195919</v>
      </c>
      <c r="K6" s="85">
        <f t="shared" ca="1" si="0"/>
        <v>100.19029781218018</v>
      </c>
      <c r="L6" s="85">
        <f t="shared" ca="1" si="0"/>
        <v>100.21543226721852</v>
      </c>
      <c r="M6" s="85">
        <f t="shared" ca="1" si="0"/>
        <v>98.25323170989121</v>
      </c>
      <c r="N6" s="85">
        <f t="shared" ca="1" si="0"/>
        <v>99.123095428965399</v>
      </c>
      <c r="O6" s="85">
        <f t="shared" ca="1" si="0"/>
        <v>100.86164924002381</v>
      </c>
      <c r="P6" s="85">
        <f t="shared" ca="1" si="0"/>
        <v>102.98279735319836</v>
      </c>
      <c r="Q6" s="85">
        <f t="shared" ca="1" si="0"/>
        <v>99.728039549593703</v>
      </c>
      <c r="R6" s="85">
        <f t="shared" ca="1" si="0"/>
        <v>98.536418459162277</v>
      </c>
      <c r="S6" s="85">
        <f t="shared" ca="1" si="0"/>
        <v>101.00791209650701</v>
      </c>
      <c r="T6" s="85">
        <f t="shared" ca="1" si="0"/>
        <v>99.579705395129494</v>
      </c>
      <c r="U6" s="85">
        <f t="shared" ca="1" si="0"/>
        <v>101.14038566512342</v>
      </c>
      <c r="V6" s="85">
        <f t="shared" ca="1" si="0"/>
        <v>101.8840320099915</v>
      </c>
      <c r="W6" s="85">
        <f t="shared" ca="1" si="0"/>
        <v>101.9300289867497</v>
      </c>
      <c r="X6" s="85">
        <f t="shared" ca="1" si="0"/>
        <v>101.40445314064608</v>
      </c>
      <c r="Y6" s="85">
        <f t="shared" ca="1" si="0"/>
        <v>100.58630020106779</v>
      </c>
      <c r="Z6" s="85">
        <f t="shared" ca="1" si="0"/>
        <v>102.51301146130636</v>
      </c>
      <c r="AA6" s="85">
        <f t="shared" ca="1" si="0"/>
        <v>98.34364136359487</v>
      </c>
      <c r="AB6" s="85">
        <f t="shared" ca="1" si="0"/>
        <v>100.60071607005159</v>
      </c>
      <c r="AC6" s="85">
        <f t="shared" ca="1" si="0"/>
        <v>99.646863658941555</v>
      </c>
      <c r="AD6" s="85">
        <f t="shared" ca="1" si="0"/>
        <v>101.41551797166242</v>
      </c>
      <c r="AE6" s="85">
        <f t="shared" ca="1" si="0"/>
        <v>100.30632173271567</v>
      </c>
      <c r="AF6" s="85">
        <f t="shared" ca="1" si="0"/>
        <v>101.45015208724737</v>
      </c>
      <c r="AG6" s="85">
        <f t="shared" ca="1" si="0"/>
        <v>101.64879098776834</v>
      </c>
      <c r="AH6" s="85">
        <f t="shared" ca="1" si="0"/>
        <v>101.34179048335645</v>
      </c>
      <c r="AI6" s="85">
        <f t="shared" ca="1" si="0"/>
        <v>100.5706201243266</v>
      </c>
      <c r="AJ6" s="85">
        <f t="shared" ca="1" si="0"/>
        <v>101.6475277423425</v>
      </c>
      <c r="AK6" s="85">
        <f t="shared" ca="1" si="0"/>
        <v>101.19883784228661</v>
      </c>
      <c r="AL6" s="85">
        <f t="shared" ca="1" si="0"/>
        <v>102.72190466958347</v>
      </c>
      <c r="AM6" s="85">
        <f t="shared" ca="1" si="0"/>
        <v>101.08719980906416</v>
      </c>
      <c r="AN6" s="85">
        <f t="shared" ca="1" si="0"/>
        <v>100.07159493698038</v>
      </c>
      <c r="AO6" s="85">
        <f t="shared" ca="1" si="0"/>
        <v>99.714182232800283</v>
      </c>
      <c r="AP6" s="85">
        <f t="shared" ca="1" si="0"/>
        <v>103.90478508733807</v>
      </c>
      <c r="AQ6" s="85">
        <f t="shared" ca="1" si="0"/>
        <v>100.72185036880727</v>
      </c>
      <c r="AR6" s="85">
        <f t="shared" ca="1" si="0"/>
        <v>101.87127025212855</v>
      </c>
      <c r="AS6" s="85">
        <f t="shared" ca="1" si="0"/>
        <v>100.7486789564756</v>
      </c>
      <c r="AT6" s="85">
        <f t="shared" ca="1" si="0"/>
        <v>100.02292693885043</v>
      </c>
      <c r="AU6" s="85">
        <f t="shared" ca="1" si="0"/>
        <v>101.41808459716515</v>
      </c>
      <c r="AV6" s="85">
        <f t="shared" ca="1" si="0"/>
        <v>100.21484451300796</v>
      </c>
      <c r="AW6" s="85">
        <f t="shared" ca="1" si="0"/>
        <v>102.20790709249552</v>
      </c>
      <c r="AX6" s="85">
        <f t="shared" ca="1" si="0"/>
        <v>102.14151012598873</v>
      </c>
      <c r="AY6" s="85">
        <f t="shared" ca="1" si="0"/>
        <v>102.70411872530356</v>
      </c>
      <c r="AZ6" s="85">
        <f t="shared" ca="1" si="0"/>
        <v>100.03239339554911</v>
      </c>
      <c r="BA6" s="85">
        <f t="shared" ca="1" si="0"/>
        <v>100.8355357968081</v>
      </c>
      <c r="BB6" s="85">
        <f t="shared" ca="1" si="0"/>
        <v>100.75677448407603</v>
      </c>
      <c r="BC6" s="85">
        <f t="shared" ca="1" si="0"/>
        <v>99.206592351073937</v>
      </c>
      <c r="BD6" s="85">
        <f t="shared" ca="1" si="0"/>
        <v>101.56558125985501</v>
      </c>
      <c r="BE6" s="85">
        <f t="shared" ca="1" si="0"/>
        <v>101.70425081184828</v>
      </c>
      <c r="BF6" s="85">
        <f t="shared" ca="1" si="0"/>
        <v>102.36785249437871</v>
      </c>
      <c r="BG6" s="85">
        <f t="shared" ca="1" si="0"/>
        <v>100.33413216235259</v>
      </c>
      <c r="BH6" s="85">
        <f t="shared" ca="1" si="0"/>
        <v>103.59957656943874</v>
      </c>
      <c r="BI6" s="85">
        <f t="shared" ca="1" si="0"/>
        <v>100.93540200011958</v>
      </c>
      <c r="BJ6" s="85">
        <f t="shared" ca="1" si="0"/>
        <v>103.56872779624392</v>
      </c>
      <c r="BK6" s="85">
        <f t="shared" ca="1" si="0"/>
        <v>101.58435447886809</v>
      </c>
      <c r="BL6" s="85">
        <f t="shared" ca="1" si="0"/>
        <v>101.11076676665975</v>
      </c>
      <c r="BM6" s="85">
        <f t="shared" ca="1" si="0"/>
        <v>99.876630931231077</v>
      </c>
      <c r="BN6" s="85">
        <f t="shared" ca="1" si="0"/>
        <v>100.02428677917312</v>
      </c>
      <c r="BO6" s="85">
        <f t="shared" ca="1" si="1"/>
        <v>98.322137219896589</v>
      </c>
      <c r="BP6" s="85">
        <f t="shared" ca="1" si="1"/>
        <v>100.36626078439569</v>
      </c>
      <c r="BQ6" s="85">
        <f t="shared" ca="1" si="1"/>
        <v>99.681070793795882</v>
      </c>
      <c r="BR6" s="85">
        <f t="shared" ca="1" si="1"/>
        <v>101.19450913871826</v>
      </c>
      <c r="BS6" s="85">
        <f t="shared" ca="1" si="1"/>
        <v>99.455918525655036</v>
      </c>
      <c r="BT6" s="85">
        <f t="shared" ca="1" si="1"/>
        <v>99.976056565386173</v>
      </c>
      <c r="BU6" s="85">
        <f t="shared" ca="1" si="1"/>
        <v>100.44408364243155</v>
      </c>
      <c r="BV6" s="85">
        <f t="shared" ca="1" si="1"/>
        <v>99.881984110689018</v>
      </c>
      <c r="BW6" s="85">
        <f t="shared" ca="1" si="1"/>
        <v>102.32965632480708</v>
      </c>
      <c r="BX6" s="85">
        <f t="shared" ca="1" si="1"/>
        <v>101.17520955983873</v>
      </c>
      <c r="BY6" s="85">
        <f t="shared" ca="1" si="1"/>
        <v>102.04781114357985</v>
      </c>
      <c r="BZ6" s="85">
        <f t="shared" ca="1" si="1"/>
        <v>100.10601886714748</v>
      </c>
      <c r="CA6" s="85">
        <f t="shared" ca="1" si="1"/>
        <v>99.697448251396992</v>
      </c>
      <c r="CB6" s="85">
        <f t="shared" ca="1" si="1"/>
        <v>102.91565416184942</v>
      </c>
      <c r="CC6" s="85">
        <f t="shared" ca="1" si="1"/>
        <v>101.56961514322413</v>
      </c>
      <c r="CD6" s="85">
        <f t="shared" ca="1" si="1"/>
        <v>102.56078029695259</v>
      </c>
      <c r="CE6" s="85">
        <f t="shared" ca="1" si="1"/>
        <v>100.46237140569635</v>
      </c>
      <c r="CF6" s="85">
        <f t="shared" ca="1" si="1"/>
        <v>101.14239018182141</v>
      </c>
      <c r="CG6" s="85">
        <f t="shared" ca="1" si="1"/>
        <v>100.80491787829098</v>
      </c>
      <c r="CH6" s="85">
        <f t="shared" ca="1" si="1"/>
        <v>102.51485359965559</v>
      </c>
      <c r="CI6" s="85">
        <f t="shared" ca="1" si="1"/>
        <v>99.096380691887049</v>
      </c>
      <c r="CJ6" s="85">
        <f t="shared" ca="1" si="1"/>
        <v>101.61554950743125</v>
      </c>
      <c r="CK6" s="85">
        <f t="shared" ca="1" si="1"/>
        <v>101.35275039754602</v>
      </c>
      <c r="CL6" s="85">
        <f t="shared" ca="1" si="1"/>
        <v>98.627181534791362</v>
      </c>
      <c r="CM6" s="85">
        <f t="shared" ca="1" si="1"/>
        <v>102.07016360843301</v>
      </c>
      <c r="CN6" s="85">
        <f t="shared" ca="1" si="1"/>
        <v>100.24986047832112</v>
      </c>
      <c r="CO6" s="85">
        <f t="shared" ca="1" si="1"/>
        <v>100.92116866248158</v>
      </c>
      <c r="CP6" s="85">
        <f t="shared" ca="1" si="1"/>
        <v>101.12376000625846</v>
      </c>
      <c r="CQ6" s="85">
        <f t="shared" ca="1" si="1"/>
        <v>99.493772392390085</v>
      </c>
      <c r="CR6" s="85">
        <f t="shared" ca="1" si="1"/>
        <v>100.44339856161108</v>
      </c>
      <c r="CS6" s="85">
        <f t="shared" ca="1" si="1"/>
        <v>99.639825151017945</v>
      </c>
      <c r="CT6" s="85">
        <f t="shared" ca="1" si="1"/>
        <v>99.187060087899098</v>
      </c>
      <c r="CU6" s="85">
        <f t="shared" ca="1" si="1"/>
        <v>100.39590005002333</v>
      </c>
      <c r="CV6" s="85">
        <f t="shared" ca="1" si="1"/>
        <v>101.26600391482444</v>
      </c>
      <c r="CW6" s="85">
        <f t="shared" ca="1" si="1"/>
        <v>102.98290578136312</v>
      </c>
    </row>
    <row r="7" spans="1:101" x14ac:dyDescent="0.2">
      <c r="A7" s="115">
        <v>4</v>
      </c>
      <c r="B7" s="85">
        <f t="shared" ca="1" si="2"/>
        <v>103.29137192247468</v>
      </c>
      <c r="C7" s="85">
        <f t="shared" ca="1" si="0"/>
        <v>102.1202821335913</v>
      </c>
      <c r="D7" s="85">
        <f t="shared" ca="1" si="0"/>
        <v>101.27583637969714</v>
      </c>
      <c r="E7" s="85">
        <f t="shared" ca="1" si="0"/>
        <v>100.05152644273502</v>
      </c>
      <c r="F7" s="85">
        <f t="shared" ca="1" si="0"/>
        <v>102.07533343182789</v>
      </c>
      <c r="G7" s="85">
        <f t="shared" ca="1" si="0"/>
        <v>100.21368110775236</v>
      </c>
      <c r="H7" s="85">
        <f t="shared" ca="1" si="0"/>
        <v>102.3505046217615</v>
      </c>
      <c r="I7" s="85">
        <f t="shared" ca="1" si="0"/>
        <v>103.02413010551774</v>
      </c>
      <c r="J7" s="85">
        <f t="shared" ca="1" si="0"/>
        <v>101.3571611941742</v>
      </c>
      <c r="K7" s="85">
        <f t="shared" ca="1" si="0"/>
        <v>101.07451289489985</v>
      </c>
      <c r="L7" s="85">
        <f t="shared" ca="1" si="0"/>
        <v>101.30415598216425</v>
      </c>
      <c r="M7" s="85">
        <f t="shared" ca="1" si="0"/>
        <v>98.808363700888037</v>
      </c>
      <c r="N7" s="85">
        <f t="shared" ca="1" si="0"/>
        <v>101.6594783975757</v>
      </c>
      <c r="O7" s="85">
        <f t="shared" ca="1" si="0"/>
        <v>102.55856949083163</v>
      </c>
      <c r="P7" s="85">
        <f t="shared" ca="1" si="0"/>
        <v>104.95763592705727</v>
      </c>
      <c r="Q7" s="85">
        <f t="shared" ca="1" si="0"/>
        <v>101.01907438210441</v>
      </c>
      <c r="R7" s="85">
        <f t="shared" ca="1" si="0"/>
        <v>100.23348543723884</v>
      </c>
      <c r="S7" s="85">
        <f t="shared" ca="1" si="0"/>
        <v>102.27206476308248</v>
      </c>
      <c r="T7" s="85">
        <f t="shared" ca="1" si="0"/>
        <v>101.86933548282636</v>
      </c>
      <c r="U7" s="85">
        <f t="shared" ca="1" si="0"/>
        <v>102.12102565961948</v>
      </c>
      <c r="V7" s="85">
        <f t="shared" ca="1" si="0"/>
        <v>103.78410234015118</v>
      </c>
      <c r="W7" s="85">
        <f t="shared" ca="1" si="0"/>
        <v>103.36169520925073</v>
      </c>
      <c r="X7" s="85">
        <f t="shared" ca="1" si="0"/>
        <v>102.47801738970831</v>
      </c>
      <c r="Y7" s="85">
        <f t="shared" ca="1" si="0"/>
        <v>102.50858440748584</v>
      </c>
      <c r="Z7" s="85">
        <f t="shared" ca="1" si="0"/>
        <v>103.93520488703497</v>
      </c>
      <c r="AA7" s="85">
        <f t="shared" ca="1" si="0"/>
        <v>99.398246165494996</v>
      </c>
      <c r="AB7" s="85">
        <f t="shared" ca="1" si="0"/>
        <v>101.32629051429424</v>
      </c>
      <c r="AC7" s="85">
        <f t="shared" ca="1" si="0"/>
        <v>100.28364267292173</v>
      </c>
      <c r="AD7" s="85">
        <f t="shared" ca="1" si="0"/>
        <v>103.03014914249489</v>
      </c>
      <c r="AE7" s="85">
        <f t="shared" ca="1" si="0"/>
        <v>102.64514289005049</v>
      </c>
      <c r="AF7" s="85">
        <f t="shared" ca="1" si="0"/>
        <v>102.80838316833561</v>
      </c>
      <c r="AG7" s="85">
        <f t="shared" ca="1" si="0"/>
        <v>102.40252848314962</v>
      </c>
      <c r="AH7" s="85">
        <f t="shared" ca="1" si="0"/>
        <v>101.15722492830886</v>
      </c>
      <c r="AI7" s="85">
        <f t="shared" ca="1" si="0"/>
        <v>101.54100132358508</v>
      </c>
      <c r="AJ7" s="85">
        <f t="shared" ca="1" si="0"/>
        <v>103.3895164299212</v>
      </c>
      <c r="AK7" s="85">
        <f t="shared" ca="1" si="0"/>
        <v>102.54218179252797</v>
      </c>
      <c r="AL7" s="85">
        <f t="shared" ca="1" si="0"/>
        <v>103.82946394945985</v>
      </c>
      <c r="AM7" s="85">
        <f t="shared" ca="1" si="0"/>
        <v>102.34875056915723</v>
      </c>
      <c r="AN7" s="85">
        <f t="shared" ca="1" si="0"/>
        <v>101.69945911056594</v>
      </c>
      <c r="AO7" s="85">
        <f t="shared" ca="1" si="0"/>
        <v>101.18770628735143</v>
      </c>
      <c r="AP7" s="85">
        <f t="shared" ca="1" si="0"/>
        <v>104.64802362433014</v>
      </c>
      <c r="AQ7" s="85">
        <f t="shared" ca="1" si="0"/>
        <v>101.42998013416111</v>
      </c>
      <c r="AR7" s="85">
        <f t="shared" ca="1" si="0"/>
        <v>102.79008710538263</v>
      </c>
      <c r="AS7" s="85">
        <f t="shared" ca="1" si="0"/>
        <v>103.10550002287297</v>
      </c>
      <c r="AT7" s="85">
        <f t="shared" ca="1" si="0"/>
        <v>101.57552573707304</v>
      </c>
      <c r="AU7" s="85">
        <f t="shared" ca="1" si="0"/>
        <v>103.01462659687446</v>
      </c>
      <c r="AV7" s="85">
        <f t="shared" ca="1" si="0"/>
        <v>101.93004016659363</v>
      </c>
      <c r="AW7" s="85">
        <f t="shared" ca="1" si="0"/>
        <v>103.21095209840533</v>
      </c>
      <c r="AX7" s="85">
        <f t="shared" ca="1" si="0"/>
        <v>103.45409874845555</v>
      </c>
      <c r="AY7" s="85">
        <f t="shared" ca="1" si="0"/>
        <v>103.69673145215987</v>
      </c>
      <c r="AZ7" s="85">
        <f t="shared" ca="1" si="0"/>
        <v>101.56758914141143</v>
      </c>
      <c r="BA7" s="85">
        <f t="shared" ca="1" si="0"/>
        <v>101.91147920541893</v>
      </c>
      <c r="BB7" s="85">
        <f t="shared" ca="1" si="0"/>
        <v>101.31664035215179</v>
      </c>
      <c r="BC7" s="85">
        <f t="shared" ca="1" si="0"/>
        <v>99.449443627311496</v>
      </c>
      <c r="BD7" s="85">
        <f t="shared" ca="1" si="0"/>
        <v>102.49188400046431</v>
      </c>
      <c r="BE7" s="85">
        <f t="shared" ca="1" si="0"/>
        <v>102.45718785183293</v>
      </c>
      <c r="BF7" s="85">
        <f t="shared" ca="1" si="0"/>
        <v>105.3699508600827</v>
      </c>
      <c r="BG7" s="85">
        <f t="shared" ca="1" si="0"/>
        <v>101.36143668392108</v>
      </c>
      <c r="BH7" s="85">
        <f t="shared" ca="1" si="0"/>
        <v>104.57048054262415</v>
      </c>
      <c r="BI7" s="85">
        <f t="shared" ca="1" si="0"/>
        <v>102.07328595381949</v>
      </c>
      <c r="BJ7" s="85">
        <f t="shared" ca="1" si="0"/>
        <v>104.71874376503885</v>
      </c>
      <c r="BK7" s="85">
        <f t="shared" ca="1" si="0"/>
        <v>101.79466994210341</v>
      </c>
      <c r="BL7" s="85">
        <f t="shared" ca="1" si="0"/>
        <v>101.61630581268415</v>
      </c>
      <c r="BM7" s="85">
        <f t="shared" ca="1" si="0"/>
        <v>100.95318329011873</v>
      </c>
      <c r="BN7" s="85">
        <f t="shared" ref="BN7:BN70" ca="1" si="3">BN6*EXP(($C$259-0.5*$C$260^2)+$C$260*_xlfn.NORM.INV(RAND(),0,1))</f>
        <v>99.709680903169371</v>
      </c>
      <c r="BO7" s="85">
        <f t="shared" ca="1" si="1"/>
        <v>98.731382585395934</v>
      </c>
      <c r="BP7" s="85">
        <f t="shared" ca="1" si="1"/>
        <v>101.55701792856244</v>
      </c>
      <c r="BQ7" s="85">
        <f t="shared" ca="1" si="1"/>
        <v>100.29219302962291</v>
      </c>
      <c r="BR7" s="85">
        <f t="shared" ca="1" si="1"/>
        <v>101.77931062759515</v>
      </c>
      <c r="BS7" s="85">
        <f t="shared" ca="1" si="1"/>
        <v>101.26450620836799</v>
      </c>
      <c r="BT7" s="85">
        <f t="shared" ca="1" si="1"/>
        <v>101.43297411347675</v>
      </c>
      <c r="BU7" s="85">
        <f t="shared" ca="1" si="1"/>
        <v>102.59627089648863</v>
      </c>
      <c r="BV7" s="85">
        <f t="shared" ca="1" si="1"/>
        <v>100.3336885486917</v>
      </c>
      <c r="BW7" s="85">
        <f t="shared" ca="1" si="1"/>
        <v>102.83793617907675</v>
      </c>
      <c r="BX7" s="85">
        <f t="shared" ca="1" si="1"/>
        <v>102.88717828775464</v>
      </c>
      <c r="BY7" s="85">
        <f t="shared" ca="1" si="1"/>
        <v>102.97665404962628</v>
      </c>
      <c r="BZ7" s="85">
        <f t="shared" ca="1" si="1"/>
        <v>102.08534470549525</v>
      </c>
      <c r="CA7" s="85">
        <f t="shared" ca="1" si="1"/>
        <v>101.34515997003615</v>
      </c>
      <c r="CB7" s="85">
        <f t="shared" ca="1" si="1"/>
        <v>103.52709206807506</v>
      </c>
      <c r="CC7" s="85">
        <f t="shared" ca="1" si="1"/>
        <v>103.6406986277438</v>
      </c>
      <c r="CD7" s="85">
        <f t="shared" ca="1" si="1"/>
        <v>103.81924451905769</v>
      </c>
      <c r="CE7" s="85">
        <f t="shared" ca="1" si="1"/>
        <v>101.40536671987701</v>
      </c>
      <c r="CF7" s="85">
        <f t="shared" ca="1" si="1"/>
        <v>102.71492890035123</v>
      </c>
      <c r="CG7" s="85">
        <f t="shared" ca="1" si="1"/>
        <v>101.75319805854205</v>
      </c>
      <c r="CH7" s="85">
        <f t="shared" ca="1" si="1"/>
        <v>105.42126107190178</v>
      </c>
      <c r="CI7" s="85">
        <f t="shared" ca="1" si="1"/>
        <v>100.11007001852931</v>
      </c>
      <c r="CJ7" s="85">
        <f t="shared" ca="1" si="1"/>
        <v>102.61307354155163</v>
      </c>
      <c r="CK7" s="85">
        <f t="shared" ca="1" si="1"/>
        <v>102.36372365599397</v>
      </c>
      <c r="CL7" s="85">
        <f t="shared" ca="1" si="1"/>
        <v>98.05348845070823</v>
      </c>
      <c r="CM7" s="85">
        <f t="shared" ca="1" si="1"/>
        <v>103.06168223141361</v>
      </c>
      <c r="CN7" s="85">
        <f t="shared" ca="1" si="1"/>
        <v>101.44906375176987</v>
      </c>
      <c r="CO7" s="85">
        <f t="shared" ca="1" si="1"/>
        <v>102.15845580610547</v>
      </c>
      <c r="CP7" s="85">
        <f t="shared" ca="1" si="1"/>
        <v>101.97237360299441</v>
      </c>
      <c r="CQ7" s="85">
        <f t="shared" ca="1" si="1"/>
        <v>100.24255255310324</v>
      </c>
      <c r="CR7" s="85">
        <f t="shared" ca="1" si="1"/>
        <v>102.00139791669478</v>
      </c>
      <c r="CS7" s="85">
        <f t="shared" ca="1" si="1"/>
        <v>100.91956774465311</v>
      </c>
      <c r="CT7" s="85">
        <f t="shared" ca="1" si="1"/>
        <v>100.9335373046101</v>
      </c>
      <c r="CU7" s="85">
        <f t="shared" ca="1" si="1"/>
        <v>101.18955505356739</v>
      </c>
      <c r="CV7" s="85">
        <f t="shared" ca="1" si="1"/>
        <v>101.49500409386538</v>
      </c>
      <c r="CW7" s="85">
        <f t="shared" ca="1" si="1"/>
        <v>103.75246122793362</v>
      </c>
    </row>
    <row r="8" spans="1:101" x14ac:dyDescent="0.2">
      <c r="A8" s="115">
        <v>5</v>
      </c>
      <c r="B8" s="85">
        <f t="shared" ca="1" si="2"/>
        <v>105.23867837416822</v>
      </c>
      <c r="C8" s="85">
        <f t="shared" ref="C8:C71" ca="1" si="4">C7*EXP(($C$259-0.5*$C$260^2)+$C$260*_xlfn.NORM.INV(RAND(),0,1))</f>
        <v>103.60741473811473</v>
      </c>
      <c r="D8" s="85">
        <f t="shared" ref="D8:D71" ca="1" si="5">D7*EXP(($C$259-0.5*$C$260^2)+$C$260*_xlfn.NORM.INV(RAND(),0,1))</f>
        <v>103.04861432220044</v>
      </c>
      <c r="E8" s="85">
        <f t="shared" ref="E8:E71" ca="1" si="6">E7*EXP(($C$259-0.5*$C$260^2)+$C$260*_xlfn.NORM.INV(RAND(),0,1))</f>
        <v>102.10208673706884</v>
      </c>
      <c r="F8" s="85">
        <f t="shared" ref="F8:F71" ca="1" si="7">F7*EXP(($C$259-0.5*$C$260^2)+$C$260*_xlfn.NORM.INV(RAND(),0,1))</f>
        <v>104.34358186967116</v>
      </c>
      <c r="G8" s="85">
        <f t="shared" ref="G8:G71" ca="1" si="8">G7*EXP(($C$259-0.5*$C$260^2)+$C$260*_xlfn.NORM.INV(RAND(),0,1))</f>
        <v>99.993468018827329</v>
      </c>
      <c r="H8" s="85">
        <f t="shared" ref="H8:H71" ca="1" si="9">H7*EXP(($C$259-0.5*$C$260^2)+$C$260*_xlfn.NORM.INV(RAND(),0,1))</f>
        <v>103.32588133297928</v>
      </c>
      <c r="I8" s="85">
        <f t="shared" ref="I8:I71" ca="1" si="10">I7*EXP(($C$259-0.5*$C$260^2)+$C$260*_xlfn.NORM.INV(RAND(),0,1))</f>
        <v>103.92394756792619</v>
      </c>
      <c r="J8" s="85">
        <f t="shared" ref="J8:J71" ca="1" si="11">J7*EXP(($C$259-0.5*$C$260^2)+$C$260*_xlfn.NORM.INV(RAND(),0,1))</f>
        <v>102.77311076498793</v>
      </c>
      <c r="K8" s="85">
        <f t="shared" ref="K8:K71" ca="1" si="12">K7*EXP(($C$259-0.5*$C$260^2)+$C$260*_xlfn.NORM.INV(RAND(),0,1))</f>
        <v>101.48705395923102</v>
      </c>
      <c r="L8" s="85">
        <f t="shared" ref="L8:L71" ca="1" si="13">L7*EXP(($C$259-0.5*$C$260^2)+$C$260*_xlfn.NORM.INV(RAND(),0,1))</f>
        <v>103.36873247052669</v>
      </c>
      <c r="M8" s="85">
        <f t="shared" ref="M8:M71" ca="1" si="14">M7*EXP(($C$259-0.5*$C$260^2)+$C$260*_xlfn.NORM.INV(RAND(),0,1))</f>
        <v>99.450141196482647</v>
      </c>
      <c r="N8" s="85">
        <f t="shared" ref="N8:N71" ca="1" si="15">N7*EXP(($C$259-0.5*$C$260^2)+$C$260*_xlfn.NORM.INV(RAND(),0,1))</f>
        <v>104.27714288478408</v>
      </c>
      <c r="O8" s="85">
        <f t="shared" ref="O8:O71" ca="1" si="16">O7*EXP(($C$259-0.5*$C$260^2)+$C$260*_xlfn.NORM.INV(RAND(),0,1))</f>
        <v>104.44079252217264</v>
      </c>
      <c r="P8" s="85">
        <f t="shared" ref="P8:P71" ca="1" si="17">P7*EXP(($C$259-0.5*$C$260^2)+$C$260*_xlfn.NORM.INV(RAND(),0,1))</f>
        <v>106.30342780207829</v>
      </c>
      <c r="Q8" s="85">
        <f t="shared" ref="Q8:Q71" ca="1" si="18">Q7*EXP(($C$259-0.5*$C$260^2)+$C$260*_xlfn.NORM.INV(RAND(),0,1))</f>
        <v>103.16886584290121</v>
      </c>
      <c r="R8" s="85">
        <f t="shared" ref="R8:R71" ca="1" si="19">R7*EXP(($C$259-0.5*$C$260^2)+$C$260*_xlfn.NORM.INV(RAND(),0,1))</f>
        <v>101.59162784249838</v>
      </c>
      <c r="S8" s="85">
        <f t="shared" ref="S8:S71" ca="1" si="20">S7*EXP(($C$259-0.5*$C$260^2)+$C$260*_xlfn.NORM.INV(RAND(),0,1))</f>
        <v>103.79965286668805</v>
      </c>
      <c r="T8" s="85">
        <f t="shared" ref="T8:T71" ca="1" si="21">T7*EXP(($C$259-0.5*$C$260^2)+$C$260*_xlfn.NORM.INV(RAND(),0,1))</f>
        <v>103.68528051202452</v>
      </c>
      <c r="U8" s="85">
        <f t="shared" ref="U8:U71" ca="1" si="22">U7*EXP(($C$259-0.5*$C$260^2)+$C$260*_xlfn.NORM.INV(RAND(),0,1))</f>
        <v>104.24493477506117</v>
      </c>
      <c r="V8" s="85">
        <f t="shared" ref="V8:V71" ca="1" si="23">V7*EXP(($C$259-0.5*$C$260^2)+$C$260*_xlfn.NORM.INV(RAND(),0,1))</f>
        <v>104.75932856832364</v>
      </c>
      <c r="W8" s="85">
        <f t="shared" ref="W8:W71" ca="1" si="24">W7*EXP(($C$259-0.5*$C$260^2)+$C$260*_xlfn.NORM.INV(RAND(),0,1))</f>
        <v>104.49205183266425</v>
      </c>
      <c r="X8" s="85">
        <f t="shared" ref="X8:X71" ca="1" si="25">X7*EXP(($C$259-0.5*$C$260^2)+$C$260*_xlfn.NORM.INV(RAND(),0,1))</f>
        <v>104.66599451875709</v>
      </c>
      <c r="Y8" s="85">
        <f t="shared" ref="Y8:Y71" ca="1" si="26">Y7*EXP(($C$259-0.5*$C$260^2)+$C$260*_xlfn.NORM.INV(RAND(),0,1))</f>
        <v>102.88854205549593</v>
      </c>
      <c r="Z8" s="85">
        <f t="shared" ref="Z8:Z71" ca="1" si="27">Z7*EXP(($C$259-0.5*$C$260^2)+$C$260*_xlfn.NORM.INV(RAND(),0,1))</f>
        <v>106.16754290052563</v>
      </c>
      <c r="AA8" s="85">
        <f t="shared" ref="AA8:AA71" ca="1" si="28">AA7*EXP(($C$259-0.5*$C$260^2)+$C$260*_xlfn.NORM.INV(RAND(),0,1))</f>
        <v>100.77507729883769</v>
      </c>
      <c r="AB8" s="85">
        <f t="shared" ref="AB8:AB71" ca="1" si="29">AB7*EXP(($C$259-0.5*$C$260^2)+$C$260*_xlfn.NORM.INV(RAND(),0,1))</f>
        <v>102.10357959898684</v>
      </c>
      <c r="AC8" s="85">
        <f t="shared" ref="AC8:AC71" ca="1" si="30">AC7*EXP(($C$259-0.5*$C$260^2)+$C$260*_xlfn.NORM.INV(RAND(),0,1))</f>
        <v>101.64673858889364</v>
      </c>
      <c r="AD8" s="85">
        <f t="shared" ref="AD8:AD71" ca="1" si="31">AD7*EXP(($C$259-0.5*$C$260^2)+$C$260*_xlfn.NORM.INV(RAND(),0,1))</f>
        <v>104.75119498840374</v>
      </c>
      <c r="AE8" s="85">
        <f t="shared" ref="AE8:AE71" ca="1" si="32">AE7*EXP(($C$259-0.5*$C$260^2)+$C$260*_xlfn.NORM.INV(RAND(),0,1))</f>
        <v>105.2902721478185</v>
      </c>
      <c r="AF8" s="85">
        <f t="shared" ref="AF8:AF71" ca="1" si="33">AF7*EXP(($C$259-0.5*$C$260^2)+$C$260*_xlfn.NORM.INV(RAND(),0,1))</f>
        <v>105.29161512630752</v>
      </c>
      <c r="AG8" s="85">
        <f t="shared" ref="AG8:AG71" ca="1" si="34">AG7*EXP(($C$259-0.5*$C$260^2)+$C$260*_xlfn.NORM.INV(RAND(),0,1))</f>
        <v>103.725130324003</v>
      </c>
      <c r="AH8" s="85">
        <f t="shared" ref="AH8:AH71" ca="1" si="35">AH7*EXP(($C$259-0.5*$C$260^2)+$C$260*_xlfn.NORM.INV(RAND(),0,1))</f>
        <v>102.66711194571995</v>
      </c>
      <c r="AI8" s="85">
        <f t="shared" ref="AI8:AI71" ca="1" si="36">AI7*EXP(($C$259-0.5*$C$260^2)+$C$260*_xlfn.NORM.INV(RAND(),0,1))</f>
        <v>102.64505530199688</v>
      </c>
      <c r="AJ8" s="85">
        <f t="shared" ref="AJ8:AJ71" ca="1" si="37">AJ7*EXP(($C$259-0.5*$C$260^2)+$C$260*_xlfn.NORM.INV(RAND(),0,1))</f>
        <v>104.45168766547987</v>
      </c>
      <c r="AK8" s="85">
        <f t="shared" ref="AK8:AK71" ca="1" si="38">AK7*EXP(($C$259-0.5*$C$260^2)+$C$260*_xlfn.NORM.INV(RAND(),0,1))</f>
        <v>104.58698238702731</v>
      </c>
      <c r="AL8" s="85">
        <f t="shared" ref="AL8:AL71" ca="1" si="39">AL7*EXP(($C$259-0.5*$C$260^2)+$C$260*_xlfn.NORM.INV(RAND(),0,1))</f>
        <v>106.49033463324736</v>
      </c>
      <c r="AM8" s="85">
        <f t="shared" ref="AM8:AM71" ca="1" si="40">AM7*EXP(($C$259-0.5*$C$260^2)+$C$260*_xlfn.NORM.INV(RAND(),0,1))</f>
        <v>103.11672828401144</v>
      </c>
      <c r="AN8" s="85">
        <f t="shared" ref="AN8:AN71" ca="1" si="41">AN7*EXP(($C$259-0.5*$C$260^2)+$C$260*_xlfn.NORM.INV(RAND(),0,1))</f>
        <v>104.09985032630551</v>
      </c>
      <c r="AO8" s="85">
        <f t="shared" ref="AO8:AO71" ca="1" si="42">AO7*EXP(($C$259-0.5*$C$260^2)+$C$260*_xlfn.NORM.INV(RAND(),0,1))</f>
        <v>102.73407839613039</v>
      </c>
      <c r="AP8" s="85">
        <f t="shared" ref="AP8:AP71" ca="1" si="43">AP7*EXP(($C$259-0.5*$C$260^2)+$C$260*_xlfn.NORM.INV(RAND(),0,1))</f>
        <v>105.32098774295558</v>
      </c>
      <c r="AQ8" s="85">
        <f t="shared" ref="AQ8:AQ71" ca="1" si="44">AQ7*EXP(($C$259-0.5*$C$260^2)+$C$260*_xlfn.NORM.INV(RAND(),0,1))</f>
        <v>102.39947765667708</v>
      </c>
      <c r="AR8" s="85">
        <f t="shared" ref="AR8:AR71" ca="1" si="45">AR7*EXP(($C$259-0.5*$C$260^2)+$C$260*_xlfn.NORM.INV(RAND(),0,1))</f>
        <v>105.01739626625393</v>
      </c>
      <c r="AS8" s="85">
        <f t="shared" ref="AS8:AS71" ca="1" si="46">AS7*EXP(($C$259-0.5*$C$260^2)+$C$260*_xlfn.NORM.INV(RAND(),0,1))</f>
        <v>105.03969287118694</v>
      </c>
      <c r="AT8" s="85">
        <f t="shared" ref="AT8:AT71" ca="1" si="47">AT7*EXP(($C$259-0.5*$C$260^2)+$C$260*_xlfn.NORM.INV(RAND(),0,1))</f>
        <v>103.18933726312977</v>
      </c>
      <c r="AU8" s="85">
        <f t="shared" ref="AU8:AU71" ca="1" si="48">AU7*EXP(($C$259-0.5*$C$260^2)+$C$260*_xlfn.NORM.INV(RAND(),0,1))</f>
        <v>103.77840168776584</v>
      </c>
      <c r="AV8" s="85">
        <f t="shared" ref="AV8:AV71" ca="1" si="49">AV7*EXP(($C$259-0.5*$C$260^2)+$C$260*_xlfn.NORM.INV(RAND(),0,1))</f>
        <v>103.54935970615635</v>
      </c>
      <c r="AW8" s="85">
        <f t="shared" ref="AW8:AW71" ca="1" si="50">AW7*EXP(($C$259-0.5*$C$260^2)+$C$260*_xlfn.NORM.INV(RAND(),0,1))</f>
        <v>104.5127295018724</v>
      </c>
      <c r="AX8" s="85">
        <f t="shared" ref="AX8:AX71" ca="1" si="51">AX7*EXP(($C$259-0.5*$C$260^2)+$C$260*_xlfn.NORM.INV(RAND(),0,1))</f>
        <v>105.92675244590934</v>
      </c>
      <c r="AY8" s="85">
        <f t="shared" ref="AY8:AY71" ca="1" si="52">AY7*EXP(($C$259-0.5*$C$260^2)+$C$260*_xlfn.NORM.INV(RAND(),0,1))</f>
        <v>105.12012183168559</v>
      </c>
      <c r="AZ8" s="85">
        <f t="shared" ref="AZ8:AZ71" ca="1" si="53">AZ7*EXP(($C$259-0.5*$C$260^2)+$C$260*_xlfn.NORM.INV(RAND(),0,1))</f>
        <v>102.3644286930511</v>
      </c>
      <c r="BA8" s="85">
        <f t="shared" ref="BA8:BA71" ca="1" si="54">BA7*EXP(($C$259-0.5*$C$260^2)+$C$260*_xlfn.NORM.INV(RAND(),0,1))</f>
        <v>103.81042554342579</v>
      </c>
      <c r="BB8" s="85">
        <f t="shared" ref="BB8:BB71" ca="1" si="55">BB7*EXP(($C$259-0.5*$C$260^2)+$C$260*_xlfn.NORM.INV(RAND(),0,1))</f>
        <v>101.96905903731502</v>
      </c>
      <c r="BC8" s="85">
        <f t="shared" ref="BC8:BC71" ca="1" si="56">BC7*EXP(($C$259-0.5*$C$260^2)+$C$260*_xlfn.NORM.INV(RAND(),0,1))</f>
        <v>100.22275491746886</v>
      </c>
      <c r="BD8" s="85">
        <f t="shared" ref="BD8:BD71" ca="1" si="57">BD7*EXP(($C$259-0.5*$C$260^2)+$C$260*_xlfn.NORM.INV(RAND(),0,1))</f>
        <v>103.88308091074646</v>
      </c>
      <c r="BE8" s="85">
        <f t="shared" ref="BE8:BE71" ca="1" si="58">BE7*EXP(($C$259-0.5*$C$260^2)+$C$260*_xlfn.NORM.INV(RAND(),0,1))</f>
        <v>102.94844550627506</v>
      </c>
      <c r="BF8" s="85">
        <f t="shared" ref="BF8:BF71" ca="1" si="59">BF7*EXP(($C$259-0.5*$C$260^2)+$C$260*_xlfn.NORM.INV(RAND(),0,1))</f>
        <v>106.79495147558143</v>
      </c>
      <c r="BG8" s="85">
        <f t="shared" ref="BG8:BG71" ca="1" si="60">BG7*EXP(($C$259-0.5*$C$260^2)+$C$260*_xlfn.NORM.INV(RAND(),0,1))</f>
        <v>103.07059183997342</v>
      </c>
      <c r="BH8" s="85">
        <f t="shared" ref="BH8:BH71" ca="1" si="61">BH7*EXP(($C$259-0.5*$C$260^2)+$C$260*_xlfn.NORM.INV(RAND(),0,1))</f>
        <v>104.56385789004818</v>
      </c>
      <c r="BI8" s="85">
        <f t="shared" ref="BI8:BI71" ca="1" si="62">BI7*EXP(($C$259-0.5*$C$260^2)+$C$260*_xlfn.NORM.INV(RAND(),0,1))</f>
        <v>102.44228075884492</v>
      </c>
      <c r="BJ8" s="85">
        <f t="shared" ref="BJ8:BJ71" ca="1" si="63">BJ7*EXP(($C$259-0.5*$C$260^2)+$C$260*_xlfn.NORM.INV(RAND(),0,1))</f>
        <v>105.74332246913383</v>
      </c>
      <c r="BK8" s="85">
        <f t="shared" ref="BK8:BK71" ca="1" si="64">BK7*EXP(($C$259-0.5*$C$260^2)+$C$260*_xlfn.NORM.INV(RAND(),0,1))</f>
        <v>103.42316065034214</v>
      </c>
      <c r="BL8" s="85">
        <f t="shared" ref="BL8:BL71" ca="1" si="65">BL7*EXP(($C$259-0.5*$C$260^2)+$C$260*_xlfn.NORM.INV(RAND(),0,1))</f>
        <v>102.18460242023424</v>
      </c>
      <c r="BM8" s="85">
        <f t="shared" ref="BM8:BM71" ca="1" si="66">BM7*EXP(($C$259-0.5*$C$260^2)+$C$260*_xlfn.NORM.INV(RAND(),0,1))</f>
        <v>101.80493433230514</v>
      </c>
      <c r="BN8" s="85">
        <f t="shared" ca="1" si="3"/>
        <v>100.61489137015124</v>
      </c>
      <c r="BO8" s="85">
        <f t="shared" ca="1" si="1"/>
        <v>99.523416824325977</v>
      </c>
      <c r="BP8" s="85">
        <f t="shared" ca="1" si="1"/>
        <v>102.70354730807561</v>
      </c>
      <c r="BQ8" s="85">
        <f t="shared" ca="1" si="1"/>
        <v>100.80162923865429</v>
      </c>
      <c r="BR8" s="85">
        <f t="shared" ca="1" si="1"/>
        <v>103.29882251158844</v>
      </c>
      <c r="BS8" s="85">
        <f t="shared" ca="1" si="1"/>
        <v>101.78676750442492</v>
      </c>
      <c r="BT8" s="85">
        <f t="shared" ca="1" si="1"/>
        <v>102.57155553468483</v>
      </c>
      <c r="BU8" s="85">
        <f t="shared" ca="1" si="1"/>
        <v>104.32111603072555</v>
      </c>
      <c r="BV8" s="85">
        <f t="shared" ca="1" si="1"/>
        <v>101.22193442545405</v>
      </c>
      <c r="BW8" s="85">
        <f t="shared" ca="1" si="1"/>
        <v>104.60325142046366</v>
      </c>
      <c r="BX8" s="85">
        <f t="shared" ca="1" si="1"/>
        <v>103.47393182860431</v>
      </c>
      <c r="BY8" s="85">
        <f t="shared" ca="1" si="1"/>
        <v>104.63150572272501</v>
      </c>
      <c r="BZ8" s="85">
        <f t="shared" ca="1" si="1"/>
        <v>103.59706694215748</v>
      </c>
      <c r="CA8" s="85">
        <f t="shared" ca="1" si="1"/>
        <v>103.34879559393129</v>
      </c>
      <c r="CB8" s="85">
        <f t="shared" ca="1" si="1"/>
        <v>104.28999476211197</v>
      </c>
      <c r="CC8" s="85">
        <f t="shared" ca="1" si="1"/>
        <v>105.25249595527352</v>
      </c>
      <c r="CD8" s="85">
        <f t="shared" ca="1" si="1"/>
        <v>105.01638961363746</v>
      </c>
      <c r="CE8" s="85">
        <f t="shared" ca="1" si="1"/>
        <v>100.84772589445156</v>
      </c>
      <c r="CF8" s="85">
        <f t="shared" ca="1" si="1"/>
        <v>104.74492766660859</v>
      </c>
      <c r="CG8" s="85">
        <f t="shared" ca="1" si="1"/>
        <v>103.45191326120474</v>
      </c>
      <c r="CH8" s="85">
        <f t="shared" ca="1" si="1"/>
        <v>107.03186220529267</v>
      </c>
      <c r="CI8" s="85">
        <f t="shared" ca="1" si="1"/>
        <v>102.39504309417222</v>
      </c>
      <c r="CJ8" s="85">
        <f t="shared" ca="1" si="1"/>
        <v>103.04010779970677</v>
      </c>
      <c r="CK8" s="85">
        <f t="shared" ca="1" si="1"/>
        <v>104.37894809239862</v>
      </c>
      <c r="CL8" s="85">
        <f t="shared" ca="1" si="1"/>
        <v>99.300952884941822</v>
      </c>
      <c r="CM8" s="85">
        <f t="shared" ca="1" si="1"/>
        <v>105.40626599369986</v>
      </c>
      <c r="CN8" s="85">
        <f t="shared" ca="1" si="1"/>
        <v>103.1322306848248</v>
      </c>
      <c r="CO8" s="85">
        <f t="shared" ca="1" si="1"/>
        <v>102.60807300237173</v>
      </c>
      <c r="CP8" s="85">
        <f t="shared" ca="1" si="1"/>
        <v>103.73653637566454</v>
      </c>
      <c r="CQ8" s="85">
        <f t="shared" ca="1" si="1"/>
        <v>101.69534617903044</v>
      </c>
      <c r="CR8" s="85">
        <f t="shared" ca="1" si="1"/>
        <v>103.09401217385147</v>
      </c>
      <c r="CS8" s="85">
        <f t="shared" ca="1" si="1"/>
        <v>101.99545421224339</v>
      </c>
      <c r="CT8" s="85">
        <f t="shared" ca="1" si="1"/>
        <v>104.08773249585673</v>
      </c>
      <c r="CU8" s="85">
        <f t="shared" ca="1" si="1"/>
        <v>103.03822021415067</v>
      </c>
      <c r="CV8" s="85">
        <f t="shared" ca="1" si="1"/>
        <v>102.4676523917789</v>
      </c>
      <c r="CW8" s="85">
        <f t="shared" ca="1" si="1"/>
        <v>105.50131615949773</v>
      </c>
    </row>
    <row r="9" spans="1:101" x14ac:dyDescent="0.2">
      <c r="A9" s="115">
        <v>6</v>
      </c>
      <c r="B9" s="85">
        <f t="shared" ca="1" si="2"/>
        <v>106.0515429293619</v>
      </c>
      <c r="C9" s="85">
        <f t="shared" ca="1" si="4"/>
        <v>105.49282648786767</v>
      </c>
      <c r="D9" s="85">
        <f t="shared" ca="1" si="5"/>
        <v>104.73447422155877</v>
      </c>
      <c r="E9" s="85">
        <f t="shared" ca="1" si="6"/>
        <v>104.3143617048419</v>
      </c>
      <c r="F9" s="85">
        <f t="shared" ca="1" si="7"/>
        <v>106.68131447194902</v>
      </c>
      <c r="G9" s="85">
        <f t="shared" ca="1" si="8"/>
        <v>102.17457219107126</v>
      </c>
      <c r="H9" s="85">
        <f t="shared" ca="1" si="9"/>
        <v>105.08020170345378</v>
      </c>
      <c r="I9" s="85">
        <f t="shared" ca="1" si="10"/>
        <v>106.47406264997397</v>
      </c>
      <c r="J9" s="85">
        <f t="shared" ca="1" si="11"/>
        <v>103.51438003742341</v>
      </c>
      <c r="K9" s="85">
        <f t="shared" ca="1" si="12"/>
        <v>101.93879145351106</v>
      </c>
      <c r="L9" s="85">
        <f t="shared" ca="1" si="13"/>
        <v>104.62046786148751</v>
      </c>
      <c r="M9" s="85">
        <f t="shared" ca="1" si="14"/>
        <v>99.697454251532506</v>
      </c>
      <c r="N9" s="85">
        <f t="shared" ca="1" si="15"/>
        <v>105.49238501363712</v>
      </c>
      <c r="O9" s="85">
        <f t="shared" ca="1" si="16"/>
        <v>106.13831895816492</v>
      </c>
      <c r="P9" s="85">
        <f t="shared" ca="1" si="17"/>
        <v>107.68621615330383</v>
      </c>
      <c r="Q9" s="85">
        <f t="shared" ca="1" si="18"/>
        <v>103.83650564834132</v>
      </c>
      <c r="R9" s="85">
        <f t="shared" ca="1" si="19"/>
        <v>103.22336705822259</v>
      </c>
      <c r="S9" s="85">
        <f t="shared" ca="1" si="20"/>
        <v>105.36797528965289</v>
      </c>
      <c r="T9" s="85">
        <f t="shared" ca="1" si="21"/>
        <v>105.21629922926395</v>
      </c>
      <c r="U9" s="85">
        <f t="shared" ca="1" si="22"/>
        <v>105.40190203900733</v>
      </c>
      <c r="V9" s="85">
        <f t="shared" ca="1" si="23"/>
        <v>105.86744752583125</v>
      </c>
      <c r="W9" s="85">
        <f t="shared" ca="1" si="24"/>
        <v>106.66121664599926</v>
      </c>
      <c r="X9" s="85">
        <f t="shared" ca="1" si="25"/>
        <v>106.5050595656305</v>
      </c>
      <c r="Y9" s="85">
        <f t="shared" ca="1" si="26"/>
        <v>103.71092658579524</v>
      </c>
      <c r="Z9" s="85">
        <f t="shared" ca="1" si="27"/>
        <v>108.13043904664205</v>
      </c>
      <c r="AA9" s="85">
        <f t="shared" ca="1" si="28"/>
        <v>102.32661030409726</v>
      </c>
      <c r="AB9" s="85">
        <f t="shared" ca="1" si="29"/>
        <v>104.57015458505026</v>
      </c>
      <c r="AC9" s="85">
        <f t="shared" ca="1" si="30"/>
        <v>102.06692996442484</v>
      </c>
      <c r="AD9" s="85">
        <f t="shared" ca="1" si="31"/>
        <v>106.04765428304269</v>
      </c>
      <c r="AE9" s="85">
        <f t="shared" ca="1" si="32"/>
        <v>107.25637543215859</v>
      </c>
      <c r="AF9" s="85">
        <f t="shared" ca="1" si="33"/>
        <v>105.60287479248714</v>
      </c>
      <c r="AG9" s="85">
        <f t="shared" ca="1" si="34"/>
        <v>104.61153547193329</v>
      </c>
      <c r="AH9" s="85">
        <f t="shared" ca="1" si="35"/>
        <v>103.28652503537171</v>
      </c>
      <c r="AI9" s="85">
        <f t="shared" ca="1" si="36"/>
        <v>102.92399675771267</v>
      </c>
      <c r="AJ9" s="85">
        <f t="shared" ca="1" si="37"/>
        <v>105.98311235233528</v>
      </c>
      <c r="AK9" s="85">
        <f t="shared" ca="1" si="38"/>
        <v>105.8762700851602</v>
      </c>
      <c r="AL9" s="85">
        <f t="shared" ca="1" si="39"/>
        <v>107.66693831851022</v>
      </c>
      <c r="AM9" s="85">
        <f t="shared" ca="1" si="40"/>
        <v>104.09815109468454</v>
      </c>
      <c r="AN9" s="85">
        <f t="shared" ca="1" si="41"/>
        <v>107.36501554496537</v>
      </c>
      <c r="AO9" s="85">
        <f t="shared" ca="1" si="42"/>
        <v>104.58536071828023</v>
      </c>
      <c r="AP9" s="85">
        <f t="shared" ca="1" si="43"/>
        <v>106.26654795467137</v>
      </c>
      <c r="AQ9" s="85">
        <f t="shared" ca="1" si="44"/>
        <v>103.73989197387979</v>
      </c>
      <c r="AR9" s="85">
        <f t="shared" ca="1" si="45"/>
        <v>105.27415322044332</v>
      </c>
      <c r="AS9" s="85">
        <f t="shared" ca="1" si="46"/>
        <v>106.10949744900434</v>
      </c>
      <c r="AT9" s="85">
        <f t="shared" ca="1" si="47"/>
        <v>103.94526712349438</v>
      </c>
      <c r="AU9" s="85">
        <f t="shared" ca="1" si="48"/>
        <v>106.02491121543055</v>
      </c>
      <c r="AV9" s="85">
        <f t="shared" ca="1" si="49"/>
        <v>104.54442752321791</v>
      </c>
      <c r="AW9" s="85">
        <f t="shared" ca="1" si="50"/>
        <v>107.00840206394473</v>
      </c>
      <c r="AX9" s="85">
        <f t="shared" ca="1" si="51"/>
        <v>107.1999242198327</v>
      </c>
      <c r="AY9" s="85">
        <f t="shared" ca="1" si="52"/>
        <v>106.74608983759813</v>
      </c>
      <c r="AZ9" s="85">
        <f t="shared" ca="1" si="53"/>
        <v>104.49415395889751</v>
      </c>
      <c r="BA9" s="85">
        <f t="shared" ca="1" si="54"/>
        <v>104.01847531488151</v>
      </c>
      <c r="BB9" s="85">
        <f t="shared" ca="1" si="55"/>
        <v>103.09628967874588</v>
      </c>
      <c r="BC9" s="85">
        <f t="shared" ca="1" si="56"/>
        <v>102.37327398194951</v>
      </c>
      <c r="BD9" s="85">
        <f t="shared" ca="1" si="57"/>
        <v>105.48935825674836</v>
      </c>
      <c r="BE9" s="85">
        <f t="shared" ca="1" si="58"/>
        <v>103.1597830194094</v>
      </c>
      <c r="BF9" s="85">
        <f t="shared" ca="1" si="59"/>
        <v>108.03383324271333</v>
      </c>
      <c r="BG9" s="85">
        <f t="shared" ca="1" si="60"/>
        <v>103.59707259317548</v>
      </c>
      <c r="BH9" s="85">
        <f t="shared" ca="1" si="61"/>
        <v>105.27893154000716</v>
      </c>
      <c r="BI9" s="85">
        <f t="shared" ca="1" si="62"/>
        <v>104.98057953829974</v>
      </c>
      <c r="BJ9" s="85">
        <f t="shared" ca="1" si="63"/>
        <v>105.58264562071949</v>
      </c>
      <c r="BK9" s="85">
        <f t="shared" ca="1" si="64"/>
        <v>104.02706726910723</v>
      </c>
      <c r="BL9" s="85">
        <f t="shared" ca="1" si="65"/>
        <v>102.98998641874429</v>
      </c>
      <c r="BM9" s="85">
        <f t="shared" ca="1" si="66"/>
        <v>102.88314142484113</v>
      </c>
      <c r="BN9" s="85">
        <f t="shared" ca="1" si="3"/>
        <v>101.29938133980667</v>
      </c>
      <c r="BO9" s="85">
        <f t="shared" ca="1" si="1"/>
        <v>102.27087984911702</v>
      </c>
      <c r="BP9" s="85">
        <f t="shared" ca="1" si="1"/>
        <v>104.48340341567746</v>
      </c>
      <c r="BQ9" s="85">
        <f t="shared" ca="1" si="1"/>
        <v>101.40147949003648</v>
      </c>
      <c r="BR9" s="85">
        <f t="shared" ca="1" si="1"/>
        <v>104.7184995640082</v>
      </c>
      <c r="BS9" s="85">
        <f t="shared" ca="1" si="1"/>
        <v>102.67628821087872</v>
      </c>
      <c r="BT9" s="85">
        <f t="shared" ca="1" si="1"/>
        <v>102.60579080868031</v>
      </c>
      <c r="BU9" s="85">
        <f t="shared" ca="1" si="1"/>
        <v>105.78271644631771</v>
      </c>
      <c r="BV9" s="85">
        <f t="shared" ca="1" si="1"/>
        <v>102.69723468605022</v>
      </c>
      <c r="BW9" s="85">
        <f t="shared" ca="1" si="1"/>
        <v>106.4579536391022</v>
      </c>
      <c r="BX9" s="85">
        <f t="shared" ca="1" si="1"/>
        <v>104.59047057413021</v>
      </c>
      <c r="BY9" s="85">
        <f t="shared" ca="1" si="1"/>
        <v>106.77289645403124</v>
      </c>
      <c r="BZ9" s="85">
        <f t="shared" ca="1" si="1"/>
        <v>104.76281873714348</v>
      </c>
      <c r="CA9" s="85">
        <f t="shared" ca="1" si="1"/>
        <v>106.04271869447327</v>
      </c>
      <c r="CB9" s="85">
        <f t="shared" ca="1" si="1"/>
        <v>104.43935644702481</v>
      </c>
      <c r="CC9" s="85">
        <f t="shared" ca="1" si="1"/>
        <v>105.69179921709585</v>
      </c>
      <c r="CD9" s="85">
        <f t="shared" ca="1" si="1"/>
        <v>107.6573850770599</v>
      </c>
      <c r="CE9" s="85">
        <f t="shared" ca="1" si="1"/>
        <v>101.83055609385103</v>
      </c>
      <c r="CF9" s="85">
        <f t="shared" ca="1" si="1"/>
        <v>106.35918268841874</v>
      </c>
      <c r="CG9" s="85">
        <f t="shared" ca="1" si="1"/>
        <v>106.11625275907326</v>
      </c>
      <c r="CH9" s="85">
        <f t="shared" ca="1" si="1"/>
        <v>108.61450145351547</v>
      </c>
      <c r="CI9" s="85">
        <f t="shared" ca="1" si="1"/>
        <v>103.83525938864571</v>
      </c>
      <c r="CJ9" s="85">
        <f t="shared" ca="1" si="1"/>
        <v>105.17147098820681</v>
      </c>
      <c r="CK9" s="85">
        <f t="shared" ca="1" si="1"/>
        <v>104.77322335217917</v>
      </c>
      <c r="CL9" s="85">
        <f t="shared" ca="1" si="1"/>
        <v>100.51643025671558</v>
      </c>
      <c r="CM9" s="85">
        <f t="shared" ca="1" si="1"/>
        <v>106.10303628878869</v>
      </c>
      <c r="CN9" s="85">
        <f t="shared" ca="1" si="1"/>
        <v>103.56058220780618</v>
      </c>
      <c r="CO9" s="85">
        <f t="shared" ca="1" si="1"/>
        <v>104.86068398592771</v>
      </c>
      <c r="CP9" s="85">
        <f t="shared" ca="1" si="1"/>
        <v>105.90231610164618</v>
      </c>
      <c r="CQ9" s="85">
        <f t="shared" ca="1" si="1"/>
        <v>104.36998049937232</v>
      </c>
      <c r="CR9" s="85">
        <f t="shared" ca="1" si="1"/>
        <v>104.25885614631947</v>
      </c>
      <c r="CS9" s="85">
        <f t="shared" ca="1" si="1"/>
        <v>104.77740264223185</v>
      </c>
      <c r="CT9" s="85">
        <f t="shared" ca="1" si="1"/>
        <v>105.39032558109039</v>
      </c>
      <c r="CU9" s="85">
        <f t="shared" ca="1" si="1"/>
        <v>104.2650471988018</v>
      </c>
      <c r="CV9" s="85">
        <f t="shared" ca="1" si="1"/>
        <v>103.67926853530935</v>
      </c>
      <c r="CW9" s="85">
        <f t="shared" ca="1" si="1"/>
        <v>106.0809863268851</v>
      </c>
    </row>
    <row r="10" spans="1:101" x14ac:dyDescent="0.2">
      <c r="A10" s="115">
        <v>7</v>
      </c>
      <c r="B10" s="85">
        <f t="shared" ca="1" si="2"/>
        <v>107.31652399368977</v>
      </c>
      <c r="C10" s="85">
        <f t="shared" ca="1" si="4"/>
        <v>106.71132123061744</v>
      </c>
      <c r="D10" s="85">
        <f t="shared" ca="1" si="5"/>
        <v>105.88389149873261</v>
      </c>
      <c r="E10" s="85">
        <f t="shared" ca="1" si="6"/>
        <v>104.64428454407432</v>
      </c>
      <c r="F10" s="85">
        <f t="shared" ca="1" si="7"/>
        <v>107.00339684777211</v>
      </c>
      <c r="G10" s="85">
        <f t="shared" ca="1" si="8"/>
        <v>103.73514454311791</v>
      </c>
      <c r="H10" s="85">
        <f t="shared" ca="1" si="9"/>
        <v>107.14141266241003</v>
      </c>
      <c r="I10" s="85">
        <f t="shared" ca="1" si="10"/>
        <v>108.38127336557918</v>
      </c>
      <c r="J10" s="85">
        <f t="shared" ca="1" si="11"/>
        <v>105.36501501138726</v>
      </c>
      <c r="K10" s="85">
        <f t="shared" ca="1" si="12"/>
        <v>102.78260082745926</v>
      </c>
      <c r="L10" s="85">
        <f t="shared" ca="1" si="13"/>
        <v>105.78379593774689</v>
      </c>
      <c r="M10" s="85">
        <f t="shared" ca="1" si="14"/>
        <v>100.9154046018667</v>
      </c>
      <c r="N10" s="85">
        <f t="shared" ca="1" si="15"/>
        <v>106.54384130204092</v>
      </c>
      <c r="O10" s="85">
        <f t="shared" ca="1" si="16"/>
        <v>107.57891422129208</v>
      </c>
      <c r="P10" s="85">
        <f t="shared" ca="1" si="17"/>
        <v>108.41220383053509</v>
      </c>
      <c r="Q10" s="85">
        <f t="shared" ca="1" si="18"/>
        <v>104.32964825435661</v>
      </c>
      <c r="R10" s="85">
        <f t="shared" ca="1" si="19"/>
        <v>103.80346500729335</v>
      </c>
      <c r="S10" s="85">
        <f t="shared" ca="1" si="20"/>
        <v>107.65700922270305</v>
      </c>
      <c r="T10" s="85">
        <f t="shared" ca="1" si="21"/>
        <v>106.32518635669318</v>
      </c>
      <c r="U10" s="85">
        <f t="shared" ca="1" si="22"/>
        <v>106.64001683585144</v>
      </c>
      <c r="V10" s="85">
        <f t="shared" ca="1" si="23"/>
        <v>106.31416492419429</v>
      </c>
      <c r="W10" s="85">
        <f t="shared" ca="1" si="24"/>
        <v>106.97295735330435</v>
      </c>
      <c r="X10" s="85">
        <f t="shared" ca="1" si="25"/>
        <v>108.14497933509226</v>
      </c>
      <c r="Y10" s="85">
        <f t="shared" ca="1" si="26"/>
        <v>104.81140654980808</v>
      </c>
      <c r="Z10" s="85">
        <f t="shared" ca="1" si="27"/>
        <v>110.27131261167352</v>
      </c>
      <c r="AA10" s="85">
        <f t="shared" ca="1" si="28"/>
        <v>102.73831344541391</v>
      </c>
      <c r="AB10" s="85">
        <f t="shared" ca="1" si="29"/>
        <v>105.96901918936288</v>
      </c>
      <c r="AC10" s="85">
        <f t="shared" ca="1" si="30"/>
        <v>104.15637795600674</v>
      </c>
      <c r="AD10" s="85">
        <f t="shared" ca="1" si="31"/>
        <v>107.82996305578259</v>
      </c>
      <c r="AE10" s="85">
        <f t="shared" ca="1" si="32"/>
        <v>109.20702301274892</v>
      </c>
      <c r="AF10" s="85">
        <f t="shared" ca="1" si="33"/>
        <v>106.45299777520518</v>
      </c>
      <c r="AG10" s="85">
        <f t="shared" ca="1" si="34"/>
        <v>105.72428891963222</v>
      </c>
      <c r="AH10" s="85">
        <f t="shared" ca="1" si="35"/>
        <v>104.37024322457005</v>
      </c>
      <c r="AI10" s="85">
        <f t="shared" ca="1" si="36"/>
        <v>103.84586625558143</v>
      </c>
      <c r="AJ10" s="85">
        <f t="shared" ca="1" si="37"/>
        <v>105.97965630307304</v>
      </c>
      <c r="AK10" s="85">
        <f t="shared" ca="1" si="38"/>
        <v>107.51935029020342</v>
      </c>
      <c r="AL10" s="85">
        <f t="shared" ca="1" si="39"/>
        <v>109.22274111114464</v>
      </c>
      <c r="AM10" s="85">
        <f t="shared" ca="1" si="40"/>
        <v>105.18886495205643</v>
      </c>
      <c r="AN10" s="85">
        <f t="shared" ca="1" si="41"/>
        <v>108.49115031221609</v>
      </c>
      <c r="AO10" s="85">
        <f t="shared" ca="1" si="42"/>
        <v>105.97752506103011</v>
      </c>
      <c r="AP10" s="85">
        <f t="shared" ca="1" si="43"/>
        <v>109.152420518143</v>
      </c>
      <c r="AQ10" s="85">
        <f t="shared" ca="1" si="44"/>
        <v>106.33749194924071</v>
      </c>
      <c r="AR10" s="85">
        <f t="shared" ca="1" si="45"/>
        <v>107.7666045823608</v>
      </c>
      <c r="AS10" s="85">
        <f t="shared" ca="1" si="46"/>
        <v>106.92104008811995</v>
      </c>
      <c r="AT10" s="85">
        <f t="shared" ca="1" si="47"/>
        <v>106.73073658143127</v>
      </c>
      <c r="AU10" s="85">
        <f t="shared" ca="1" si="48"/>
        <v>106.962122751512</v>
      </c>
      <c r="AV10" s="85">
        <f t="shared" ca="1" si="49"/>
        <v>106.05363319224094</v>
      </c>
      <c r="AW10" s="85">
        <f t="shared" ca="1" si="50"/>
        <v>107.83234813404108</v>
      </c>
      <c r="AX10" s="85">
        <f t="shared" ca="1" si="51"/>
        <v>109.97921043839106</v>
      </c>
      <c r="AY10" s="85">
        <f t="shared" ca="1" si="52"/>
        <v>109.58356744548882</v>
      </c>
      <c r="AZ10" s="85">
        <f t="shared" ca="1" si="53"/>
        <v>106.44310297987798</v>
      </c>
      <c r="BA10" s="85">
        <f t="shared" ca="1" si="54"/>
        <v>104.24300711795925</v>
      </c>
      <c r="BB10" s="85">
        <f t="shared" ca="1" si="55"/>
        <v>104.44456027194444</v>
      </c>
      <c r="BC10" s="85">
        <f t="shared" ca="1" si="56"/>
        <v>103.51139858068571</v>
      </c>
      <c r="BD10" s="85">
        <f t="shared" ca="1" si="57"/>
        <v>107.07916703835097</v>
      </c>
      <c r="BE10" s="85">
        <f t="shared" ca="1" si="58"/>
        <v>104.6699759416019</v>
      </c>
      <c r="BF10" s="85">
        <f t="shared" ca="1" si="59"/>
        <v>108.67584235283989</v>
      </c>
      <c r="BG10" s="85">
        <f t="shared" ca="1" si="60"/>
        <v>105.11660952092815</v>
      </c>
      <c r="BH10" s="85">
        <f t="shared" ca="1" si="61"/>
        <v>105.59986875151863</v>
      </c>
      <c r="BI10" s="85">
        <f t="shared" ca="1" si="62"/>
        <v>106.23965615389615</v>
      </c>
      <c r="BJ10" s="85">
        <f t="shared" ca="1" si="63"/>
        <v>106.630621658271</v>
      </c>
      <c r="BK10" s="85">
        <f t="shared" ca="1" si="64"/>
        <v>104.25593271827638</v>
      </c>
      <c r="BL10" s="85">
        <f t="shared" ca="1" si="65"/>
        <v>104.14106696608145</v>
      </c>
      <c r="BM10" s="85">
        <f t="shared" ca="1" si="66"/>
        <v>104.92617420950339</v>
      </c>
      <c r="BN10" s="85">
        <f t="shared" ca="1" si="3"/>
        <v>103.17860131402514</v>
      </c>
      <c r="BO10" s="85">
        <f t="shared" ca="1" si="1"/>
        <v>105.91175749596755</v>
      </c>
      <c r="BP10" s="85">
        <f t="shared" ca="1" si="1"/>
        <v>105.43500974200258</v>
      </c>
      <c r="BQ10" s="85">
        <f t="shared" ca="1" si="1"/>
        <v>102.65184449892737</v>
      </c>
      <c r="BR10" s="85">
        <f t="shared" ca="1" si="1"/>
        <v>105.13461900688424</v>
      </c>
      <c r="BS10" s="85">
        <f t="shared" ca="1" si="1"/>
        <v>103.60286069343594</v>
      </c>
      <c r="BT10" s="85">
        <f t="shared" ca="1" si="1"/>
        <v>102.59812270425186</v>
      </c>
      <c r="BU10" s="85">
        <f t="shared" ca="1" si="1"/>
        <v>107.21077880386478</v>
      </c>
      <c r="BV10" s="85">
        <f t="shared" ca="1" si="1"/>
        <v>104.30515357725558</v>
      </c>
      <c r="BW10" s="85">
        <f t="shared" ca="1" si="1"/>
        <v>108.66056251144215</v>
      </c>
      <c r="BX10" s="85">
        <f t="shared" ca="1" si="1"/>
        <v>106.63671300474735</v>
      </c>
      <c r="BY10" s="85">
        <f t="shared" ca="1" si="1"/>
        <v>106.75693560952432</v>
      </c>
      <c r="BZ10" s="85">
        <f t="shared" ca="1" si="1"/>
        <v>106.52211251692442</v>
      </c>
      <c r="CA10" s="85">
        <f t="shared" ca="1" si="1"/>
        <v>107.59730147359429</v>
      </c>
      <c r="CB10" s="85">
        <f t="shared" ca="1" si="1"/>
        <v>105.76962375917255</v>
      </c>
      <c r="CC10" s="85">
        <f t="shared" ca="1" si="1"/>
        <v>106.93167934232756</v>
      </c>
      <c r="CD10" s="85">
        <f t="shared" ca="1" si="1"/>
        <v>107.68185591629293</v>
      </c>
      <c r="CE10" s="85">
        <f t="shared" ca="1" si="1"/>
        <v>102.79546700395329</v>
      </c>
      <c r="CF10" s="85">
        <f t="shared" ca="1" si="1"/>
        <v>107.2449418840957</v>
      </c>
      <c r="CG10" s="85">
        <f t="shared" ca="1" si="1"/>
        <v>106.99401587824897</v>
      </c>
      <c r="CH10" s="85">
        <f t="shared" ca="1" si="1"/>
        <v>110.45544687957126</v>
      </c>
      <c r="CI10" s="85">
        <f t="shared" ca="1" si="1"/>
        <v>106.80460070501412</v>
      </c>
      <c r="CJ10" s="85">
        <f t="shared" ca="1" si="1"/>
        <v>106.30276158343995</v>
      </c>
      <c r="CK10" s="85">
        <f t="shared" ca="1" si="1"/>
        <v>105.590460790704</v>
      </c>
      <c r="CL10" s="85">
        <f t="shared" ca="1" si="1"/>
        <v>102.01098790443115</v>
      </c>
      <c r="CM10" s="85">
        <f t="shared" ca="1" si="1"/>
        <v>107.77883610906484</v>
      </c>
      <c r="CN10" s="85">
        <f t="shared" ca="1" si="1"/>
        <v>103.94113286067235</v>
      </c>
      <c r="CO10" s="85">
        <f t="shared" ca="1" si="1"/>
        <v>107.05091887045593</v>
      </c>
      <c r="CP10" s="85">
        <f t="shared" ca="1" si="1"/>
        <v>108.12679509878986</v>
      </c>
      <c r="CQ10" s="85">
        <f t="shared" ca="1" si="1"/>
        <v>105.72526605264436</v>
      </c>
      <c r="CR10" s="85">
        <f t="shared" ca="1" si="1"/>
        <v>105.70721091116091</v>
      </c>
      <c r="CS10" s="85">
        <f t="shared" ca="1" si="1"/>
        <v>105.70236276380591</v>
      </c>
      <c r="CT10" s="85">
        <f t="shared" ca="1" si="1"/>
        <v>106.84030425184146</v>
      </c>
      <c r="CU10" s="85">
        <f t="shared" ca="1" si="1"/>
        <v>106.63693771865377</v>
      </c>
      <c r="CV10" s="85">
        <f t="shared" ca="1" si="1"/>
        <v>105.7451728401951</v>
      </c>
      <c r="CW10" s="85">
        <f t="shared" ca="1" si="1"/>
        <v>107.9042210574724</v>
      </c>
    </row>
    <row r="11" spans="1:101" x14ac:dyDescent="0.2">
      <c r="A11" s="115">
        <v>8</v>
      </c>
      <c r="B11" s="85">
        <f t="shared" ca="1" si="2"/>
        <v>107.56982977028541</v>
      </c>
      <c r="C11" s="85">
        <f t="shared" ca="1" si="4"/>
        <v>108.6053528038623</v>
      </c>
      <c r="D11" s="85">
        <f t="shared" ca="1" si="5"/>
        <v>106.65326963825447</v>
      </c>
      <c r="E11" s="85">
        <f t="shared" ca="1" si="6"/>
        <v>106.2026008795771</v>
      </c>
      <c r="F11" s="85">
        <f t="shared" ca="1" si="7"/>
        <v>107.31048777638202</v>
      </c>
      <c r="G11" s="85">
        <f t="shared" ca="1" si="8"/>
        <v>104.38325618841863</v>
      </c>
      <c r="H11" s="85">
        <f t="shared" ca="1" si="9"/>
        <v>108.43504637224022</v>
      </c>
      <c r="I11" s="85">
        <f t="shared" ca="1" si="10"/>
        <v>109.34577332551055</v>
      </c>
      <c r="J11" s="85">
        <f t="shared" ca="1" si="11"/>
        <v>106.63493266865889</v>
      </c>
      <c r="K11" s="85">
        <f t="shared" ca="1" si="12"/>
        <v>103.87507874420862</v>
      </c>
      <c r="L11" s="85">
        <f t="shared" ca="1" si="13"/>
        <v>107.60775395860405</v>
      </c>
      <c r="M11" s="85">
        <f t="shared" ca="1" si="14"/>
        <v>101.18343429413179</v>
      </c>
      <c r="N11" s="85">
        <f t="shared" ca="1" si="15"/>
        <v>109.15362997831231</v>
      </c>
      <c r="O11" s="85">
        <f t="shared" ca="1" si="16"/>
        <v>108.82072028766359</v>
      </c>
      <c r="P11" s="85">
        <f t="shared" ca="1" si="17"/>
        <v>109.24968544323784</v>
      </c>
      <c r="Q11" s="85">
        <f t="shared" ca="1" si="18"/>
        <v>106.68871107843846</v>
      </c>
      <c r="R11" s="85">
        <f t="shared" ca="1" si="19"/>
        <v>104.66701863260042</v>
      </c>
      <c r="S11" s="85">
        <f t="shared" ca="1" si="20"/>
        <v>108.39693644713073</v>
      </c>
      <c r="T11" s="85">
        <f t="shared" ca="1" si="21"/>
        <v>107.11287572687937</v>
      </c>
      <c r="U11" s="85">
        <f t="shared" ca="1" si="22"/>
        <v>107.21191184849593</v>
      </c>
      <c r="V11" s="85">
        <f t="shared" ca="1" si="23"/>
        <v>107.18367056472941</v>
      </c>
      <c r="W11" s="85">
        <f t="shared" ca="1" si="24"/>
        <v>107.88920594128959</v>
      </c>
      <c r="X11" s="85">
        <f t="shared" ca="1" si="25"/>
        <v>108.54101452943644</v>
      </c>
      <c r="Y11" s="85">
        <f t="shared" ca="1" si="26"/>
        <v>105.74849152559794</v>
      </c>
      <c r="Z11" s="85">
        <f t="shared" ca="1" si="27"/>
        <v>111.39854582023105</v>
      </c>
      <c r="AA11" s="85">
        <f t="shared" ca="1" si="28"/>
        <v>103.64448987789891</v>
      </c>
      <c r="AB11" s="85">
        <f t="shared" ca="1" si="29"/>
        <v>106.46936891398758</v>
      </c>
      <c r="AC11" s="85">
        <f t="shared" ca="1" si="30"/>
        <v>106.06853146885325</v>
      </c>
      <c r="AD11" s="85">
        <f t="shared" ca="1" si="31"/>
        <v>110.48469312373672</v>
      </c>
      <c r="AE11" s="85">
        <f t="shared" ca="1" si="32"/>
        <v>111.2808240450629</v>
      </c>
      <c r="AF11" s="85">
        <f t="shared" ca="1" si="33"/>
        <v>107.05984433903846</v>
      </c>
      <c r="AG11" s="85">
        <f t="shared" ca="1" si="34"/>
        <v>107.71353517253928</v>
      </c>
      <c r="AH11" s="85">
        <f t="shared" ca="1" si="35"/>
        <v>106.2567771350362</v>
      </c>
      <c r="AI11" s="85">
        <f t="shared" ca="1" si="36"/>
        <v>104.93051269470371</v>
      </c>
      <c r="AJ11" s="85">
        <f t="shared" ca="1" si="37"/>
        <v>107.98728746292088</v>
      </c>
      <c r="AK11" s="85">
        <f t="shared" ca="1" si="38"/>
        <v>109.60513118985966</v>
      </c>
      <c r="AL11" s="85">
        <f t="shared" ca="1" si="39"/>
        <v>111.44452423506044</v>
      </c>
      <c r="AM11" s="85">
        <f t="shared" ca="1" si="40"/>
        <v>106.76079204827404</v>
      </c>
      <c r="AN11" s="85">
        <f t="shared" ca="1" si="41"/>
        <v>109.6201410790049</v>
      </c>
      <c r="AO11" s="85">
        <f t="shared" ca="1" si="42"/>
        <v>107.73697531866299</v>
      </c>
      <c r="AP11" s="85">
        <f t="shared" ca="1" si="43"/>
        <v>111.52514181233845</v>
      </c>
      <c r="AQ11" s="85">
        <f t="shared" ca="1" si="44"/>
        <v>109.3048982623892</v>
      </c>
      <c r="AR11" s="85">
        <f t="shared" ca="1" si="45"/>
        <v>109.87525326207113</v>
      </c>
      <c r="AS11" s="85">
        <f t="shared" ca="1" si="46"/>
        <v>109.27711260354228</v>
      </c>
      <c r="AT11" s="85">
        <f t="shared" ca="1" si="47"/>
        <v>106.53559094629055</v>
      </c>
      <c r="AU11" s="85">
        <f t="shared" ca="1" si="48"/>
        <v>108.05390447428796</v>
      </c>
      <c r="AV11" s="85">
        <f t="shared" ca="1" si="49"/>
        <v>108.84907474384113</v>
      </c>
      <c r="AW11" s="85">
        <f t="shared" ca="1" si="50"/>
        <v>110.32934981796231</v>
      </c>
      <c r="AX11" s="85">
        <f t="shared" ca="1" si="51"/>
        <v>111.57668597422867</v>
      </c>
      <c r="AY11" s="85">
        <f t="shared" ca="1" si="52"/>
        <v>111.05580952706742</v>
      </c>
      <c r="AZ11" s="85">
        <f t="shared" ca="1" si="53"/>
        <v>107.612902628981</v>
      </c>
      <c r="BA11" s="85">
        <f t="shared" ca="1" si="54"/>
        <v>106.25449023828035</v>
      </c>
      <c r="BB11" s="85">
        <f t="shared" ca="1" si="55"/>
        <v>105.6300139383078</v>
      </c>
      <c r="BC11" s="85">
        <f t="shared" ca="1" si="56"/>
        <v>104.91195456578501</v>
      </c>
      <c r="BD11" s="85">
        <f t="shared" ca="1" si="57"/>
        <v>108.38118996836251</v>
      </c>
      <c r="BE11" s="85">
        <f t="shared" ca="1" si="58"/>
        <v>106.27764501922368</v>
      </c>
      <c r="BF11" s="85">
        <f t="shared" ca="1" si="59"/>
        <v>111.29074177127647</v>
      </c>
      <c r="BG11" s="85">
        <f t="shared" ca="1" si="60"/>
        <v>106.21808638889023</v>
      </c>
      <c r="BH11" s="85">
        <f t="shared" ca="1" si="61"/>
        <v>105.90234276316926</v>
      </c>
      <c r="BI11" s="85">
        <f t="shared" ca="1" si="62"/>
        <v>108.02519152157973</v>
      </c>
      <c r="BJ11" s="85">
        <f t="shared" ca="1" si="63"/>
        <v>107.96788725587321</v>
      </c>
      <c r="BK11" s="85">
        <f t="shared" ca="1" si="64"/>
        <v>105.91734873628252</v>
      </c>
      <c r="BL11" s="85">
        <f t="shared" ca="1" si="65"/>
        <v>106.11663448953976</v>
      </c>
      <c r="BM11" s="85">
        <f t="shared" ca="1" si="66"/>
        <v>105.40053342815382</v>
      </c>
      <c r="BN11" s="85">
        <f t="shared" ca="1" si="3"/>
        <v>104.70872855987405</v>
      </c>
      <c r="BO11" s="85">
        <f t="shared" ca="1" si="1"/>
        <v>107.27835341823284</v>
      </c>
      <c r="BP11" s="85">
        <f t="shared" ca="1" si="1"/>
        <v>106.7279907408217</v>
      </c>
      <c r="BQ11" s="85">
        <f t="shared" ca="1" si="1"/>
        <v>104.08784175807666</v>
      </c>
      <c r="BR11" s="85">
        <f t="shared" ca="1" si="1"/>
        <v>106.05723537256216</v>
      </c>
      <c r="BS11" s="85">
        <f t="shared" ca="1" si="1"/>
        <v>105.20455393978999</v>
      </c>
      <c r="BT11" s="85">
        <f t="shared" ca="1" si="1"/>
        <v>102.73060375047707</v>
      </c>
      <c r="BU11" s="85">
        <f t="shared" ca="1" si="1"/>
        <v>109.58607066330039</v>
      </c>
      <c r="BV11" s="85">
        <f t="shared" ca="1" si="1"/>
        <v>105.03406317725442</v>
      </c>
      <c r="BW11" s="85">
        <f t="shared" ca="1" si="1"/>
        <v>109.34183383176051</v>
      </c>
      <c r="BX11" s="85">
        <f t="shared" ca="1" si="1"/>
        <v>107.66426318099327</v>
      </c>
      <c r="BY11" s="85">
        <f t="shared" ref="BY11:BY74" ca="1" si="67">BY10*EXP(($C$259-0.5*$C$260^2)+$C$260*_xlfn.NORM.INV(RAND(),0,1))</f>
        <v>108.58594186320443</v>
      </c>
      <c r="BZ11" s="85">
        <f t="shared" ref="BZ11:BZ74" ca="1" si="68">BZ10*EXP(($C$259-0.5*$C$260^2)+$C$260*_xlfn.NORM.INV(RAND(),0,1))</f>
        <v>108.84799807152463</v>
      </c>
      <c r="CA11" s="85">
        <f t="shared" ref="CA11:CA74" ca="1" si="69">CA10*EXP(($C$259-0.5*$C$260^2)+$C$260*_xlfn.NORM.INV(RAND(),0,1))</f>
        <v>107.90833172919291</v>
      </c>
      <c r="CB11" s="85">
        <f t="shared" ref="CB11:CB74" ca="1" si="70">CB10*EXP(($C$259-0.5*$C$260^2)+$C$260*_xlfn.NORM.INV(RAND(),0,1))</f>
        <v>107.09124621829064</v>
      </c>
      <c r="CC11" s="85">
        <f t="shared" ref="CC11:CC74" ca="1" si="71">CC10*EXP(($C$259-0.5*$C$260^2)+$C$260*_xlfn.NORM.INV(RAND(),0,1))</f>
        <v>108.41859060824258</v>
      </c>
      <c r="CD11" s="85">
        <f t="shared" ref="CD11:CD74" ca="1" si="72">CD10*EXP(($C$259-0.5*$C$260^2)+$C$260*_xlfn.NORM.INV(RAND(),0,1))</f>
        <v>109.44377525013921</v>
      </c>
      <c r="CE11" s="85">
        <f t="shared" ref="CE11:CE74" ca="1" si="73">CE10*EXP(($C$259-0.5*$C$260^2)+$C$260*_xlfn.NORM.INV(RAND(),0,1))</f>
        <v>104.51326802687691</v>
      </c>
      <c r="CF11" s="85">
        <f t="shared" ref="CF11:CF74" ca="1" si="74">CF10*EXP(($C$259-0.5*$C$260^2)+$C$260*_xlfn.NORM.INV(RAND(),0,1))</f>
        <v>108.49893702184322</v>
      </c>
      <c r="CG11" s="85">
        <f t="shared" ref="CG11:CG74" ca="1" si="75">CG10*EXP(($C$259-0.5*$C$260^2)+$C$260*_xlfn.NORM.INV(RAND(),0,1))</f>
        <v>106.74525033758742</v>
      </c>
      <c r="CH11" s="85">
        <f t="shared" ref="CH11:CH74" ca="1" si="76">CH10*EXP(($C$259-0.5*$C$260^2)+$C$260*_xlfn.NORM.INV(RAND(),0,1))</f>
        <v>111.23101252718016</v>
      </c>
      <c r="CI11" s="85">
        <f t="shared" ref="CI11:CI74" ca="1" si="77">CI10*EXP(($C$259-0.5*$C$260^2)+$C$260*_xlfn.NORM.INV(RAND(),0,1))</f>
        <v>108.75004110309439</v>
      </c>
      <c r="CJ11" s="85">
        <f t="shared" ref="CJ11:CJ74" ca="1" si="78">CJ10*EXP(($C$259-0.5*$C$260^2)+$C$260*_xlfn.NORM.INV(RAND(),0,1))</f>
        <v>107.97785251440671</v>
      </c>
      <c r="CK11" s="85">
        <f t="shared" ref="CK11:CK74" ca="1" si="79">CK10*EXP(($C$259-0.5*$C$260^2)+$C$260*_xlfn.NORM.INV(RAND(),0,1))</f>
        <v>107.42237029442528</v>
      </c>
      <c r="CL11" s="85">
        <f t="shared" ref="CL11:CL74" ca="1" si="80">CL10*EXP(($C$259-0.5*$C$260^2)+$C$260*_xlfn.NORM.INV(RAND(),0,1))</f>
        <v>103.07417096489988</v>
      </c>
      <c r="CM11" s="85">
        <f t="shared" ref="CM11:CM74" ca="1" si="81">CM10*EXP(($C$259-0.5*$C$260^2)+$C$260*_xlfn.NORM.INV(RAND(),0,1))</f>
        <v>108.62355493894749</v>
      </c>
      <c r="CN11" s="85">
        <f t="shared" ref="CN11:CN74" ca="1" si="82">CN10*EXP(($C$259-0.5*$C$260^2)+$C$260*_xlfn.NORM.INV(RAND(),0,1))</f>
        <v>104.14568754927905</v>
      </c>
      <c r="CO11" s="85">
        <f t="shared" ref="CO11:CO74" ca="1" si="83">CO10*EXP(($C$259-0.5*$C$260^2)+$C$260*_xlfn.NORM.INV(RAND(),0,1))</f>
        <v>108.91564493993195</v>
      </c>
      <c r="CP11" s="85">
        <f t="shared" ref="CP11:CP74" ca="1" si="84">CP10*EXP(($C$259-0.5*$C$260^2)+$C$260*_xlfn.NORM.INV(RAND(),0,1))</f>
        <v>107.752498477825</v>
      </c>
      <c r="CQ11" s="85">
        <f t="shared" ref="CQ11:CQ74" ca="1" si="85">CQ10*EXP(($C$259-0.5*$C$260^2)+$C$260*_xlfn.NORM.INV(RAND(),0,1))</f>
        <v>106.69961069824664</v>
      </c>
      <c r="CR11" s="85">
        <f t="shared" ref="CR11:CR74" ca="1" si="86">CR10*EXP(($C$259-0.5*$C$260^2)+$C$260*_xlfn.NORM.INV(RAND(),0,1))</f>
        <v>107.65684392461304</v>
      </c>
      <c r="CS11" s="85">
        <f t="shared" ref="CS11:CS74" ca="1" si="87">CS10*EXP(($C$259-0.5*$C$260^2)+$C$260*_xlfn.NORM.INV(RAND(),0,1))</f>
        <v>107.57480865749611</v>
      </c>
      <c r="CT11" s="85">
        <f t="shared" ref="CT11:CT74" ca="1" si="88">CT10*EXP(($C$259-0.5*$C$260^2)+$C$260*_xlfn.NORM.INV(RAND(),0,1))</f>
        <v>107.86971514829762</v>
      </c>
      <c r="CU11" s="85">
        <f t="shared" ref="CU11:CU74" ca="1" si="89">CU10*EXP(($C$259-0.5*$C$260^2)+$C$260*_xlfn.NORM.INV(RAND(),0,1))</f>
        <v>108.06754310142541</v>
      </c>
      <c r="CV11" s="85">
        <f t="shared" ref="CV11:CV74" ca="1" si="90">CV10*EXP(($C$259-0.5*$C$260^2)+$C$260*_xlfn.NORM.INV(RAND(),0,1))</f>
        <v>106.94532510595113</v>
      </c>
      <c r="CW11" s="85">
        <f t="shared" ref="CW11:CW74" ca="1" si="91">CW10*EXP(($C$259-0.5*$C$260^2)+$C$260*_xlfn.NORM.INV(RAND(),0,1))</f>
        <v>109.2633203340654</v>
      </c>
    </row>
    <row r="12" spans="1:101" x14ac:dyDescent="0.2">
      <c r="A12" s="115">
        <v>9</v>
      </c>
      <c r="B12" s="85">
        <f t="shared" ca="1" si="2"/>
        <v>108.54076170565162</v>
      </c>
      <c r="C12" s="85">
        <f t="shared" ca="1" si="4"/>
        <v>110.21036998846725</v>
      </c>
      <c r="D12" s="85">
        <f t="shared" ca="1" si="5"/>
        <v>106.2035300302949</v>
      </c>
      <c r="E12" s="85">
        <f t="shared" ca="1" si="6"/>
        <v>107.53126370652716</v>
      </c>
      <c r="F12" s="85">
        <f t="shared" ca="1" si="7"/>
        <v>108.85511484029453</v>
      </c>
      <c r="G12" s="85">
        <f t="shared" ca="1" si="8"/>
        <v>105.76282040893416</v>
      </c>
      <c r="H12" s="85">
        <f t="shared" ca="1" si="9"/>
        <v>108.64061785633662</v>
      </c>
      <c r="I12" s="85">
        <f t="shared" ca="1" si="10"/>
        <v>110.29266022210558</v>
      </c>
      <c r="J12" s="85">
        <f t="shared" ca="1" si="11"/>
        <v>107.5965316302343</v>
      </c>
      <c r="K12" s="85">
        <f t="shared" ca="1" si="12"/>
        <v>103.94123173473089</v>
      </c>
      <c r="L12" s="85">
        <f t="shared" ca="1" si="13"/>
        <v>109.16227624258103</v>
      </c>
      <c r="M12" s="85">
        <f t="shared" ca="1" si="14"/>
        <v>102.37100455998896</v>
      </c>
      <c r="N12" s="85">
        <f t="shared" ca="1" si="15"/>
        <v>110.60179181369395</v>
      </c>
      <c r="O12" s="85">
        <f t="shared" ca="1" si="16"/>
        <v>110.55922033170275</v>
      </c>
      <c r="P12" s="85">
        <f t="shared" ca="1" si="17"/>
        <v>110.77099576644285</v>
      </c>
      <c r="Q12" s="85">
        <f t="shared" ca="1" si="18"/>
        <v>109.11592157815524</v>
      </c>
      <c r="R12" s="85">
        <f t="shared" ca="1" si="19"/>
        <v>106.04159543796005</v>
      </c>
      <c r="S12" s="85">
        <f t="shared" ca="1" si="20"/>
        <v>109.45207995566598</v>
      </c>
      <c r="T12" s="85">
        <f t="shared" ca="1" si="21"/>
        <v>109.06511650786101</v>
      </c>
      <c r="U12" s="85">
        <f t="shared" ca="1" si="22"/>
        <v>108.34513684649491</v>
      </c>
      <c r="V12" s="85">
        <f t="shared" ca="1" si="23"/>
        <v>107.74647328425364</v>
      </c>
      <c r="W12" s="85">
        <f t="shared" ca="1" si="24"/>
        <v>110.3290894219047</v>
      </c>
      <c r="X12" s="85">
        <f t="shared" ca="1" si="25"/>
        <v>110.08659936347333</v>
      </c>
      <c r="Y12" s="85">
        <f t="shared" ca="1" si="26"/>
        <v>107.47753110735484</v>
      </c>
      <c r="Z12" s="85">
        <f t="shared" ca="1" si="27"/>
        <v>113.57499927666453</v>
      </c>
      <c r="AA12" s="85">
        <f t="shared" ca="1" si="28"/>
        <v>104.00287735961462</v>
      </c>
      <c r="AB12" s="85">
        <f t="shared" ca="1" si="29"/>
        <v>108.64405984240383</v>
      </c>
      <c r="AC12" s="85">
        <f t="shared" ca="1" si="30"/>
        <v>108.41628656913072</v>
      </c>
      <c r="AD12" s="85">
        <f t="shared" ca="1" si="31"/>
        <v>112.38589284844304</v>
      </c>
      <c r="AE12" s="85">
        <f t="shared" ca="1" si="32"/>
        <v>112.68184374578682</v>
      </c>
      <c r="AF12" s="85">
        <f t="shared" ca="1" si="33"/>
        <v>108.67504192977245</v>
      </c>
      <c r="AG12" s="85">
        <f t="shared" ca="1" si="34"/>
        <v>109.66867784901633</v>
      </c>
      <c r="AH12" s="85">
        <f t="shared" ca="1" si="35"/>
        <v>107.9575318290363</v>
      </c>
      <c r="AI12" s="85">
        <f t="shared" ca="1" si="36"/>
        <v>107.31136828643915</v>
      </c>
      <c r="AJ12" s="85">
        <f t="shared" ca="1" si="37"/>
        <v>109.72488968103384</v>
      </c>
      <c r="AK12" s="85">
        <f t="shared" ca="1" si="38"/>
        <v>111.45600124114141</v>
      </c>
      <c r="AL12" s="85">
        <f t="shared" ca="1" si="39"/>
        <v>113.69260882474681</v>
      </c>
      <c r="AM12" s="85">
        <f t="shared" ca="1" si="40"/>
        <v>105.78348706704341</v>
      </c>
      <c r="AN12" s="85">
        <f t="shared" ca="1" si="41"/>
        <v>110.03825502487094</v>
      </c>
      <c r="AO12" s="85">
        <f t="shared" ca="1" si="42"/>
        <v>108.77439505598014</v>
      </c>
      <c r="AP12" s="85">
        <f t="shared" ca="1" si="43"/>
        <v>112.89479197049614</v>
      </c>
      <c r="AQ12" s="85">
        <f t="shared" ca="1" si="44"/>
        <v>111.12852281630187</v>
      </c>
      <c r="AR12" s="85">
        <f t="shared" ca="1" si="45"/>
        <v>110.74883897515816</v>
      </c>
      <c r="AS12" s="85">
        <f t="shared" ca="1" si="46"/>
        <v>110.11753730351909</v>
      </c>
      <c r="AT12" s="85">
        <f t="shared" ca="1" si="47"/>
        <v>108.60413714480732</v>
      </c>
      <c r="AU12" s="85">
        <f t="shared" ca="1" si="48"/>
        <v>108.98157492797557</v>
      </c>
      <c r="AV12" s="85">
        <f t="shared" ca="1" si="49"/>
        <v>111.09665111451629</v>
      </c>
      <c r="AW12" s="85">
        <f t="shared" ca="1" si="50"/>
        <v>112.10812467402943</v>
      </c>
      <c r="AX12" s="85">
        <f t="shared" ca="1" si="51"/>
        <v>112.8070216612613</v>
      </c>
      <c r="AY12" s="85">
        <f t="shared" ca="1" si="52"/>
        <v>112.18479304766055</v>
      </c>
      <c r="AZ12" s="85">
        <f t="shared" ca="1" si="53"/>
        <v>108.70738307465439</v>
      </c>
      <c r="BA12" s="85">
        <f t="shared" ca="1" si="54"/>
        <v>108.16153457991228</v>
      </c>
      <c r="BB12" s="85">
        <f t="shared" ca="1" si="55"/>
        <v>106.04848571044054</v>
      </c>
      <c r="BC12" s="85">
        <f t="shared" ca="1" si="56"/>
        <v>107.56352496204548</v>
      </c>
      <c r="BD12" s="85">
        <f t="shared" ca="1" si="57"/>
        <v>110.1114409044191</v>
      </c>
      <c r="BE12" s="85">
        <f t="shared" ca="1" si="58"/>
        <v>107.92987024604123</v>
      </c>
      <c r="BF12" s="85">
        <f t="shared" ca="1" si="59"/>
        <v>111.88629298462175</v>
      </c>
      <c r="BG12" s="85">
        <f t="shared" ca="1" si="60"/>
        <v>107.32844575196269</v>
      </c>
      <c r="BH12" s="85">
        <f t="shared" ca="1" si="61"/>
        <v>106.87843432315388</v>
      </c>
      <c r="BI12" s="85">
        <f t="shared" ca="1" si="62"/>
        <v>109.95397866594497</v>
      </c>
      <c r="BJ12" s="85">
        <f t="shared" ca="1" si="63"/>
        <v>109.38522235402972</v>
      </c>
      <c r="BK12" s="85">
        <f t="shared" ca="1" si="64"/>
        <v>105.96540929165751</v>
      </c>
      <c r="BL12" s="85">
        <f t="shared" ca="1" si="65"/>
        <v>108.39993666730503</v>
      </c>
      <c r="BM12" s="85">
        <f t="shared" ca="1" si="66"/>
        <v>106.77213008729149</v>
      </c>
      <c r="BN12" s="85">
        <f t="shared" ca="1" si="3"/>
        <v>107.04747855094321</v>
      </c>
      <c r="BO12" s="85">
        <f t="shared" ref="BO12:BO75" ca="1" si="92">BO11*EXP(($C$259-0.5*$C$260^2)+$C$260*_xlfn.NORM.INV(RAND(),0,1))</f>
        <v>107.29283218380931</v>
      </c>
      <c r="BP12" s="85">
        <f t="shared" ref="BP12:BP75" ca="1" si="93">BP11*EXP(($C$259-0.5*$C$260^2)+$C$260*_xlfn.NORM.INV(RAND(),0,1))</f>
        <v>107.77698949705142</v>
      </c>
      <c r="BQ12" s="85">
        <f t="shared" ref="BQ12:BQ75" ca="1" si="94">BQ11*EXP(($C$259-0.5*$C$260^2)+$C$260*_xlfn.NORM.INV(RAND(),0,1))</f>
        <v>105.25222507902357</v>
      </c>
      <c r="BR12" s="85">
        <f t="shared" ref="BR12:BR75" ca="1" si="95">BR11*EXP(($C$259-0.5*$C$260^2)+$C$260*_xlfn.NORM.INV(RAND(),0,1))</f>
        <v>106.9012914789889</v>
      </c>
      <c r="BS12" s="85">
        <f t="shared" ref="BS12:BS75" ca="1" si="96">BS11*EXP(($C$259-0.5*$C$260^2)+$C$260*_xlfn.NORM.INV(RAND(),0,1))</f>
        <v>107.21786219280411</v>
      </c>
      <c r="BT12" s="85">
        <f t="shared" ref="BT12:BT75" ca="1" si="97">BT11*EXP(($C$259-0.5*$C$260^2)+$C$260*_xlfn.NORM.INV(RAND(),0,1))</f>
        <v>103.88923805431092</v>
      </c>
      <c r="BU12" s="85">
        <f t="shared" ref="BU12:BU75" ca="1" si="98">BU11*EXP(($C$259-0.5*$C$260^2)+$C$260*_xlfn.NORM.INV(RAND(),0,1))</f>
        <v>111.33545691213814</v>
      </c>
      <c r="BV12" s="85">
        <f t="shared" ref="BV12:BV75" ca="1" si="99">BV11*EXP(($C$259-0.5*$C$260^2)+$C$260*_xlfn.NORM.INV(RAND(),0,1))</f>
        <v>107.19010620312605</v>
      </c>
      <c r="BW12" s="85">
        <f t="shared" ref="BW12:BW75" ca="1" si="100">BW11*EXP(($C$259-0.5*$C$260^2)+$C$260*_xlfn.NORM.INV(RAND(),0,1))</f>
        <v>112.29122582381491</v>
      </c>
      <c r="BX12" s="85">
        <f t="shared" ref="BX12:BX75" ca="1" si="101">BX11*EXP(($C$259-0.5*$C$260^2)+$C$260*_xlfn.NORM.INV(RAND(),0,1))</f>
        <v>109.53832730031148</v>
      </c>
      <c r="BY12" s="85">
        <f t="shared" ca="1" si="67"/>
        <v>110.36105478835705</v>
      </c>
      <c r="BZ12" s="85">
        <f t="shared" ca="1" si="68"/>
        <v>110.88757428804489</v>
      </c>
      <c r="CA12" s="85">
        <f t="shared" ca="1" si="69"/>
        <v>109.05854472407266</v>
      </c>
      <c r="CB12" s="85">
        <f t="shared" ca="1" si="70"/>
        <v>107.36082296320228</v>
      </c>
      <c r="CC12" s="85">
        <f t="shared" ca="1" si="71"/>
        <v>110.09630052470621</v>
      </c>
      <c r="CD12" s="85">
        <f t="shared" ca="1" si="72"/>
        <v>110.46243568565215</v>
      </c>
      <c r="CE12" s="85">
        <f t="shared" ca="1" si="73"/>
        <v>105.11674581909847</v>
      </c>
      <c r="CF12" s="85">
        <f t="shared" ca="1" si="74"/>
        <v>110.63319010193469</v>
      </c>
      <c r="CG12" s="85">
        <f t="shared" ca="1" si="75"/>
        <v>108.25175052260161</v>
      </c>
      <c r="CH12" s="85">
        <f t="shared" ca="1" si="76"/>
        <v>113.09033200696315</v>
      </c>
      <c r="CI12" s="85">
        <f t="shared" ca="1" si="77"/>
        <v>110.85101883481674</v>
      </c>
      <c r="CJ12" s="85">
        <f t="shared" ca="1" si="78"/>
        <v>110.2953811187807</v>
      </c>
      <c r="CK12" s="85">
        <f t="shared" ca="1" si="79"/>
        <v>109.17060628562336</v>
      </c>
      <c r="CL12" s="85">
        <f t="shared" ca="1" si="80"/>
        <v>105.12837247067509</v>
      </c>
      <c r="CM12" s="85">
        <f t="shared" ca="1" si="81"/>
        <v>109.81634711598451</v>
      </c>
      <c r="CN12" s="85">
        <f t="shared" ca="1" si="82"/>
        <v>106.93615314294163</v>
      </c>
      <c r="CO12" s="85">
        <f t="shared" ca="1" si="83"/>
        <v>111.11442250658548</v>
      </c>
      <c r="CP12" s="85">
        <f t="shared" ca="1" si="84"/>
        <v>110.46374941212396</v>
      </c>
      <c r="CQ12" s="85">
        <f t="shared" ca="1" si="85"/>
        <v>108.87749628473522</v>
      </c>
      <c r="CR12" s="85">
        <f t="shared" ca="1" si="86"/>
        <v>108.21596778135132</v>
      </c>
      <c r="CS12" s="85">
        <f t="shared" ca="1" si="87"/>
        <v>110.17483610143375</v>
      </c>
      <c r="CT12" s="85">
        <f t="shared" ca="1" si="88"/>
        <v>109.44766787837844</v>
      </c>
      <c r="CU12" s="85">
        <f t="shared" ca="1" si="89"/>
        <v>108.77796467744106</v>
      </c>
      <c r="CV12" s="85">
        <f t="shared" ca="1" si="90"/>
        <v>108.41841495310015</v>
      </c>
      <c r="CW12" s="85">
        <f t="shared" ca="1" si="91"/>
        <v>110.5760738175199</v>
      </c>
    </row>
    <row r="13" spans="1:101" x14ac:dyDescent="0.2">
      <c r="A13" s="115">
        <v>10</v>
      </c>
      <c r="B13" s="85">
        <f t="shared" ca="1" si="2"/>
        <v>109.25854806037755</v>
      </c>
      <c r="C13" s="85">
        <f t="shared" ca="1" si="4"/>
        <v>111.70152657475774</v>
      </c>
      <c r="D13" s="85">
        <f t="shared" ca="1" si="5"/>
        <v>105.65176436658039</v>
      </c>
      <c r="E13" s="85">
        <f t="shared" ca="1" si="6"/>
        <v>110.41239480991456</v>
      </c>
      <c r="F13" s="85">
        <f t="shared" ca="1" si="7"/>
        <v>111.84747710435755</v>
      </c>
      <c r="G13" s="85">
        <f t="shared" ca="1" si="8"/>
        <v>107.21353772564852</v>
      </c>
      <c r="H13" s="85">
        <f t="shared" ca="1" si="9"/>
        <v>109.38043552104996</v>
      </c>
      <c r="I13" s="85">
        <f t="shared" ca="1" si="10"/>
        <v>112.37329502790422</v>
      </c>
      <c r="J13" s="85">
        <f t="shared" ca="1" si="11"/>
        <v>110.47559957308837</v>
      </c>
      <c r="K13" s="85">
        <f t="shared" ca="1" si="12"/>
        <v>105.59286493826001</v>
      </c>
      <c r="L13" s="85">
        <f t="shared" ca="1" si="13"/>
        <v>111.204267393843</v>
      </c>
      <c r="M13" s="85">
        <f t="shared" ca="1" si="14"/>
        <v>104.0900757457154</v>
      </c>
      <c r="N13" s="85">
        <f t="shared" ca="1" si="15"/>
        <v>111.96108781671937</v>
      </c>
      <c r="O13" s="85">
        <f t="shared" ca="1" si="16"/>
        <v>110.65103391920388</v>
      </c>
      <c r="P13" s="85">
        <f t="shared" ca="1" si="17"/>
        <v>111.78765887900411</v>
      </c>
      <c r="Q13" s="85">
        <f t="shared" ca="1" si="18"/>
        <v>111.4996595116741</v>
      </c>
      <c r="R13" s="85">
        <f t="shared" ca="1" si="19"/>
        <v>108.58224550361817</v>
      </c>
      <c r="S13" s="85">
        <f t="shared" ca="1" si="20"/>
        <v>110.86119525857318</v>
      </c>
      <c r="T13" s="85">
        <f t="shared" ca="1" si="21"/>
        <v>110.59513227018991</v>
      </c>
      <c r="U13" s="85">
        <f t="shared" ca="1" si="22"/>
        <v>108.69337521860791</v>
      </c>
      <c r="V13" s="85">
        <f t="shared" ca="1" si="23"/>
        <v>108.48935287126501</v>
      </c>
      <c r="W13" s="85">
        <f t="shared" ca="1" si="24"/>
        <v>111.61072654881995</v>
      </c>
      <c r="X13" s="85">
        <f t="shared" ca="1" si="25"/>
        <v>111.44971453550089</v>
      </c>
      <c r="Y13" s="85">
        <f t="shared" ca="1" si="26"/>
        <v>110.52569841653032</v>
      </c>
      <c r="Z13" s="85">
        <f t="shared" ca="1" si="27"/>
        <v>113.80250665075827</v>
      </c>
      <c r="AA13" s="85">
        <f t="shared" ca="1" si="28"/>
        <v>107.33801591859658</v>
      </c>
      <c r="AB13" s="85">
        <f t="shared" ca="1" si="29"/>
        <v>111.19580954577472</v>
      </c>
      <c r="AC13" s="85">
        <f t="shared" ca="1" si="30"/>
        <v>110.36034416889758</v>
      </c>
      <c r="AD13" s="85">
        <f t="shared" ca="1" si="31"/>
        <v>114.31774761146947</v>
      </c>
      <c r="AE13" s="85">
        <f t="shared" ca="1" si="32"/>
        <v>113.00404594888772</v>
      </c>
      <c r="AF13" s="85">
        <f t="shared" ca="1" si="33"/>
        <v>111.8827032580738</v>
      </c>
      <c r="AG13" s="85">
        <f t="shared" ca="1" si="34"/>
        <v>110.94891557160224</v>
      </c>
      <c r="AH13" s="85">
        <f t="shared" ca="1" si="35"/>
        <v>109.74688602651381</v>
      </c>
      <c r="AI13" s="85">
        <f t="shared" ca="1" si="36"/>
        <v>107.72568983031236</v>
      </c>
      <c r="AJ13" s="85">
        <f t="shared" ca="1" si="37"/>
        <v>110.70718889871361</v>
      </c>
      <c r="AK13" s="85">
        <f t="shared" ca="1" si="38"/>
        <v>112.63646393321679</v>
      </c>
      <c r="AL13" s="85">
        <f t="shared" ca="1" si="39"/>
        <v>115.84235907200362</v>
      </c>
      <c r="AM13" s="85">
        <f t="shared" ca="1" si="40"/>
        <v>107.16863631499953</v>
      </c>
      <c r="AN13" s="85">
        <f t="shared" ca="1" si="41"/>
        <v>111.57612978383122</v>
      </c>
      <c r="AO13" s="85">
        <f t="shared" ca="1" si="42"/>
        <v>111.6230841408106</v>
      </c>
      <c r="AP13" s="85">
        <f t="shared" ca="1" si="43"/>
        <v>114.41431798753999</v>
      </c>
      <c r="AQ13" s="85">
        <f t="shared" ca="1" si="44"/>
        <v>111.88562508927191</v>
      </c>
      <c r="AR13" s="85">
        <f t="shared" ca="1" si="45"/>
        <v>110.60266927299263</v>
      </c>
      <c r="AS13" s="85">
        <f t="shared" ca="1" si="46"/>
        <v>111.44416177687636</v>
      </c>
      <c r="AT13" s="85">
        <f t="shared" ca="1" si="47"/>
        <v>109.2856732207746</v>
      </c>
      <c r="AU13" s="85">
        <f t="shared" ca="1" si="48"/>
        <v>110.54313393886848</v>
      </c>
      <c r="AV13" s="85">
        <f t="shared" ca="1" si="49"/>
        <v>113.12392475779869</v>
      </c>
      <c r="AW13" s="85">
        <f t="shared" ca="1" si="50"/>
        <v>113.30976502226996</v>
      </c>
      <c r="AX13" s="85">
        <f t="shared" ca="1" si="51"/>
        <v>113.76655500652373</v>
      </c>
      <c r="AY13" s="85">
        <f t="shared" ca="1" si="52"/>
        <v>114.55752232015855</v>
      </c>
      <c r="AZ13" s="85">
        <f t="shared" ca="1" si="53"/>
        <v>109.61316775216615</v>
      </c>
      <c r="BA13" s="85">
        <f t="shared" ca="1" si="54"/>
        <v>110.66775197820269</v>
      </c>
      <c r="BB13" s="85">
        <f t="shared" ca="1" si="55"/>
        <v>106.46776456375154</v>
      </c>
      <c r="BC13" s="85">
        <f t="shared" ca="1" si="56"/>
        <v>109.60033150193217</v>
      </c>
      <c r="BD13" s="85">
        <f t="shared" ca="1" si="57"/>
        <v>111.86311773541199</v>
      </c>
      <c r="BE13" s="85">
        <f t="shared" ca="1" si="58"/>
        <v>109.87532185624919</v>
      </c>
      <c r="BF13" s="85">
        <f t="shared" ca="1" si="59"/>
        <v>111.17826289719179</v>
      </c>
      <c r="BG13" s="85">
        <f t="shared" ca="1" si="60"/>
        <v>108.60933699580006</v>
      </c>
      <c r="BH13" s="85">
        <f t="shared" ca="1" si="61"/>
        <v>109.38179178845623</v>
      </c>
      <c r="BI13" s="85">
        <f t="shared" ca="1" si="62"/>
        <v>111.40685297352044</v>
      </c>
      <c r="BJ13" s="85">
        <f t="shared" ca="1" si="63"/>
        <v>110.44040708893543</v>
      </c>
      <c r="BK13" s="85">
        <f t="shared" ca="1" si="64"/>
        <v>107.70991983082588</v>
      </c>
      <c r="BL13" s="85">
        <f t="shared" ca="1" si="65"/>
        <v>109.65791070249598</v>
      </c>
      <c r="BM13" s="85">
        <f t="shared" ca="1" si="66"/>
        <v>107.39196583817331</v>
      </c>
      <c r="BN13" s="85">
        <f t="shared" ca="1" si="3"/>
        <v>108.39981560453043</v>
      </c>
      <c r="BO13" s="85">
        <f t="shared" ca="1" si="92"/>
        <v>107.927434173816</v>
      </c>
      <c r="BP13" s="85">
        <f t="shared" ca="1" si="93"/>
        <v>108.26333728477077</v>
      </c>
      <c r="BQ13" s="85">
        <f t="shared" ca="1" si="94"/>
        <v>107.07276396100951</v>
      </c>
      <c r="BR13" s="85">
        <f t="shared" ca="1" si="95"/>
        <v>108.01903965705469</v>
      </c>
      <c r="BS13" s="85">
        <f t="shared" ca="1" si="96"/>
        <v>108.34858684733071</v>
      </c>
      <c r="BT13" s="85">
        <f t="shared" ca="1" si="97"/>
        <v>105.07299907491277</v>
      </c>
      <c r="BU13" s="85">
        <f t="shared" ca="1" si="98"/>
        <v>112.02814137710199</v>
      </c>
      <c r="BV13" s="85">
        <f t="shared" ca="1" si="99"/>
        <v>109.9442611382896</v>
      </c>
      <c r="BW13" s="85">
        <f t="shared" ca="1" si="100"/>
        <v>114.23293713224449</v>
      </c>
      <c r="BX13" s="85">
        <f t="shared" ca="1" si="101"/>
        <v>112.67590612957851</v>
      </c>
      <c r="BY13" s="85">
        <f t="shared" ca="1" si="67"/>
        <v>111.84068997122796</v>
      </c>
      <c r="BZ13" s="85">
        <f t="shared" ca="1" si="68"/>
        <v>112.31726505713134</v>
      </c>
      <c r="CA13" s="85">
        <f t="shared" ca="1" si="69"/>
        <v>110.66083925109476</v>
      </c>
      <c r="CB13" s="85">
        <f t="shared" ca="1" si="70"/>
        <v>109.8145331204739</v>
      </c>
      <c r="CC13" s="85">
        <f t="shared" ca="1" si="71"/>
        <v>110.74102991456211</v>
      </c>
      <c r="CD13" s="85">
        <f t="shared" ca="1" si="72"/>
        <v>112.36708620668058</v>
      </c>
      <c r="CE13" s="85">
        <f t="shared" ca="1" si="73"/>
        <v>106.59391169891001</v>
      </c>
      <c r="CF13" s="85">
        <f t="shared" ca="1" si="74"/>
        <v>110.56708746735309</v>
      </c>
      <c r="CG13" s="85">
        <f t="shared" ca="1" si="75"/>
        <v>110.31505304735241</v>
      </c>
      <c r="CH13" s="85">
        <f t="shared" ca="1" si="76"/>
        <v>114.15329484554137</v>
      </c>
      <c r="CI13" s="85">
        <f t="shared" ca="1" si="77"/>
        <v>111.75517815874304</v>
      </c>
      <c r="CJ13" s="85">
        <f t="shared" ca="1" si="78"/>
        <v>111.13865277782064</v>
      </c>
      <c r="CK13" s="85">
        <f t="shared" ca="1" si="79"/>
        <v>110.11412648279632</v>
      </c>
      <c r="CL13" s="85">
        <f t="shared" ca="1" si="80"/>
        <v>106.10845999131637</v>
      </c>
      <c r="CM13" s="85">
        <f t="shared" ca="1" si="81"/>
        <v>110.49403152573493</v>
      </c>
      <c r="CN13" s="85">
        <f t="shared" ca="1" si="82"/>
        <v>107.94541169129202</v>
      </c>
      <c r="CO13" s="85">
        <f t="shared" ca="1" si="83"/>
        <v>111.84923189567927</v>
      </c>
      <c r="CP13" s="85">
        <f t="shared" ca="1" si="84"/>
        <v>111.01813612841413</v>
      </c>
      <c r="CQ13" s="85">
        <f t="shared" ca="1" si="85"/>
        <v>110.65219858126437</v>
      </c>
      <c r="CR13" s="85">
        <f t="shared" ca="1" si="86"/>
        <v>109.83086930277993</v>
      </c>
      <c r="CS13" s="85">
        <f t="shared" ca="1" si="87"/>
        <v>111.36661988486829</v>
      </c>
      <c r="CT13" s="85">
        <f t="shared" ca="1" si="88"/>
        <v>111.56636166241476</v>
      </c>
      <c r="CU13" s="85">
        <f t="shared" ca="1" si="89"/>
        <v>110.51126577606139</v>
      </c>
      <c r="CV13" s="85">
        <f t="shared" ca="1" si="90"/>
        <v>108.47503441665022</v>
      </c>
      <c r="CW13" s="85">
        <f t="shared" ca="1" si="91"/>
        <v>111.79317786791322</v>
      </c>
    </row>
    <row r="14" spans="1:101" x14ac:dyDescent="0.2">
      <c r="A14" s="115">
        <v>11</v>
      </c>
      <c r="B14" s="85">
        <f t="shared" ca="1" si="2"/>
        <v>111.20786280588092</v>
      </c>
      <c r="C14" s="85">
        <f t="shared" ca="1" si="4"/>
        <v>113.48057748420796</v>
      </c>
      <c r="D14" s="85">
        <f t="shared" ca="1" si="5"/>
        <v>107.01100397808464</v>
      </c>
      <c r="E14" s="85">
        <f t="shared" ca="1" si="6"/>
        <v>111.7760525645117</v>
      </c>
      <c r="F14" s="85">
        <f t="shared" ca="1" si="7"/>
        <v>112.36979438479096</v>
      </c>
      <c r="G14" s="85">
        <f t="shared" ca="1" si="8"/>
        <v>109.42825978220448</v>
      </c>
      <c r="H14" s="85">
        <f t="shared" ca="1" si="9"/>
        <v>110.90789977524361</v>
      </c>
      <c r="I14" s="85">
        <f t="shared" ca="1" si="10"/>
        <v>112.81956798720455</v>
      </c>
      <c r="J14" s="85">
        <f t="shared" ca="1" si="11"/>
        <v>112.97365949843537</v>
      </c>
      <c r="K14" s="85">
        <f t="shared" ca="1" si="12"/>
        <v>106.54765087245771</v>
      </c>
      <c r="L14" s="85">
        <f t="shared" ca="1" si="13"/>
        <v>112.67135245585409</v>
      </c>
      <c r="M14" s="85">
        <f t="shared" ca="1" si="14"/>
        <v>103.32303026788</v>
      </c>
      <c r="N14" s="85">
        <f t="shared" ca="1" si="15"/>
        <v>112.63009372121002</v>
      </c>
      <c r="O14" s="85">
        <f t="shared" ca="1" si="16"/>
        <v>111.77414321215414</v>
      </c>
      <c r="P14" s="85">
        <f t="shared" ca="1" si="17"/>
        <v>112.91457540203422</v>
      </c>
      <c r="Q14" s="85">
        <f t="shared" ca="1" si="18"/>
        <v>112.95378766690537</v>
      </c>
      <c r="R14" s="85">
        <f t="shared" ca="1" si="19"/>
        <v>111.09018159884286</v>
      </c>
      <c r="S14" s="85">
        <f t="shared" ca="1" si="20"/>
        <v>112.94164655014013</v>
      </c>
      <c r="T14" s="85">
        <f t="shared" ca="1" si="21"/>
        <v>112.08437160474524</v>
      </c>
      <c r="U14" s="85">
        <f t="shared" ca="1" si="22"/>
        <v>109.69080654225678</v>
      </c>
      <c r="V14" s="85">
        <f t="shared" ca="1" si="23"/>
        <v>111.13186695926508</v>
      </c>
      <c r="W14" s="85">
        <f t="shared" ca="1" si="24"/>
        <v>112.8259851617549</v>
      </c>
      <c r="X14" s="85">
        <f t="shared" ca="1" si="25"/>
        <v>111.60386485617258</v>
      </c>
      <c r="Y14" s="85">
        <f t="shared" ca="1" si="26"/>
        <v>112.06962322330133</v>
      </c>
      <c r="Z14" s="85">
        <f t="shared" ca="1" si="27"/>
        <v>115.80685912099379</v>
      </c>
      <c r="AA14" s="85">
        <f t="shared" ca="1" si="28"/>
        <v>108.84739008146121</v>
      </c>
      <c r="AB14" s="85">
        <f t="shared" ca="1" si="29"/>
        <v>112.29156207067201</v>
      </c>
      <c r="AC14" s="85">
        <f t="shared" ca="1" si="30"/>
        <v>110.81004679535499</v>
      </c>
      <c r="AD14" s="85">
        <f t="shared" ca="1" si="31"/>
        <v>115.48115229683572</v>
      </c>
      <c r="AE14" s="85">
        <f t="shared" ca="1" si="32"/>
        <v>115.75627104614794</v>
      </c>
      <c r="AF14" s="85">
        <f t="shared" ca="1" si="33"/>
        <v>113.37901527901519</v>
      </c>
      <c r="AG14" s="85">
        <f t="shared" ca="1" si="34"/>
        <v>112.48513147963406</v>
      </c>
      <c r="AH14" s="85">
        <f t="shared" ca="1" si="35"/>
        <v>111.09778413167</v>
      </c>
      <c r="AI14" s="85">
        <f t="shared" ca="1" si="36"/>
        <v>109.14098311206577</v>
      </c>
      <c r="AJ14" s="85">
        <f t="shared" ca="1" si="37"/>
        <v>113.14586157466066</v>
      </c>
      <c r="AK14" s="85">
        <f t="shared" ca="1" si="38"/>
        <v>113.6465576301825</v>
      </c>
      <c r="AL14" s="85">
        <f t="shared" ca="1" si="39"/>
        <v>116.59000289458317</v>
      </c>
      <c r="AM14" s="85">
        <f t="shared" ca="1" si="40"/>
        <v>108.72535899161123</v>
      </c>
      <c r="AN14" s="85">
        <f t="shared" ca="1" si="41"/>
        <v>113.33315519537095</v>
      </c>
      <c r="AO14" s="85">
        <f t="shared" ca="1" si="42"/>
        <v>113.67626691686598</v>
      </c>
      <c r="AP14" s="85">
        <f t="shared" ca="1" si="43"/>
        <v>115.95921728350096</v>
      </c>
      <c r="AQ14" s="85">
        <f t="shared" ca="1" si="44"/>
        <v>112.24428079678259</v>
      </c>
      <c r="AR14" s="85">
        <f t="shared" ca="1" si="45"/>
        <v>112.26458721068548</v>
      </c>
      <c r="AS14" s="85">
        <f t="shared" ca="1" si="46"/>
        <v>112.95599451940842</v>
      </c>
      <c r="AT14" s="85">
        <f t="shared" ca="1" si="47"/>
        <v>108.02146248851285</v>
      </c>
      <c r="AU14" s="85">
        <f t="shared" ca="1" si="48"/>
        <v>110.98601586078959</v>
      </c>
      <c r="AV14" s="85">
        <f t="shared" ca="1" si="49"/>
        <v>115.54789332025238</v>
      </c>
      <c r="AW14" s="85">
        <f t="shared" ca="1" si="50"/>
        <v>115.2391072027666</v>
      </c>
      <c r="AX14" s="85">
        <f t="shared" ca="1" si="51"/>
        <v>114.99863962558005</v>
      </c>
      <c r="AY14" s="85">
        <f t="shared" ca="1" si="52"/>
        <v>116.5231575136059</v>
      </c>
      <c r="AZ14" s="85">
        <f t="shared" ca="1" si="53"/>
        <v>111.54362967508609</v>
      </c>
      <c r="BA14" s="85">
        <f t="shared" ca="1" si="54"/>
        <v>112.94633152742159</v>
      </c>
      <c r="BB14" s="85">
        <f t="shared" ca="1" si="55"/>
        <v>107.68637201049599</v>
      </c>
      <c r="BC14" s="85">
        <f t="shared" ca="1" si="56"/>
        <v>111.25726408739317</v>
      </c>
      <c r="BD14" s="85">
        <f t="shared" ca="1" si="57"/>
        <v>113.65529658261622</v>
      </c>
      <c r="BE14" s="85">
        <f t="shared" ca="1" si="58"/>
        <v>112.12023733811992</v>
      </c>
      <c r="BF14" s="85">
        <f t="shared" ca="1" si="59"/>
        <v>113.69221213453994</v>
      </c>
      <c r="BG14" s="85">
        <f t="shared" ca="1" si="60"/>
        <v>109.87879089076353</v>
      </c>
      <c r="BH14" s="85">
        <f t="shared" ca="1" si="61"/>
        <v>110.21985532834246</v>
      </c>
      <c r="BI14" s="85">
        <f t="shared" ca="1" si="62"/>
        <v>113.6691025113753</v>
      </c>
      <c r="BJ14" s="85">
        <f t="shared" ca="1" si="63"/>
        <v>111.83917537642211</v>
      </c>
      <c r="BK14" s="85">
        <f t="shared" ca="1" si="64"/>
        <v>109.22248950171566</v>
      </c>
      <c r="BL14" s="85">
        <f t="shared" ca="1" si="65"/>
        <v>110.73023241294861</v>
      </c>
      <c r="BM14" s="85">
        <f t="shared" ca="1" si="66"/>
        <v>107.73976963642646</v>
      </c>
      <c r="BN14" s="85">
        <f t="shared" ca="1" si="3"/>
        <v>109.49676512186616</v>
      </c>
      <c r="BO14" s="85">
        <f t="shared" ca="1" si="92"/>
        <v>109.54245558887176</v>
      </c>
      <c r="BP14" s="85">
        <f t="shared" ca="1" si="93"/>
        <v>110.05729221687673</v>
      </c>
      <c r="BQ14" s="85">
        <f t="shared" ca="1" si="94"/>
        <v>109.17884331022978</v>
      </c>
      <c r="BR14" s="85">
        <f t="shared" ca="1" si="95"/>
        <v>108.15748542775714</v>
      </c>
      <c r="BS14" s="85">
        <f t="shared" ca="1" si="96"/>
        <v>109.96637146600925</v>
      </c>
      <c r="BT14" s="85">
        <f t="shared" ca="1" si="97"/>
        <v>107.94418278369112</v>
      </c>
      <c r="BU14" s="85">
        <f t="shared" ca="1" si="98"/>
        <v>114.00849464172148</v>
      </c>
      <c r="BV14" s="85">
        <f t="shared" ca="1" si="99"/>
        <v>110.97086114245356</v>
      </c>
      <c r="BW14" s="85">
        <f t="shared" ca="1" si="100"/>
        <v>116.78554949352495</v>
      </c>
      <c r="BX14" s="85">
        <f t="shared" ca="1" si="101"/>
        <v>114.23054452725911</v>
      </c>
      <c r="BY14" s="85">
        <f t="shared" ca="1" si="67"/>
        <v>112.70338435965357</v>
      </c>
      <c r="BZ14" s="85">
        <f t="shared" ca="1" si="68"/>
        <v>113.45855876401812</v>
      </c>
      <c r="CA14" s="85">
        <f t="shared" ca="1" si="69"/>
        <v>113.609976643651</v>
      </c>
      <c r="CB14" s="85">
        <f t="shared" ca="1" si="70"/>
        <v>110.99614676051472</v>
      </c>
      <c r="CC14" s="85">
        <f t="shared" ca="1" si="71"/>
        <v>113.00760441392981</v>
      </c>
      <c r="CD14" s="85">
        <f t="shared" ca="1" si="72"/>
        <v>113.75383510273623</v>
      </c>
      <c r="CE14" s="85">
        <f t="shared" ca="1" si="73"/>
        <v>108.34415605650968</v>
      </c>
      <c r="CF14" s="85">
        <f t="shared" ca="1" si="74"/>
        <v>113.66579994574268</v>
      </c>
      <c r="CG14" s="85">
        <f t="shared" ca="1" si="75"/>
        <v>111.50015444374819</v>
      </c>
      <c r="CH14" s="85">
        <f t="shared" ca="1" si="76"/>
        <v>115.36035581240789</v>
      </c>
      <c r="CI14" s="85">
        <f t="shared" ca="1" si="77"/>
        <v>113.46788781271398</v>
      </c>
      <c r="CJ14" s="85">
        <f t="shared" ca="1" si="78"/>
        <v>112.98298943105546</v>
      </c>
      <c r="CK14" s="85">
        <f t="shared" ca="1" si="79"/>
        <v>109.29077548156864</v>
      </c>
      <c r="CL14" s="85">
        <f t="shared" ca="1" si="80"/>
        <v>107.98826794453821</v>
      </c>
      <c r="CM14" s="85">
        <f t="shared" ca="1" si="81"/>
        <v>111.53411248853391</v>
      </c>
      <c r="CN14" s="85">
        <f t="shared" ca="1" si="82"/>
        <v>108.72352963774308</v>
      </c>
      <c r="CO14" s="85">
        <f t="shared" ca="1" si="83"/>
        <v>112.18472917889503</v>
      </c>
      <c r="CP14" s="85">
        <f t="shared" ca="1" si="84"/>
        <v>111.70207499309304</v>
      </c>
      <c r="CQ14" s="85">
        <f t="shared" ca="1" si="85"/>
        <v>113.07125779519905</v>
      </c>
      <c r="CR14" s="85">
        <f t="shared" ca="1" si="86"/>
        <v>112.01367871955583</v>
      </c>
      <c r="CS14" s="85">
        <f t="shared" ca="1" si="87"/>
        <v>112.10031193564299</v>
      </c>
      <c r="CT14" s="85">
        <f t="shared" ca="1" si="88"/>
        <v>113.92425446920228</v>
      </c>
      <c r="CU14" s="85">
        <f t="shared" ca="1" si="89"/>
        <v>112.85574518101505</v>
      </c>
      <c r="CV14" s="85">
        <f t="shared" ca="1" si="90"/>
        <v>109.97946452738822</v>
      </c>
      <c r="CW14" s="85">
        <f t="shared" ca="1" si="91"/>
        <v>112.52676384320391</v>
      </c>
    </row>
    <row r="15" spans="1:101" x14ac:dyDescent="0.2">
      <c r="A15" s="115">
        <v>12</v>
      </c>
      <c r="B15" s="85">
        <f t="shared" ca="1" si="2"/>
        <v>113.33131966079304</v>
      </c>
      <c r="C15" s="85">
        <f t="shared" ca="1" si="4"/>
        <v>115.59978095935934</v>
      </c>
      <c r="D15" s="85">
        <f t="shared" ca="1" si="5"/>
        <v>109.23643949158081</v>
      </c>
      <c r="E15" s="85">
        <f t="shared" ca="1" si="6"/>
        <v>112.32749312409004</v>
      </c>
      <c r="F15" s="85">
        <f t="shared" ca="1" si="7"/>
        <v>113.615660569284</v>
      </c>
      <c r="G15" s="85">
        <f t="shared" ca="1" si="8"/>
        <v>111.38046478325353</v>
      </c>
      <c r="H15" s="85">
        <f t="shared" ca="1" si="9"/>
        <v>111.32495253858814</v>
      </c>
      <c r="I15" s="85">
        <f t="shared" ca="1" si="10"/>
        <v>114.7494211714062</v>
      </c>
      <c r="J15" s="85">
        <f t="shared" ca="1" si="11"/>
        <v>114.36621172563991</v>
      </c>
      <c r="K15" s="85">
        <f t="shared" ca="1" si="12"/>
        <v>107.04307576505488</v>
      </c>
      <c r="L15" s="85">
        <f t="shared" ca="1" si="13"/>
        <v>113.68437975269553</v>
      </c>
      <c r="M15" s="85">
        <f t="shared" ca="1" si="14"/>
        <v>102.94838233608054</v>
      </c>
      <c r="N15" s="85">
        <f t="shared" ca="1" si="15"/>
        <v>114.11719420965871</v>
      </c>
      <c r="O15" s="85">
        <f t="shared" ca="1" si="16"/>
        <v>114.29587895222369</v>
      </c>
      <c r="P15" s="85">
        <f t="shared" ca="1" si="17"/>
        <v>113.37817060974571</v>
      </c>
      <c r="Q15" s="85">
        <f t="shared" ca="1" si="18"/>
        <v>113.71562923608322</v>
      </c>
      <c r="R15" s="85">
        <f t="shared" ca="1" si="19"/>
        <v>112.76918278563727</v>
      </c>
      <c r="S15" s="85">
        <f t="shared" ca="1" si="20"/>
        <v>113.83655337142552</v>
      </c>
      <c r="T15" s="85">
        <f t="shared" ca="1" si="21"/>
        <v>113.64466398391737</v>
      </c>
      <c r="U15" s="85">
        <f t="shared" ca="1" si="22"/>
        <v>110.43756253886704</v>
      </c>
      <c r="V15" s="85">
        <f t="shared" ca="1" si="23"/>
        <v>112.98577729206752</v>
      </c>
      <c r="W15" s="85">
        <f t="shared" ca="1" si="24"/>
        <v>114.13874287612418</v>
      </c>
      <c r="X15" s="85">
        <f t="shared" ca="1" si="25"/>
        <v>113.40096071920186</v>
      </c>
      <c r="Y15" s="85">
        <f t="shared" ca="1" si="26"/>
        <v>113.29616538816903</v>
      </c>
      <c r="Z15" s="85">
        <f t="shared" ca="1" si="27"/>
        <v>117.22530274465883</v>
      </c>
      <c r="AA15" s="85">
        <f t="shared" ca="1" si="28"/>
        <v>110.52782408574156</v>
      </c>
      <c r="AB15" s="85">
        <f t="shared" ca="1" si="29"/>
        <v>114.0171939704743</v>
      </c>
      <c r="AC15" s="85">
        <f t="shared" ca="1" si="30"/>
        <v>112.79655726828206</v>
      </c>
      <c r="AD15" s="85">
        <f t="shared" ca="1" si="31"/>
        <v>118.51856204366813</v>
      </c>
      <c r="AE15" s="85">
        <f t="shared" ca="1" si="32"/>
        <v>117.94679854584845</v>
      </c>
      <c r="AF15" s="85">
        <f t="shared" ca="1" si="33"/>
        <v>115.74263986144746</v>
      </c>
      <c r="AG15" s="85">
        <f t="shared" ca="1" si="34"/>
        <v>114.28195022258701</v>
      </c>
      <c r="AH15" s="85">
        <f t="shared" ca="1" si="35"/>
        <v>111.87620054849762</v>
      </c>
      <c r="AI15" s="85">
        <f t="shared" ca="1" si="36"/>
        <v>111.44607320085385</v>
      </c>
      <c r="AJ15" s="85">
        <f t="shared" ca="1" si="37"/>
        <v>113.20091844612917</v>
      </c>
      <c r="AK15" s="85">
        <f t="shared" ca="1" si="38"/>
        <v>114.64670919107556</v>
      </c>
      <c r="AL15" s="85">
        <f t="shared" ca="1" si="39"/>
        <v>118.6006239582655</v>
      </c>
      <c r="AM15" s="85">
        <f t="shared" ca="1" si="40"/>
        <v>109.18495610413784</v>
      </c>
      <c r="AN15" s="85">
        <f t="shared" ca="1" si="41"/>
        <v>116.85669358111076</v>
      </c>
      <c r="AO15" s="85">
        <f t="shared" ca="1" si="42"/>
        <v>115.38392458158054</v>
      </c>
      <c r="AP15" s="85">
        <f t="shared" ca="1" si="43"/>
        <v>117.10191853045043</v>
      </c>
      <c r="AQ15" s="85">
        <f t="shared" ca="1" si="44"/>
        <v>113.51815187789792</v>
      </c>
      <c r="AR15" s="85">
        <f t="shared" ca="1" si="45"/>
        <v>113.13106612366353</v>
      </c>
      <c r="AS15" s="85">
        <f t="shared" ca="1" si="46"/>
        <v>113.38575508643652</v>
      </c>
      <c r="AT15" s="85">
        <f t="shared" ca="1" si="47"/>
        <v>109.63773489411803</v>
      </c>
      <c r="AU15" s="85">
        <f t="shared" ca="1" si="48"/>
        <v>112.65186566815166</v>
      </c>
      <c r="AV15" s="85">
        <f t="shared" ca="1" si="49"/>
        <v>117.03205145551286</v>
      </c>
      <c r="AW15" s="85">
        <f t="shared" ca="1" si="50"/>
        <v>116.78483492910959</v>
      </c>
      <c r="AX15" s="85">
        <f t="shared" ca="1" si="51"/>
        <v>117.30741697407414</v>
      </c>
      <c r="AY15" s="85">
        <f t="shared" ca="1" si="52"/>
        <v>118.78697710373382</v>
      </c>
      <c r="AZ15" s="85">
        <f t="shared" ca="1" si="53"/>
        <v>113.40756795725702</v>
      </c>
      <c r="BA15" s="85">
        <f t="shared" ca="1" si="54"/>
        <v>114.76818938308726</v>
      </c>
      <c r="BB15" s="85">
        <f t="shared" ca="1" si="55"/>
        <v>109.50565140045725</v>
      </c>
      <c r="BC15" s="85">
        <f t="shared" ca="1" si="56"/>
        <v>113.28024864131891</v>
      </c>
      <c r="BD15" s="85">
        <f t="shared" ca="1" si="57"/>
        <v>114.99910956158683</v>
      </c>
      <c r="BE15" s="85">
        <f t="shared" ca="1" si="58"/>
        <v>113.76167752077565</v>
      </c>
      <c r="BF15" s="85">
        <f t="shared" ca="1" si="59"/>
        <v>114.16438461993</v>
      </c>
      <c r="BG15" s="85">
        <f t="shared" ca="1" si="60"/>
        <v>111.91265287821861</v>
      </c>
      <c r="BH15" s="85">
        <f t="shared" ca="1" si="61"/>
        <v>111.55842145832804</v>
      </c>
      <c r="BI15" s="85">
        <f t="shared" ca="1" si="62"/>
        <v>115.13221156635186</v>
      </c>
      <c r="BJ15" s="85">
        <f t="shared" ca="1" si="63"/>
        <v>113.24378606802848</v>
      </c>
      <c r="BK15" s="85">
        <f t="shared" ca="1" si="64"/>
        <v>111.94138756630362</v>
      </c>
      <c r="BL15" s="85">
        <f t="shared" ca="1" si="65"/>
        <v>113.57217316455336</v>
      </c>
      <c r="BM15" s="85">
        <f t="shared" ca="1" si="66"/>
        <v>108.11741842901208</v>
      </c>
      <c r="BN15" s="85">
        <f t="shared" ca="1" si="3"/>
        <v>110.77347144950649</v>
      </c>
      <c r="BO15" s="85">
        <f t="shared" ca="1" si="92"/>
        <v>109.68700167620821</v>
      </c>
      <c r="BP15" s="85">
        <f t="shared" ca="1" si="93"/>
        <v>111.99054800323482</v>
      </c>
      <c r="BQ15" s="85">
        <f t="shared" ca="1" si="94"/>
        <v>110.81389886874206</v>
      </c>
      <c r="BR15" s="85">
        <f t="shared" ca="1" si="95"/>
        <v>109.47212117902994</v>
      </c>
      <c r="BS15" s="85">
        <f t="shared" ca="1" si="96"/>
        <v>112.43843014371137</v>
      </c>
      <c r="BT15" s="85">
        <f t="shared" ca="1" si="97"/>
        <v>109.38309566777122</v>
      </c>
      <c r="BU15" s="85">
        <f t="shared" ca="1" si="98"/>
        <v>115.38932422875052</v>
      </c>
      <c r="BV15" s="85">
        <f t="shared" ca="1" si="99"/>
        <v>113.28617830236334</v>
      </c>
      <c r="BW15" s="85">
        <f t="shared" ca="1" si="100"/>
        <v>118.9885740247676</v>
      </c>
      <c r="BX15" s="85">
        <f t="shared" ca="1" si="101"/>
        <v>115.79803218763993</v>
      </c>
      <c r="BY15" s="85">
        <f t="shared" ca="1" si="67"/>
        <v>112.87671781174203</v>
      </c>
      <c r="BZ15" s="85">
        <f t="shared" ca="1" si="68"/>
        <v>114.6780134524419</v>
      </c>
      <c r="CA15" s="85">
        <f t="shared" ca="1" si="69"/>
        <v>114.9679156562725</v>
      </c>
      <c r="CB15" s="85">
        <f t="shared" ca="1" si="70"/>
        <v>111.60283940219274</v>
      </c>
      <c r="CC15" s="85">
        <f t="shared" ca="1" si="71"/>
        <v>114.45844682673443</v>
      </c>
      <c r="CD15" s="85">
        <f t="shared" ca="1" si="72"/>
        <v>114.37297531151428</v>
      </c>
      <c r="CE15" s="85">
        <f t="shared" ca="1" si="73"/>
        <v>110.51314014261473</v>
      </c>
      <c r="CF15" s="85">
        <f t="shared" ca="1" si="74"/>
        <v>115.3873935397482</v>
      </c>
      <c r="CG15" s="85">
        <f t="shared" ca="1" si="75"/>
        <v>113.89864615596223</v>
      </c>
      <c r="CH15" s="85">
        <f t="shared" ca="1" si="76"/>
        <v>115.89396088680336</v>
      </c>
      <c r="CI15" s="85">
        <f t="shared" ca="1" si="77"/>
        <v>114.47108781833093</v>
      </c>
      <c r="CJ15" s="85">
        <f t="shared" ca="1" si="78"/>
        <v>113.50723205455755</v>
      </c>
      <c r="CK15" s="85">
        <f t="shared" ca="1" si="79"/>
        <v>111.5526910260788</v>
      </c>
      <c r="CL15" s="85">
        <f t="shared" ca="1" si="80"/>
        <v>108.95353964770513</v>
      </c>
      <c r="CM15" s="85">
        <f t="shared" ca="1" si="81"/>
        <v>112.32549685320137</v>
      </c>
      <c r="CN15" s="85">
        <f t="shared" ca="1" si="82"/>
        <v>109.29035582905081</v>
      </c>
      <c r="CO15" s="85">
        <f t="shared" ca="1" si="83"/>
        <v>113.78646956580081</v>
      </c>
      <c r="CP15" s="85">
        <f t="shared" ca="1" si="84"/>
        <v>112.24991514482167</v>
      </c>
      <c r="CQ15" s="85">
        <f t="shared" ca="1" si="85"/>
        <v>114.33654165423316</v>
      </c>
      <c r="CR15" s="85">
        <f t="shared" ca="1" si="86"/>
        <v>113.51802169478373</v>
      </c>
      <c r="CS15" s="85">
        <f t="shared" ca="1" si="87"/>
        <v>113.24963812422131</v>
      </c>
      <c r="CT15" s="85">
        <f t="shared" ca="1" si="88"/>
        <v>115.87557556894173</v>
      </c>
      <c r="CU15" s="85">
        <f t="shared" ca="1" si="89"/>
        <v>114.6123947234543</v>
      </c>
      <c r="CV15" s="85">
        <f t="shared" ca="1" si="90"/>
        <v>111.16389856155929</v>
      </c>
      <c r="CW15" s="85">
        <f t="shared" ca="1" si="91"/>
        <v>113.86221198072286</v>
      </c>
    </row>
    <row r="16" spans="1:101" x14ac:dyDescent="0.2">
      <c r="A16" s="115">
        <v>13</v>
      </c>
      <c r="B16" s="85">
        <f t="shared" ca="1" si="2"/>
        <v>114.44566413607684</v>
      </c>
      <c r="C16" s="85">
        <f t="shared" ca="1" si="4"/>
        <v>117.61476071869407</v>
      </c>
      <c r="D16" s="85">
        <f t="shared" ca="1" si="5"/>
        <v>110.65629518189854</v>
      </c>
      <c r="E16" s="85">
        <f t="shared" ca="1" si="6"/>
        <v>113.26195603820686</v>
      </c>
      <c r="F16" s="85">
        <f t="shared" ca="1" si="7"/>
        <v>113.73855905120631</v>
      </c>
      <c r="G16" s="85">
        <f t="shared" ca="1" si="8"/>
        <v>112.48941183637329</v>
      </c>
      <c r="H16" s="85">
        <f t="shared" ca="1" si="9"/>
        <v>112.50859393954367</v>
      </c>
      <c r="I16" s="85">
        <f t="shared" ca="1" si="10"/>
        <v>116.13391738650492</v>
      </c>
      <c r="J16" s="85">
        <f t="shared" ca="1" si="11"/>
        <v>115.62180840676407</v>
      </c>
      <c r="K16" s="85">
        <f t="shared" ca="1" si="12"/>
        <v>108.59736279384151</v>
      </c>
      <c r="L16" s="85">
        <f t="shared" ca="1" si="13"/>
        <v>115.39321559820318</v>
      </c>
      <c r="M16" s="85">
        <f t="shared" ca="1" si="14"/>
        <v>105.16698119541205</v>
      </c>
      <c r="N16" s="85">
        <f t="shared" ca="1" si="15"/>
        <v>116.36085550887704</v>
      </c>
      <c r="O16" s="85">
        <f t="shared" ca="1" si="16"/>
        <v>114.99284529361455</v>
      </c>
      <c r="P16" s="85">
        <f t="shared" ca="1" si="17"/>
        <v>114.14432993043164</v>
      </c>
      <c r="Q16" s="85">
        <f t="shared" ca="1" si="18"/>
        <v>115.12032983468957</v>
      </c>
      <c r="R16" s="85">
        <f t="shared" ca="1" si="19"/>
        <v>114.78824539254546</v>
      </c>
      <c r="S16" s="85">
        <f t="shared" ca="1" si="20"/>
        <v>115.42086820800752</v>
      </c>
      <c r="T16" s="85">
        <f t="shared" ca="1" si="21"/>
        <v>115.33040901371928</v>
      </c>
      <c r="U16" s="85">
        <f t="shared" ca="1" si="22"/>
        <v>111.50064053390535</v>
      </c>
      <c r="V16" s="85">
        <f t="shared" ca="1" si="23"/>
        <v>114.77461312866787</v>
      </c>
      <c r="W16" s="85">
        <f t="shared" ca="1" si="24"/>
        <v>116.17020085820096</v>
      </c>
      <c r="X16" s="85">
        <f t="shared" ca="1" si="25"/>
        <v>115.3104202173662</v>
      </c>
      <c r="Y16" s="85">
        <f t="shared" ca="1" si="26"/>
        <v>114.10935447752536</v>
      </c>
      <c r="Z16" s="85">
        <f t="shared" ca="1" si="27"/>
        <v>118.93318514985819</v>
      </c>
      <c r="AA16" s="85">
        <f t="shared" ca="1" si="28"/>
        <v>111.0054472355104</v>
      </c>
      <c r="AB16" s="85">
        <f t="shared" ca="1" si="29"/>
        <v>115.78853126746195</v>
      </c>
      <c r="AC16" s="85">
        <f t="shared" ca="1" si="30"/>
        <v>113.9262861237938</v>
      </c>
      <c r="AD16" s="85">
        <f t="shared" ca="1" si="31"/>
        <v>119.33538951354745</v>
      </c>
      <c r="AE16" s="85">
        <f t="shared" ca="1" si="32"/>
        <v>120.32554017605645</v>
      </c>
      <c r="AF16" s="85">
        <f t="shared" ca="1" si="33"/>
        <v>116.94843575812752</v>
      </c>
      <c r="AG16" s="85">
        <f t="shared" ca="1" si="34"/>
        <v>115.7827712572105</v>
      </c>
      <c r="AH16" s="85">
        <f t="shared" ca="1" si="35"/>
        <v>112.59435587264872</v>
      </c>
      <c r="AI16" s="85">
        <f t="shared" ca="1" si="36"/>
        <v>110.75634023669673</v>
      </c>
      <c r="AJ16" s="85">
        <f t="shared" ca="1" si="37"/>
        <v>115.15973853916601</v>
      </c>
      <c r="AK16" s="85">
        <f t="shared" ca="1" si="38"/>
        <v>116.26720032196459</v>
      </c>
      <c r="AL16" s="85">
        <f t="shared" ca="1" si="39"/>
        <v>119.4396827318798</v>
      </c>
      <c r="AM16" s="85">
        <f t="shared" ca="1" si="40"/>
        <v>110.33528654750103</v>
      </c>
      <c r="AN16" s="85">
        <f t="shared" ca="1" si="41"/>
        <v>119.32211163233879</v>
      </c>
      <c r="AO16" s="85">
        <f t="shared" ca="1" si="42"/>
        <v>116.73694834114042</v>
      </c>
      <c r="AP16" s="85">
        <f t="shared" ca="1" si="43"/>
        <v>119.51374072882655</v>
      </c>
      <c r="AQ16" s="85">
        <f t="shared" ca="1" si="44"/>
        <v>115.37329825210753</v>
      </c>
      <c r="AR16" s="85">
        <f t="shared" ca="1" si="45"/>
        <v>114.38722240613355</v>
      </c>
      <c r="AS16" s="85">
        <f t="shared" ca="1" si="46"/>
        <v>114.84662143515443</v>
      </c>
      <c r="AT16" s="85">
        <f t="shared" ca="1" si="47"/>
        <v>111.73248157781561</v>
      </c>
      <c r="AU16" s="85">
        <f t="shared" ca="1" si="48"/>
        <v>114.99527888523997</v>
      </c>
      <c r="AV16" s="85">
        <f t="shared" ca="1" si="49"/>
        <v>118.430768921229</v>
      </c>
      <c r="AW16" s="85">
        <f t="shared" ca="1" si="50"/>
        <v>116.9810850484894</v>
      </c>
      <c r="AX16" s="85">
        <f t="shared" ca="1" si="51"/>
        <v>119.73441592122042</v>
      </c>
      <c r="AY16" s="85">
        <f t="shared" ca="1" si="52"/>
        <v>120.14764580071581</v>
      </c>
      <c r="AZ16" s="85">
        <f t="shared" ca="1" si="53"/>
        <v>115.05043752917975</v>
      </c>
      <c r="BA16" s="85">
        <f t="shared" ca="1" si="54"/>
        <v>115.20815050809179</v>
      </c>
      <c r="BB16" s="85">
        <f t="shared" ca="1" si="55"/>
        <v>111.61927120111115</v>
      </c>
      <c r="BC16" s="85">
        <f t="shared" ca="1" si="56"/>
        <v>115.00727296053637</v>
      </c>
      <c r="BD16" s="85">
        <f t="shared" ca="1" si="57"/>
        <v>117.5439520618706</v>
      </c>
      <c r="BE16" s="85">
        <f t="shared" ca="1" si="58"/>
        <v>113.55356571943899</v>
      </c>
      <c r="BF16" s="85">
        <f t="shared" ca="1" si="59"/>
        <v>115.59024999024682</v>
      </c>
      <c r="BG16" s="85">
        <f t="shared" ca="1" si="60"/>
        <v>113.96066435348511</v>
      </c>
      <c r="BH16" s="85">
        <f t="shared" ca="1" si="61"/>
        <v>113.39211778937934</v>
      </c>
      <c r="BI16" s="85">
        <f t="shared" ca="1" si="62"/>
        <v>118.39076412967069</v>
      </c>
      <c r="BJ16" s="85">
        <f t="shared" ca="1" si="63"/>
        <v>115.15592700619472</v>
      </c>
      <c r="BK16" s="85">
        <f t="shared" ca="1" si="64"/>
        <v>113.38265765908547</v>
      </c>
      <c r="BL16" s="85">
        <f t="shared" ca="1" si="65"/>
        <v>114.36006225232153</v>
      </c>
      <c r="BM16" s="85">
        <f t="shared" ca="1" si="66"/>
        <v>109.47885136308948</v>
      </c>
      <c r="BN16" s="85">
        <f t="shared" ca="1" si="3"/>
        <v>111.63755289608903</v>
      </c>
      <c r="BO16" s="85">
        <f t="shared" ca="1" si="92"/>
        <v>111.63222109504829</v>
      </c>
      <c r="BP16" s="85">
        <f t="shared" ca="1" si="93"/>
        <v>112.42346266007515</v>
      </c>
      <c r="BQ16" s="85">
        <f t="shared" ca="1" si="94"/>
        <v>112.75696477112126</v>
      </c>
      <c r="BR16" s="85">
        <f t="shared" ca="1" si="95"/>
        <v>110.91724693487704</v>
      </c>
      <c r="BS16" s="85">
        <f t="shared" ca="1" si="96"/>
        <v>113.87256882452111</v>
      </c>
      <c r="BT16" s="85">
        <f t="shared" ca="1" si="97"/>
        <v>110.8243820993543</v>
      </c>
      <c r="BU16" s="85">
        <f t="shared" ca="1" si="98"/>
        <v>116.94565518015865</v>
      </c>
      <c r="BV16" s="85">
        <f t="shared" ca="1" si="99"/>
        <v>114.92797553816065</v>
      </c>
      <c r="BW16" s="85">
        <f t="shared" ca="1" si="100"/>
        <v>121.40843613702208</v>
      </c>
      <c r="BX16" s="85">
        <f t="shared" ca="1" si="101"/>
        <v>115.55735465118782</v>
      </c>
      <c r="BY16" s="85">
        <f t="shared" ca="1" si="67"/>
        <v>113.94878629691354</v>
      </c>
      <c r="BZ16" s="85">
        <f t="shared" ca="1" si="68"/>
        <v>117.39104554459682</v>
      </c>
      <c r="CA16" s="85">
        <f t="shared" ca="1" si="69"/>
        <v>115.24247217263577</v>
      </c>
      <c r="CB16" s="85">
        <f t="shared" ca="1" si="70"/>
        <v>114.41919000104802</v>
      </c>
      <c r="CC16" s="85">
        <f t="shared" ca="1" si="71"/>
        <v>115.6963775267421</v>
      </c>
      <c r="CD16" s="85">
        <f t="shared" ca="1" si="72"/>
        <v>116.71688629459324</v>
      </c>
      <c r="CE16" s="85">
        <f t="shared" ca="1" si="73"/>
        <v>113.11494528570331</v>
      </c>
      <c r="CF16" s="85">
        <f t="shared" ca="1" si="74"/>
        <v>115.67846920433961</v>
      </c>
      <c r="CG16" s="85">
        <f t="shared" ca="1" si="75"/>
        <v>114.32902727794202</v>
      </c>
      <c r="CH16" s="85">
        <f t="shared" ca="1" si="76"/>
        <v>116.70222610861251</v>
      </c>
      <c r="CI16" s="85">
        <f t="shared" ca="1" si="77"/>
        <v>117.12624516122915</v>
      </c>
      <c r="CJ16" s="85">
        <f t="shared" ca="1" si="78"/>
        <v>114.78190794493941</v>
      </c>
      <c r="CK16" s="85">
        <f t="shared" ca="1" si="79"/>
        <v>111.64014380293833</v>
      </c>
      <c r="CL16" s="85">
        <f t="shared" ca="1" si="80"/>
        <v>110.56250963873877</v>
      </c>
      <c r="CM16" s="85">
        <f t="shared" ca="1" si="81"/>
        <v>113.88790786628053</v>
      </c>
      <c r="CN16" s="85">
        <f t="shared" ca="1" si="82"/>
        <v>111.53362135665965</v>
      </c>
      <c r="CO16" s="85">
        <f t="shared" ca="1" si="83"/>
        <v>115.08843755457201</v>
      </c>
      <c r="CP16" s="85">
        <f t="shared" ca="1" si="84"/>
        <v>113.59784572674573</v>
      </c>
      <c r="CQ16" s="85">
        <f t="shared" ca="1" si="85"/>
        <v>115.54910908111998</v>
      </c>
      <c r="CR16" s="85">
        <f t="shared" ca="1" si="86"/>
        <v>114.35147944529335</v>
      </c>
      <c r="CS16" s="85">
        <f t="shared" ca="1" si="87"/>
        <v>114.62915589800053</v>
      </c>
      <c r="CT16" s="85">
        <f t="shared" ca="1" si="88"/>
        <v>117.79673763489497</v>
      </c>
      <c r="CU16" s="85">
        <f t="shared" ca="1" si="89"/>
        <v>116.77082833618974</v>
      </c>
      <c r="CV16" s="85">
        <f t="shared" ca="1" si="90"/>
        <v>113.67830172128576</v>
      </c>
      <c r="CW16" s="85">
        <f t="shared" ca="1" si="91"/>
        <v>113.56014619136613</v>
      </c>
    </row>
    <row r="17" spans="1:101" x14ac:dyDescent="0.2">
      <c r="A17" s="115">
        <v>14</v>
      </c>
      <c r="B17" s="85">
        <f t="shared" ca="1" si="2"/>
        <v>116.79534417247216</v>
      </c>
      <c r="C17" s="85">
        <f t="shared" ca="1" si="4"/>
        <v>119.5018456880714</v>
      </c>
      <c r="D17" s="85">
        <f t="shared" ca="1" si="5"/>
        <v>112.33746619896787</v>
      </c>
      <c r="E17" s="85">
        <f t="shared" ca="1" si="6"/>
        <v>114.4023580725086</v>
      </c>
      <c r="F17" s="85">
        <f t="shared" ca="1" si="7"/>
        <v>113.46786795975186</v>
      </c>
      <c r="G17" s="85">
        <f t="shared" ca="1" si="8"/>
        <v>113.87813941292411</v>
      </c>
      <c r="H17" s="85">
        <f t="shared" ca="1" si="9"/>
        <v>115.30084258425258</v>
      </c>
      <c r="I17" s="85">
        <f t="shared" ca="1" si="10"/>
        <v>117.52400446137939</v>
      </c>
      <c r="J17" s="85">
        <f t="shared" ca="1" si="11"/>
        <v>116.81161705407116</v>
      </c>
      <c r="K17" s="85">
        <f t="shared" ca="1" si="12"/>
        <v>110.23255193668032</v>
      </c>
      <c r="L17" s="85">
        <f t="shared" ca="1" si="13"/>
        <v>117.76211508559098</v>
      </c>
      <c r="M17" s="85">
        <f t="shared" ca="1" si="14"/>
        <v>106.04298216782966</v>
      </c>
      <c r="N17" s="85">
        <f t="shared" ca="1" si="15"/>
        <v>117.55842529940686</v>
      </c>
      <c r="O17" s="85">
        <f t="shared" ca="1" si="16"/>
        <v>117.29465706458421</v>
      </c>
      <c r="P17" s="85">
        <f t="shared" ca="1" si="17"/>
        <v>116.3718105956402</v>
      </c>
      <c r="Q17" s="85">
        <f t="shared" ca="1" si="18"/>
        <v>117.45639719981423</v>
      </c>
      <c r="R17" s="85">
        <f t="shared" ca="1" si="19"/>
        <v>116.11969848354003</v>
      </c>
      <c r="S17" s="85">
        <f t="shared" ca="1" si="20"/>
        <v>117.35981332018227</v>
      </c>
      <c r="T17" s="85">
        <f t="shared" ca="1" si="21"/>
        <v>116.97326308036558</v>
      </c>
      <c r="U17" s="85">
        <f t="shared" ca="1" si="22"/>
        <v>111.42494543479745</v>
      </c>
      <c r="V17" s="85">
        <f t="shared" ca="1" si="23"/>
        <v>116.39526949368253</v>
      </c>
      <c r="W17" s="85">
        <f t="shared" ca="1" si="24"/>
        <v>119.15650227264106</v>
      </c>
      <c r="X17" s="85">
        <f t="shared" ca="1" si="25"/>
        <v>115.1823540616615</v>
      </c>
      <c r="Y17" s="85">
        <f t="shared" ca="1" si="26"/>
        <v>116.31646278814668</v>
      </c>
      <c r="Z17" s="85">
        <f t="shared" ca="1" si="27"/>
        <v>120.59552694174731</v>
      </c>
      <c r="AA17" s="85">
        <f t="shared" ca="1" si="28"/>
        <v>112.71364108906222</v>
      </c>
      <c r="AB17" s="85">
        <f t="shared" ca="1" si="29"/>
        <v>117.41569544247649</v>
      </c>
      <c r="AC17" s="85">
        <f t="shared" ca="1" si="30"/>
        <v>114.71901814272179</v>
      </c>
      <c r="AD17" s="85">
        <f t="shared" ca="1" si="31"/>
        <v>121.42803540159656</v>
      </c>
      <c r="AE17" s="85">
        <f t="shared" ca="1" si="32"/>
        <v>121.41574968322794</v>
      </c>
      <c r="AF17" s="85">
        <f t="shared" ca="1" si="33"/>
        <v>118.68937120244252</v>
      </c>
      <c r="AG17" s="85">
        <f t="shared" ca="1" si="34"/>
        <v>117.83947654232168</v>
      </c>
      <c r="AH17" s="85">
        <f t="shared" ca="1" si="35"/>
        <v>113.92651142469583</v>
      </c>
      <c r="AI17" s="85">
        <f t="shared" ca="1" si="36"/>
        <v>113.88946795181222</v>
      </c>
      <c r="AJ17" s="85">
        <f t="shared" ca="1" si="37"/>
        <v>118.24984511042773</v>
      </c>
      <c r="AK17" s="85">
        <f t="shared" ca="1" si="38"/>
        <v>116.18414960382846</v>
      </c>
      <c r="AL17" s="85">
        <f t="shared" ca="1" si="39"/>
        <v>120.58048968891561</v>
      </c>
      <c r="AM17" s="85">
        <f t="shared" ca="1" si="40"/>
        <v>112.03566729504863</v>
      </c>
      <c r="AN17" s="85">
        <f t="shared" ca="1" si="41"/>
        <v>122.10965539669732</v>
      </c>
      <c r="AO17" s="85">
        <f t="shared" ca="1" si="42"/>
        <v>118.35356853112262</v>
      </c>
      <c r="AP17" s="85">
        <f t="shared" ca="1" si="43"/>
        <v>121.91302915911321</v>
      </c>
      <c r="AQ17" s="85">
        <f t="shared" ca="1" si="44"/>
        <v>116.21449151646617</v>
      </c>
      <c r="AR17" s="85">
        <f t="shared" ca="1" si="45"/>
        <v>116.07495251617176</v>
      </c>
      <c r="AS17" s="85">
        <f t="shared" ca="1" si="46"/>
        <v>116.91742344206146</v>
      </c>
      <c r="AT17" s="85">
        <f t="shared" ca="1" si="47"/>
        <v>113.74845167719558</v>
      </c>
      <c r="AU17" s="85">
        <f t="shared" ca="1" si="48"/>
        <v>116.71773599077122</v>
      </c>
      <c r="AV17" s="85">
        <f t="shared" ca="1" si="49"/>
        <v>120.31672143369083</v>
      </c>
      <c r="AW17" s="85">
        <f t="shared" ca="1" si="50"/>
        <v>118.24303287517391</v>
      </c>
      <c r="AX17" s="85">
        <f t="shared" ca="1" si="51"/>
        <v>121.04159442617463</v>
      </c>
      <c r="AY17" s="85">
        <f t="shared" ca="1" si="52"/>
        <v>121.62759819657332</v>
      </c>
      <c r="AZ17" s="85">
        <f t="shared" ca="1" si="53"/>
        <v>116.317287365616</v>
      </c>
      <c r="BA17" s="85">
        <f t="shared" ca="1" si="54"/>
        <v>117.00863112860374</v>
      </c>
      <c r="BB17" s="85">
        <f t="shared" ca="1" si="55"/>
        <v>114.48512561924542</v>
      </c>
      <c r="BC17" s="85">
        <f t="shared" ca="1" si="56"/>
        <v>118.5855949772653</v>
      </c>
      <c r="BD17" s="85">
        <f t="shared" ca="1" si="57"/>
        <v>118.12557341310256</v>
      </c>
      <c r="BE17" s="85">
        <f t="shared" ca="1" si="58"/>
        <v>115.01480605230741</v>
      </c>
      <c r="BF17" s="85">
        <f t="shared" ca="1" si="59"/>
        <v>118.12566842684262</v>
      </c>
      <c r="BG17" s="85">
        <f t="shared" ca="1" si="60"/>
        <v>114.1834189861606</v>
      </c>
      <c r="BH17" s="85">
        <f t="shared" ca="1" si="61"/>
        <v>115.08181132294916</v>
      </c>
      <c r="BI17" s="85">
        <f t="shared" ca="1" si="62"/>
        <v>118.02157452133491</v>
      </c>
      <c r="BJ17" s="85">
        <f t="shared" ca="1" si="63"/>
        <v>117.15017736164158</v>
      </c>
      <c r="BK17" s="85">
        <f t="shared" ca="1" si="64"/>
        <v>115.1171262462413</v>
      </c>
      <c r="BL17" s="85">
        <f t="shared" ca="1" si="65"/>
        <v>115.97318081590562</v>
      </c>
      <c r="BM17" s="85">
        <f t="shared" ca="1" si="66"/>
        <v>109.94676013089885</v>
      </c>
      <c r="BN17" s="85">
        <f t="shared" ca="1" si="3"/>
        <v>113.79901730178504</v>
      </c>
      <c r="BO17" s="85">
        <f t="shared" ca="1" si="92"/>
        <v>113.05201519630455</v>
      </c>
      <c r="BP17" s="85">
        <f t="shared" ca="1" si="93"/>
        <v>113.69357221703551</v>
      </c>
      <c r="BQ17" s="85">
        <f t="shared" ca="1" si="94"/>
        <v>114.65186839417905</v>
      </c>
      <c r="BR17" s="85">
        <f t="shared" ca="1" si="95"/>
        <v>110.90568758755319</v>
      </c>
      <c r="BS17" s="85">
        <f t="shared" ca="1" si="96"/>
        <v>116.86464205498913</v>
      </c>
      <c r="BT17" s="85">
        <f t="shared" ca="1" si="97"/>
        <v>113.4384873924776</v>
      </c>
      <c r="BU17" s="85">
        <f t="shared" ca="1" si="98"/>
        <v>118.57198220233266</v>
      </c>
      <c r="BV17" s="85">
        <f t="shared" ca="1" si="99"/>
        <v>115.55123701764012</v>
      </c>
      <c r="BW17" s="85">
        <f t="shared" ca="1" si="100"/>
        <v>123.21902404791393</v>
      </c>
      <c r="BX17" s="85">
        <f t="shared" ca="1" si="101"/>
        <v>116.77102021594095</v>
      </c>
      <c r="BY17" s="85">
        <f t="shared" ca="1" si="67"/>
        <v>115.42481025048242</v>
      </c>
      <c r="BZ17" s="85">
        <f t="shared" ca="1" si="68"/>
        <v>119.62936197834327</v>
      </c>
      <c r="CA17" s="85">
        <f t="shared" ca="1" si="69"/>
        <v>115.93386850021064</v>
      </c>
      <c r="CB17" s="85">
        <f t="shared" ca="1" si="70"/>
        <v>116.3525807339322</v>
      </c>
      <c r="CC17" s="85">
        <f t="shared" ca="1" si="71"/>
        <v>118.59515375394754</v>
      </c>
      <c r="CD17" s="85">
        <f t="shared" ca="1" si="72"/>
        <v>116.7160462199261</v>
      </c>
      <c r="CE17" s="85">
        <f t="shared" ca="1" si="73"/>
        <v>115.05899637400776</v>
      </c>
      <c r="CF17" s="85">
        <f t="shared" ca="1" si="74"/>
        <v>117.71288849376445</v>
      </c>
      <c r="CG17" s="85">
        <f t="shared" ca="1" si="75"/>
        <v>116.16355524075976</v>
      </c>
      <c r="CH17" s="85">
        <f t="shared" ca="1" si="76"/>
        <v>120.19111762406646</v>
      </c>
      <c r="CI17" s="85">
        <f t="shared" ca="1" si="77"/>
        <v>119.12072497853045</v>
      </c>
      <c r="CJ17" s="85">
        <f t="shared" ca="1" si="78"/>
        <v>114.86997376529563</v>
      </c>
      <c r="CK17" s="85">
        <f t="shared" ca="1" si="79"/>
        <v>112.655615132641</v>
      </c>
      <c r="CL17" s="85">
        <f t="shared" ca="1" si="80"/>
        <v>111.58449303652976</v>
      </c>
      <c r="CM17" s="85">
        <f t="shared" ca="1" si="81"/>
        <v>116.22405397915935</v>
      </c>
      <c r="CN17" s="85">
        <f t="shared" ca="1" si="82"/>
        <v>113.74094589926527</v>
      </c>
      <c r="CO17" s="85">
        <f t="shared" ca="1" si="83"/>
        <v>114.66026956281928</v>
      </c>
      <c r="CP17" s="85">
        <f t="shared" ca="1" si="84"/>
        <v>116.36488380434453</v>
      </c>
      <c r="CQ17" s="85">
        <f t="shared" ca="1" si="85"/>
        <v>117.04978548808118</v>
      </c>
      <c r="CR17" s="85">
        <f t="shared" ca="1" si="86"/>
        <v>116.0472310463646</v>
      </c>
      <c r="CS17" s="85">
        <f t="shared" ca="1" si="87"/>
        <v>114.78772556705511</v>
      </c>
      <c r="CT17" s="85">
        <f t="shared" ca="1" si="88"/>
        <v>118.91638023092038</v>
      </c>
      <c r="CU17" s="85">
        <f t="shared" ca="1" si="89"/>
        <v>118.27988376024651</v>
      </c>
      <c r="CV17" s="85">
        <f t="shared" ca="1" si="90"/>
        <v>114.4123979263929</v>
      </c>
      <c r="CW17" s="85">
        <f t="shared" ca="1" si="91"/>
        <v>114.35525634967189</v>
      </c>
    </row>
    <row r="18" spans="1:101" x14ac:dyDescent="0.2">
      <c r="A18" s="115">
        <v>15</v>
      </c>
      <c r="B18" s="85">
        <f t="shared" ca="1" si="2"/>
        <v>119.1955199222742</v>
      </c>
      <c r="C18" s="85">
        <f t="shared" ca="1" si="4"/>
        <v>122.42773382560948</v>
      </c>
      <c r="D18" s="85">
        <f t="shared" ca="1" si="5"/>
        <v>113.94663208422986</v>
      </c>
      <c r="E18" s="85">
        <f t="shared" ca="1" si="6"/>
        <v>116.51128271993534</v>
      </c>
      <c r="F18" s="85">
        <f t="shared" ca="1" si="7"/>
        <v>115.51988917042506</v>
      </c>
      <c r="G18" s="85">
        <f t="shared" ca="1" si="8"/>
        <v>115.5252258821791</v>
      </c>
      <c r="H18" s="85">
        <f t="shared" ca="1" si="9"/>
        <v>116.08556524413001</v>
      </c>
      <c r="I18" s="85">
        <f t="shared" ca="1" si="10"/>
        <v>119.7348896567708</v>
      </c>
      <c r="J18" s="85">
        <f t="shared" ca="1" si="11"/>
        <v>119.69232650847995</v>
      </c>
      <c r="K18" s="85">
        <f t="shared" ca="1" si="12"/>
        <v>111.111789070988</v>
      </c>
      <c r="L18" s="85">
        <f t="shared" ca="1" si="13"/>
        <v>120.25724654000946</v>
      </c>
      <c r="M18" s="85">
        <f t="shared" ca="1" si="14"/>
        <v>107.72391097220734</v>
      </c>
      <c r="N18" s="85">
        <f t="shared" ca="1" si="15"/>
        <v>120.15770855118916</v>
      </c>
      <c r="O18" s="85">
        <f t="shared" ca="1" si="16"/>
        <v>117.52924876090795</v>
      </c>
      <c r="P18" s="85">
        <f t="shared" ca="1" si="17"/>
        <v>117.94105657486271</v>
      </c>
      <c r="Q18" s="85">
        <f t="shared" ca="1" si="18"/>
        <v>120.1597323364381</v>
      </c>
      <c r="R18" s="85">
        <f t="shared" ca="1" si="19"/>
        <v>116.94148669341186</v>
      </c>
      <c r="S18" s="85">
        <f t="shared" ca="1" si="20"/>
        <v>118.08284135586858</v>
      </c>
      <c r="T18" s="85">
        <f t="shared" ca="1" si="21"/>
        <v>117.24930352990418</v>
      </c>
      <c r="U18" s="85">
        <f t="shared" ca="1" si="22"/>
        <v>111.94873370735999</v>
      </c>
      <c r="V18" s="85">
        <f t="shared" ca="1" si="23"/>
        <v>117.84760297341231</v>
      </c>
      <c r="W18" s="85">
        <f t="shared" ca="1" si="24"/>
        <v>119.81968723652004</v>
      </c>
      <c r="X18" s="85">
        <f t="shared" ca="1" si="25"/>
        <v>115.5345434405022</v>
      </c>
      <c r="Y18" s="85">
        <f t="shared" ca="1" si="26"/>
        <v>116.39046304532019</v>
      </c>
      <c r="Z18" s="85">
        <f t="shared" ca="1" si="27"/>
        <v>119.25044403014628</v>
      </c>
      <c r="AA18" s="85">
        <f t="shared" ca="1" si="28"/>
        <v>114.41221807172171</v>
      </c>
      <c r="AB18" s="85">
        <f t="shared" ca="1" si="29"/>
        <v>119.39132331425557</v>
      </c>
      <c r="AC18" s="85">
        <f t="shared" ca="1" si="30"/>
        <v>116.37637906436693</v>
      </c>
      <c r="AD18" s="85">
        <f t="shared" ca="1" si="31"/>
        <v>122.52923628158831</v>
      </c>
      <c r="AE18" s="85">
        <f t="shared" ca="1" si="32"/>
        <v>123.36912763502629</v>
      </c>
      <c r="AF18" s="85">
        <f t="shared" ca="1" si="33"/>
        <v>118.84288171985767</v>
      </c>
      <c r="AG18" s="85">
        <f t="shared" ca="1" si="34"/>
        <v>119.74422345637304</v>
      </c>
      <c r="AH18" s="85">
        <f t="shared" ca="1" si="35"/>
        <v>116.18417923803403</v>
      </c>
      <c r="AI18" s="85">
        <f t="shared" ca="1" si="36"/>
        <v>116.11024848241529</v>
      </c>
      <c r="AJ18" s="85">
        <f t="shared" ca="1" si="37"/>
        <v>119.85081951823973</v>
      </c>
      <c r="AK18" s="85">
        <f t="shared" ca="1" si="38"/>
        <v>118.0549075784437</v>
      </c>
      <c r="AL18" s="85">
        <f t="shared" ca="1" si="39"/>
        <v>123.50279787555715</v>
      </c>
      <c r="AM18" s="85">
        <f t="shared" ca="1" si="40"/>
        <v>113.20190102420844</v>
      </c>
      <c r="AN18" s="85">
        <f t="shared" ca="1" si="41"/>
        <v>123.96612427157622</v>
      </c>
      <c r="AO18" s="85">
        <f t="shared" ca="1" si="42"/>
        <v>118.97913619221276</v>
      </c>
      <c r="AP18" s="85">
        <f t="shared" ca="1" si="43"/>
        <v>122.75872802657842</v>
      </c>
      <c r="AQ18" s="85">
        <f t="shared" ca="1" si="44"/>
        <v>117.47479935498754</v>
      </c>
      <c r="AR18" s="85">
        <f t="shared" ca="1" si="45"/>
        <v>117.37915033718538</v>
      </c>
      <c r="AS18" s="85">
        <f t="shared" ca="1" si="46"/>
        <v>119.37599143456134</v>
      </c>
      <c r="AT18" s="85">
        <f t="shared" ca="1" si="47"/>
        <v>114.81517649694902</v>
      </c>
      <c r="AU18" s="85">
        <f t="shared" ca="1" si="48"/>
        <v>118.1180425846123</v>
      </c>
      <c r="AV18" s="85">
        <f t="shared" ca="1" si="49"/>
        <v>121.6158378888932</v>
      </c>
      <c r="AW18" s="85">
        <f t="shared" ca="1" si="50"/>
        <v>119.38864682838565</v>
      </c>
      <c r="AX18" s="85">
        <f t="shared" ca="1" si="51"/>
        <v>122.81665519536514</v>
      </c>
      <c r="AY18" s="85">
        <f t="shared" ca="1" si="52"/>
        <v>122.93569389448895</v>
      </c>
      <c r="AZ18" s="85">
        <f t="shared" ca="1" si="53"/>
        <v>118.07941378714862</v>
      </c>
      <c r="BA18" s="85">
        <f t="shared" ca="1" si="54"/>
        <v>118.9513748381584</v>
      </c>
      <c r="BB18" s="85">
        <f t="shared" ca="1" si="55"/>
        <v>116.33466889841579</v>
      </c>
      <c r="BC18" s="85">
        <f t="shared" ca="1" si="56"/>
        <v>121.04952610003969</v>
      </c>
      <c r="BD18" s="85">
        <f t="shared" ca="1" si="57"/>
        <v>119.90013543813849</v>
      </c>
      <c r="BE18" s="85">
        <f t="shared" ca="1" si="58"/>
        <v>117.35112112441352</v>
      </c>
      <c r="BF18" s="85">
        <f t="shared" ca="1" si="59"/>
        <v>119.33677123678642</v>
      </c>
      <c r="BG18" s="85">
        <f t="shared" ca="1" si="60"/>
        <v>115.11780201117752</v>
      </c>
      <c r="BH18" s="85">
        <f t="shared" ca="1" si="61"/>
        <v>116.49499720654055</v>
      </c>
      <c r="BI18" s="85">
        <f t="shared" ca="1" si="62"/>
        <v>118.95217134739882</v>
      </c>
      <c r="BJ18" s="85">
        <f t="shared" ca="1" si="63"/>
        <v>118.77385064134941</v>
      </c>
      <c r="BK18" s="85">
        <f t="shared" ca="1" si="64"/>
        <v>116.89567393451475</v>
      </c>
      <c r="BL18" s="85">
        <f t="shared" ca="1" si="65"/>
        <v>117.1047333107942</v>
      </c>
      <c r="BM18" s="85">
        <f t="shared" ca="1" si="66"/>
        <v>110.62744180694934</v>
      </c>
      <c r="BN18" s="85">
        <f t="shared" ca="1" si="3"/>
        <v>115.48782545339442</v>
      </c>
      <c r="BO18" s="85">
        <f t="shared" ca="1" si="92"/>
        <v>114.79943931446319</v>
      </c>
      <c r="BP18" s="85">
        <f t="shared" ca="1" si="93"/>
        <v>115.14933262697738</v>
      </c>
      <c r="BQ18" s="85">
        <f t="shared" ca="1" si="94"/>
        <v>117.56660432495296</v>
      </c>
      <c r="BR18" s="85">
        <f t="shared" ca="1" si="95"/>
        <v>112.15340266378008</v>
      </c>
      <c r="BS18" s="85">
        <f t="shared" ca="1" si="96"/>
        <v>118.82781124260002</v>
      </c>
      <c r="BT18" s="85">
        <f t="shared" ca="1" si="97"/>
        <v>113.91206977403994</v>
      </c>
      <c r="BU18" s="85">
        <f t="shared" ca="1" si="98"/>
        <v>121.60823870925998</v>
      </c>
      <c r="BV18" s="85">
        <f t="shared" ca="1" si="99"/>
        <v>117.55661852800465</v>
      </c>
      <c r="BW18" s="85">
        <f t="shared" ca="1" si="100"/>
        <v>125.22846068259123</v>
      </c>
      <c r="BX18" s="85">
        <f t="shared" ca="1" si="101"/>
        <v>116.99104401360005</v>
      </c>
      <c r="BY18" s="85">
        <f t="shared" ca="1" si="67"/>
        <v>114.94330824448231</v>
      </c>
      <c r="BZ18" s="85">
        <f t="shared" ca="1" si="68"/>
        <v>119.59687170402613</v>
      </c>
      <c r="CA18" s="85">
        <f t="shared" ca="1" si="69"/>
        <v>117.97329431300645</v>
      </c>
      <c r="CB18" s="85">
        <f t="shared" ca="1" si="70"/>
        <v>118.58575061690944</v>
      </c>
      <c r="CC18" s="85">
        <f t="shared" ca="1" si="71"/>
        <v>121.38312714699961</v>
      </c>
      <c r="CD18" s="85">
        <f t="shared" ca="1" si="72"/>
        <v>118.89371851997937</v>
      </c>
      <c r="CE18" s="85">
        <f t="shared" ca="1" si="73"/>
        <v>115.55966392059391</v>
      </c>
      <c r="CF18" s="85">
        <f t="shared" ca="1" si="74"/>
        <v>119.50098299649829</v>
      </c>
      <c r="CG18" s="85">
        <f t="shared" ca="1" si="75"/>
        <v>117.73853676778187</v>
      </c>
      <c r="CH18" s="85">
        <f t="shared" ca="1" si="76"/>
        <v>121.59420485696667</v>
      </c>
      <c r="CI18" s="85">
        <f t="shared" ca="1" si="77"/>
        <v>119.71068871070068</v>
      </c>
      <c r="CJ18" s="85">
        <f t="shared" ca="1" si="78"/>
        <v>116.94667461715696</v>
      </c>
      <c r="CK18" s="85">
        <f t="shared" ca="1" si="79"/>
        <v>113.88977524987742</v>
      </c>
      <c r="CL18" s="85">
        <f t="shared" ca="1" si="80"/>
        <v>113.38160955765622</v>
      </c>
      <c r="CM18" s="85">
        <f t="shared" ca="1" si="81"/>
        <v>118.30574705920297</v>
      </c>
      <c r="CN18" s="85">
        <f t="shared" ca="1" si="82"/>
        <v>116.47772877445114</v>
      </c>
      <c r="CO18" s="85">
        <f t="shared" ca="1" si="83"/>
        <v>116.55531305733166</v>
      </c>
      <c r="CP18" s="85">
        <f t="shared" ca="1" si="84"/>
        <v>119.46709743504667</v>
      </c>
      <c r="CQ18" s="85">
        <f t="shared" ca="1" si="85"/>
        <v>118.46866546916857</v>
      </c>
      <c r="CR18" s="85">
        <f t="shared" ca="1" si="86"/>
        <v>116.92043623595367</v>
      </c>
      <c r="CS18" s="85">
        <f t="shared" ca="1" si="87"/>
        <v>116.02688829654323</v>
      </c>
      <c r="CT18" s="85">
        <f t="shared" ca="1" si="88"/>
        <v>120.83262234856352</v>
      </c>
      <c r="CU18" s="85">
        <f t="shared" ca="1" si="89"/>
        <v>119.20782721345145</v>
      </c>
      <c r="CV18" s="85">
        <f t="shared" ca="1" si="90"/>
        <v>115.69524620532962</v>
      </c>
      <c r="CW18" s="85">
        <f t="shared" ca="1" si="91"/>
        <v>116.43568539694105</v>
      </c>
    </row>
    <row r="19" spans="1:101" x14ac:dyDescent="0.2">
      <c r="A19" s="115">
        <v>16</v>
      </c>
      <c r="B19" s="85">
        <f t="shared" ca="1" si="2"/>
        <v>120.47894137088814</v>
      </c>
      <c r="C19" s="85">
        <f t="shared" ca="1" si="4"/>
        <v>123.42490643119238</v>
      </c>
      <c r="D19" s="85">
        <f t="shared" ca="1" si="5"/>
        <v>115.91235733446328</v>
      </c>
      <c r="E19" s="85">
        <f t="shared" ca="1" si="6"/>
        <v>117.15747387444004</v>
      </c>
      <c r="F19" s="85">
        <f t="shared" ca="1" si="7"/>
        <v>117.9675925601322</v>
      </c>
      <c r="G19" s="85">
        <f t="shared" ca="1" si="8"/>
        <v>115.30012997111092</v>
      </c>
      <c r="H19" s="85">
        <f t="shared" ca="1" si="9"/>
        <v>117.68154315668772</v>
      </c>
      <c r="I19" s="85">
        <f t="shared" ca="1" si="10"/>
        <v>121.60087140755739</v>
      </c>
      <c r="J19" s="85">
        <f t="shared" ca="1" si="11"/>
        <v>119.62371107605574</v>
      </c>
      <c r="K19" s="85">
        <f t="shared" ca="1" si="12"/>
        <v>110.67225750642581</v>
      </c>
      <c r="L19" s="85">
        <f t="shared" ca="1" si="13"/>
        <v>121.97335934778381</v>
      </c>
      <c r="M19" s="85">
        <f t="shared" ca="1" si="14"/>
        <v>109.30954525094323</v>
      </c>
      <c r="N19" s="85">
        <f t="shared" ca="1" si="15"/>
        <v>121.9737667040602</v>
      </c>
      <c r="O19" s="85">
        <f t="shared" ca="1" si="16"/>
        <v>119.48105019589886</v>
      </c>
      <c r="P19" s="85">
        <f t="shared" ca="1" si="17"/>
        <v>118.63976217389002</v>
      </c>
      <c r="Q19" s="85">
        <f t="shared" ca="1" si="18"/>
        <v>121.61519599474875</v>
      </c>
      <c r="R19" s="85">
        <f t="shared" ca="1" si="19"/>
        <v>117.77071996704224</v>
      </c>
      <c r="S19" s="85">
        <f t="shared" ca="1" si="20"/>
        <v>119.1382366354627</v>
      </c>
      <c r="T19" s="85">
        <f t="shared" ca="1" si="21"/>
        <v>118.88851700742944</v>
      </c>
      <c r="U19" s="85">
        <f t="shared" ca="1" si="22"/>
        <v>114.21547470953075</v>
      </c>
      <c r="V19" s="85">
        <f t="shared" ca="1" si="23"/>
        <v>117.72397184915033</v>
      </c>
      <c r="W19" s="85">
        <f t="shared" ca="1" si="24"/>
        <v>121.26040879366586</v>
      </c>
      <c r="X19" s="85">
        <f t="shared" ca="1" si="25"/>
        <v>116.97999933498151</v>
      </c>
      <c r="Y19" s="85">
        <f t="shared" ca="1" si="26"/>
        <v>117.19026409126381</v>
      </c>
      <c r="Z19" s="85">
        <f t="shared" ca="1" si="27"/>
        <v>121.50625458687706</v>
      </c>
      <c r="AA19" s="85">
        <f t="shared" ca="1" si="28"/>
        <v>116.68056266816784</v>
      </c>
      <c r="AB19" s="85">
        <f t="shared" ca="1" si="29"/>
        <v>120.54716601328687</v>
      </c>
      <c r="AC19" s="85">
        <f t="shared" ca="1" si="30"/>
        <v>117.56033365069675</v>
      </c>
      <c r="AD19" s="85">
        <f t="shared" ca="1" si="31"/>
        <v>123.74283850682936</v>
      </c>
      <c r="AE19" s="85">
        <f t="shared" ca="1" si="32"/>
        <v>123.32407246681061</v>
      </c>
      <c r="AF19" s="85">
        <f t="shared" ca="1" si="33"/>
        <v>120.81426247490622</v>
      </c>
      <c r="AG19" s="85">
        <f t="shared" ca="1" si="34"/>
        <v>121.33722600141527</v>
      </c>
      <c r="AH19" s="85">
        <f t="shared" ca="1" si="35"/>
        <v>119.12041397360439</v>
      </c>
      <c r="AI19" s="85">
        <f t="shared" ca="1" si="36"/>
        <v>117.46194616871477</v>
      </c>
      <c r="AJ19" s="85">
        <f t="shared" ca="1" si="37"/>
        <v>122.70640389648139</v>
      </c>
      <c r="AK19" s="85">
        <f t="shared" ca="1" si="38"/>
        <v>119.77639618120423</v>
      </c>
      <c r="AL19" s="85">
        <f t="shared" ca="1" si="39"/>
        <v>123.34100588408081</v>
      </c>
      <c r="AM19" s="85">
        <f t="shared" ca="1" si="40"/>
        <v>115.54417463286345</v>
      </c>
      <c r="AN19" s="85">
        <f t="shared" ca="1" si="41"/>
        <v>125.17771643668678</v>
      </c>
      <c r="AO19" s="85">
        <f t="shared" ca="1" si="42"/>
        <v>120.21131758961653</v>
      </c>
      <c r="AP19" s="85">
        <f t="shared" ca="1" si="43"/>
        <v>124.04142651296145</v>
      </c>
      <c r="AQ19" s="85">
        <f t="shared" ca="1" si="44"/>
        <v>118.84444750767729</v>
      </c>
      <c r="AR19" s="85">
        <f t="shared" ca="1" si="45"/>
        <v>119.09564462758784</v>
      </c>
      <c r="AS19" s="85">
        <f t="shared" ca="1" si="46"/>
        <v>121.54835182037198</v>
      </c>
      <c r="AT19" s="85">
        <f t="shared" ca="1" si="47"/>
        <v>116.80819984608115</v>
      </c>
      <c r="AU19" s="85">
        <f t="shared" ca="1" si="48"/>
        <v>119.57613548976495</v>
      </c>
      <c r="AV19" s="85">
        <f t="shared" ca="1" si="49"/>
        <v>122.09700369126212</v>
      </c>
      <c r="AW19" s="85">
        <f t="shared" ca="1" si="50"/>
        <v>121.3791261621288</v>
      </c>
      <c r="AX19" s="85">
        <f t="shared" ca="1" si="51"/>
        <v>125.98022608395374</v>
      </c>
      <c r="AY19" s="85">
        <f t="shared" ca="1" si="52"/>
        <v>126.09112658338194</v>
      </c>
      <c r="AZ19" s="85">
        <f t="shared" ca="1" si="53"/>
        <v>118.39712687127948</v>
      </c>
      <c r="BA19" s="85">
        <f t="shared" ca="1" si="54"/>
        <v>121.85286984317821</v>
      </c>
      <c r="BB19" s="85">
        <f t="shared" ca="1" si="55"/>
        <v>117.76053858644342</v>
      </c>
      <c r="BC19" s="85">
        <f t="shared" ca="1" si="56"/>
        <v>120.75198457135598</v>
      </c>
      <c r="BD19" s="85">
        <f t="shared" ca="1" si="57"/>
        <v>122.54911420709306</v>
      </c>
      <c r="BE19" s="85">
        <f t="shared" ca="1" si="58"/>
        <v>119.87787188070445</v>
      </c>
      <c r="BF19" s="85">
        <f t="shared" ca="1" si="59"/>
        <v>120.61502065053071</v>
      </c>
      <c r="BG19" s="85">
        <f t="shared" ca="1" si="60"/>
        <v>117.33041027969151</v>
      </c>
      <c r="BH19" s="85">
        <f t="shared" ca="1" si="61"/>
        <v>119.40211616775294</v>
      </c>
      <c r="BI19" s="85">
        <f t="shared" ca="1" si="62"/>
        <v>121.2605242648729</v>
      </c>
      <c r="BJ19" s="85">
        <f t="shared" ca="1" si="63"/>
        <v>119.75473145590993</v>
      </c>
      <c r="BK19" s="85">
        <f t="shared" ca="1" si="64"/>
        <v>117.98518768092812</v>
      </c>
      <c r="BL19" s="85">
        <f t="shared" ca="1" si="65"/>
        <v>118.75561639595752</v>
      </c>
      <c r="BM19" s="85">
        <f t="shared" ca="1" si="66"/>
        <v>112.39465686804668</v>
      </c>
      <c r="BN19" s="85">
        <f t="shared" ca="1" si="3"/>
        <v>117.10173275876583</v>
      </c>
      <c r="BO19" s="85">
        <f t="shared" ca="1" si="92"/>
        <v>114.75695499950233</v>
      </c>
      <c r="BP19" s="85">
        <f t="shared" ca="1" si="93"/>
        <v>116.31217819477541</v>
      </c>
      <c r="BQ19" s="85">
        <f t="shared" ca="1" si="94"/>
        <v>119.07978597267385</v>
      </c>
      <c r="BR19" s="85">
        <f t="shared" ca="1" si="95"/>
        <v>113.62927070828198</v>
      </c>
      <c r="BS19" s="85">
        <f t="shared" ca="1" si="96"/>
        <v>120.06495672816847</v>
      </c>
      <c r="BT19" s="85">
        <f t="shared" ca="1" si="97"/>
        <v>116.14637817096346</v>
      </c>
      <c r="BU19" s="85">
        <f t="shared" ca="1" si="98"/>
        <v>123.77874755670487</v>
      </c>
      <c r="BV19" s="85">
        <f t="shared" ca="1" si="99"/>
        <v>120.39505149667879</v>
      </c>
      <c r="BW19" s="85">
        <f t="shared" ca="1" si="100"/>
        <v>127.35191266253698</v>
      </c>
      <c r="BX19" s="85">
        <f t="shared" ca="1" si="101"/>
        <v>118.96042609172842</v>
      </c>
      <c r="BY19" s="85">
        <f t="shared" ca="1" si="67"/>
        <v>117.22929792192474</v>
      </c>
      <c r="BZ19" s="85">
        <f t="shared" ca="1" si="68"/>
        <v>121.96706859754262</v>
      </c>
      <c r="CA19" s="85">
        <f t="shared" ca="1" si="69"/>
        <v>119.71760432367621</v>
      </c>
      <c r="CB19" s="85">
        <f t="shared" ca="1" si="70"/>
        <v>120.42646001126089</v>
      </c>
      <c r="CC19" s="85">
        <f t="shared" ca="1" si="71"/>
        <v>122.9099856586361</v>
      </c>
      <c r="CD19" s="85">
        <f t="shared" ca="1" si="72"/>
        <v>120.31293963866013</v>
      </c>
      <c r="CE19" s="85">
        <f t="shared" ca="1" si="73"/>
        <v>117.14850040433939</v>
      </c>
      <c r="CF19" s="85">
        <f t="shared" ca="1" si="74"/>
        <v>122.13181099058684</v>
      </c>
      <c r="CG19" s="85">
        <f t="shared" ca="1" si="75"/>
        <v>118.71637416442672</v>
      </c>
      <c r="CH19" s="85">
        <f t="shared" ca="1" si="76"/>
        <v>123.24443430029777</v>
      </c>
      <c r="CI19" s="85">
        <f t="shared" ca="1" si="77"/>
        <v>120.35099457353874</v>
      </c>
      <c r="CJ19" s="85">
        <f t="shared" ca="1" si="78"/>
        <v>118.34417615389999</v>
      </c>
      <c r="CK19" s="85">
        <f t="shared" ca="1" si="79"/>
        <v>113.65013082116261</v>
      </c>
      <c r="CL19" s="85">
        <f t="shared" ca="1" si="80"/>
        <v>115.95164013251697</v>
      </c>
      <c r="CM19" s="85">
        <f t="shared" ca="1" si="81"/>
        <v>120.3631937006881</v>
      </c>
      <c r="CN19" s="85">
        <f t="shared" ca="1" si="82"/>
        <v>116.26895149860781</v>
      </c>
      <c r="CO19" s="85">
        <f t="shared" ca="1" si="83"/>
        <v>117.89583751908806</v>
      </c>
      <c r="CP19" s="85">
        <f t="shared" ca="1" si="84"/>
        <v>122.15794692875815</v>
      </c>
      <c r="CQ19" s="85">
        <f t="shared" ca="1" si="85"/>
        <v>120.90708808270882</v>
      </c>
      <c r="CR19" s="85">
        <f t="shared" ca="1" si="86"/>
        <v>117.97918423814761</v>
      </c>
      <c r="CS19" s="85">
        <f t="shared" ca="1" si="87"/>
        <v>115.83040896537325</v>
      </c>
      <c r="CT19" s="85">
        <f t="shared" ca="1" si="88"/>
        <v>121.8521160364694</v>
      </c>
      <c r="CU19" s="85">
        <f t="shared" ca="1" si="89"/>
        <v>119.30169716331723</v>
      </c>
      <c r="CV19" s="85">
        <f t="shared" ca="1" si="90"/>
        <v>118.21372279562836</v>
      </c>
      <c r="CW19" s="85">
        <f t="shared" ca="1" si="91"/>
        <v>118.47635621494213</v>
      </c>
    </row>
    <row r="20" spans="1:101" x14ac:dyDescent="0.2">
      <c r="A20" s="115">
        <v>17</v>
      </c>
      <c r="B20" s="85">
        <f t="shared" ca="1" si="2"/>
        <v>121.8930812134962</v>
      </c>
      <c r="C20" s="85">
        <f t="shared" ca="1" si="4"/>
        <v>125.29985115153048</v>
      </c>
      <c r="D20" s="85">
        <f t="shared" ca="1" si="5"/>
        <v>117.84081450904938</v>
      </c>
      <c r="E20" s="85">
        <f t="shared" ca="1" si="6"/>
        <v>118.96112118827904</v>
      </c>
      <c r="F20" s="85">
        <f t="shared" ca="1" si="7"/>
        <v>120.33522628020522</v>
      </c>
      <c r="G20" s="85">
        <f t="shared" ca="1" si="8"/>
        <v>116.88939774087505</v>
      </c>
      <c r="H20" s="85">
        <f t="shared" ca="1" si="9"/>
        <v>119.27780691206939</v>
      </c>
      <c r="I20" s="85">
        <f t="shared" ca="1" si="10"/>
        <v>122.48202425369423</v>
      </c>
      <c r="J20" s="85">
        <f t="shared" ca="1" si="11"/>
        <v>121.93386873387374</v>
      </c>
      <c r="K20" s="85">
        <f t="shared" ca="1" si="12"/>
        <v>112.43217642536187</v>
      </c>
      <c r="L20" s="85">
        <f t="shared" ca="1" si="13"/>
        <v>123.12954864660792</v>
      </c>
      <c r="M20" s="85">
        <f t="shared" ca="1" si="14"/>
        <v>109.42385505745035</v>
      </c>
      <c r="N20" s="85">
        <f t="shared" ca="1" si="15"/>
        <v>125.61550938789196</v>
      </c>
      <c r="O20" s="85">
        <f t="shared" ca="1" si="16"/>
        <v>120.91823052685633</v>
      </c>
      <c r="P20" s="85">
        <f t="shared" ca="1" si="17"/>
        <v>120.56299933418158</v>
      </c>
      <c r="Q20" s="85">
        <f t="shared" ca="1" si="18"/>
        <v>122.45572643490051</v>
      </c>
      <c r="R20" s="85">
        <f t="shared" ca="1" si="19"/>
        <v>118.42298963928648</v>
      </c>
      <c r="S20" s="85">
        <f t="shared" ca="1" si="20"/>
        <v>120.7359953743774</v>
      </c>
      <c r="T20" s="85">
        <f t="shared" ca="1" si="21"/>
        <v>121.29017715186947</v>
      </c>
      <c r="U20" s="85">
        <f t="shared" ca="1" si="22"/>
        <v>116.80749738496142</v>
      </c>
      <c r="V20" s="85">
        <f t="shared" ca="1" si="23"/>
        <v>119.02729805184596</v>
      </c>
      <c r="W20" s="85">
        <f t="shared" ca="1" si="24"/>
        <v>122.7408968977774</v>
      </c>
      <c r="X20" s="85">
        <f t="shared" ca="1" si="25"/>
        <v>119.3780023893041</v>
      </c>
      <c r="Y20" s="85">
        <f t="shared" ca="1" si="26"/>
        <v>118.13389339049525</v>
      </c>
      <c r="Z20" s="85">
        <f t="shared" ca="1" si="27"/>
        <v>123.54835916043517</v>
      </c>
      <c r="AA20" s="85">
        <f t="shared" ca="1" si="28"/>
        <v>119.15494214013211</v>
      </c>
      <c r="AB20" s="85">
        <f t="shared" ca="1" si="29"/>
        <v>122.25371648256876</v>
      </c>
      <c r="AC20" s="85">
        <f t="shared" ca="1" si="30"/>
        <v>118.1692382205604</v>
      </c>
      <c r="AD20" s="85">
        <f t="shared" ca="1" si="31"/>
        <v>126.12165580956368</v>
      </c>
      <c r="AE20" s="85">
        <f t="shared" ca="1" si="32"/>
        <v>124.57457444609071</v>
      </c>
      <c r="AF20" s="85">
        <f t="shared" ca="1" si="33"/>
        <v>122.2177616392427</v>
      </c>
      <c r="AG20" s="85">
        <f t="shared" ca="1" si="34"/>
        <v>122.16899386047925</v>
      </c>
      <c r="AH20" s="85">
        <f t="shared" ca="1" si="35"/>
        <v>120.08423307336639</v>
      </c>
      <c r="AI20" s="85">
        <f t="shared" ca="1" si="36"/>
        <v>118.9438480277278</v>
      </c>
      <c r="AJ20" s="85">
        <f t="shared" ca="1" si="37"/>
        <v>123.62991054947004</v>
      </c>
      <c r="AK20" s="85">
        <f t="shared" ca="1" si="38"/>
        <v>120.11414373121023</v>
      </c>
      <c r="AL20" s="85">
        <f t="shared" ca="1" si="39"/>
        <v>125.98104217610462</v>
      </c>
      <c r="AM20" s="85">
        <f t="shared" ca="1" si="40"/>
        <v>117.793574716751</v>
      </c>
      <c r="AN20" s="85">
        <f t="shared" ca="1" si="41"/>
        <v>126.9094110340118</v>
      </c>
      <c r="AO20" s="85">
        <f t="shared" ca="1" si="42"/>
        <v>122.13482303172766</v>
      </c>
      <c r="AP20" s="85">
        <f t="shared" ca="1" si="43"/>
        <v>125.9612108596084</v>
      </c>
      <c r="AQ20" s="85">
        <f t="shared" ca="1" si="44"/>
        <v>118.79755774473431</v>
      </c>
      <c r="AR20" s="85">
        <f t="shared" ca="1" si="45"/>
        <v>121.27375769947544</v>
      </c>
      <c r="AS20" s="85">
        <f t="shared" ca="1" si="46"/>
        <v>123.50965036585606</v>
      </c>
      <c r="AT20" s="85">
        <f t="shared" ca="1" si="47"/>
        <v>118.52329168724835</v>
      </c>
      <c r="AU20" s="85">
        <f t="shared" ca="1" si="48"/>
        <v>121.69202083141289</v>
      </c>
      <c r="AV20" s="85">
        <f t="shared" ca="1" si="49"/>
        <v>123.84753975214339</v>
      </c>
      <c r="AW20" s="85">
        <f t="shared" ca="1" si="50"/>
        <v>123.6914357577852</v>
      </c>
      <c r="AX20" s="85">
        <f t="shared" ca="1" si="51"/>
        <v>127.60729553057622</v>
      </c>
      <c r="AY20" s="85">
        <f t="shared" ca="1" si="52"/>
        <v>128.35598967605213</v>
      </c>
      <c r="AZ20" s="85">
        <f t="shared" ca="1" si="53"/>
        <v>119.15545365613686</v>
      </c>
      <c r="BA20" s="85">
        <f t="shared" ca="1" si="54"/>
        <v>123.9970867089089</v>
      </c>
      <c r="BB20" s="85">
        <f t="shared" ca="1" si="55"/>
        <v>118.75455756704925</v>
      </c>
      <c r="BC20" s="85">
        <f t="shared" ca="1" si="56"/>
        <v>120.89437983249266</v>
      </c>
      <c r="BD20" s="85">
        <f t="shared" ca="1" si="57"/>
        <v>123.7352333528713</v>
      </c>
      <c r="BE20" s="85">
        <f t="shared" ca="1" si="58"/>
        <v>122.00833892139497</v>
      </c>
      <c r="BF20" s="85">
        <f t="shared" ca="1" si="59"/>
        <v>123.10794729097167</v>
      </c>
      <c r="BG20" s="85">
        <f t="shared" ca="1" si="60"/>
        <v>120.36897138871501</v>
      </c>
      <c r="BH20" s="85">
        <f t="shared" ca="1" si="61"/>
        <v>120.79949667877666</v>
      </c>
      <c r="BI20" s="85">
        <f t="shared" ca="1" si="62"/>
        <v>122.87114762141468</v>
      </c>
      <c r="BJ20" s="85">
        <f t="shared" ca="1" si="63"/>
        <v>123.11586577313949</v>
      </c>
      <c r="BK20" s="85">
        <f t="shared" ca="1" si="64"/>
        <v>119.59226068038809</v>
      </c>
      <c r="BL20" s="85">
        <f t="shared" ca="1" si="65"/>
        <v>119.86294828639782</v>
      </c>
      <c r="BM20" s="85">
        <f t="shared" ca="1" si="66"/>
        <v>113.4845010844619</v>
      </c>
      <c r="BN20" s="85">
        <f t="shared" ca="1" si="3"/>
        <v>118.44759854526176</v>
      </c>
      <c r="BO20" s="85">
        <f t="shared" ca="1" si="92"/>
        <v>117.2577133381525</v>
      </c>
      <c r="BP20" s="85">
        <f t="shared" ca="1" si="93"/>
        <v>117.95838780267702</v>
      </c>
      <c r="BQ20" s="85">
        <f t="shared" ca="1" si="94"/>
        <v>118.96017988846208</v>
      </c>
      <c r="BR20" s="85">
        <f t="shared" ca="1" si="95"/>
        <v>115.07756110846792</v>
      </c>
      <c r="BS20" s="85">
        <f t="shared" ca="1" si="96"/>
        <v>122.15501137124258</v>
      </c>
      <c r="BT20" s="85">
        <f t="shared" ca="1" si="97"/>
        <v>117.69356129137931</v>
      </c>
      <c r="BU20" s="85">
        <f t="shared" ca="1" si="98"/>
        <v>126.44443279984509</v>
      </c>
      <c r="BV20" s="85">
        <f t="shared" ca="1" si="99"/>
        <v>123.59132957056291</v>
      </c>
      <c r="BW20" s="85">
        <f t="shared" ca="1" si="100"/>
        <v>128.91458144304511</v>
      </c>
      <c r="BX20" s="85">
        <f t="shared" ca="1" si="101"/>
        <v>120.15845226532434</v>
      </c>
      <c r="BY20" s="85">
        <f t="shared" ca="1" si="67"/>
        <v>119.34199531499385</v>
      </c>
      <c r="BZ20" s="85">
        <f t="shared" ca="1" si="68"/>
        <v>124.63333586372386</v>
      </c>
      <c r="CA20" s="85">
        <f t="shared" ca="1" si="69"/>
        <v>121.44751925648352</v>
      </c>
      <c r="CB20" s="85">
        <f t="shared" ca="1" si="70"/>
        <v>122.30168460617321</v>
      </c>
      <c r="CC20" s="85">
        <f t="shared" ca="1" si="71"/>
        <v>126.12663809039415</v>
      </c>
      <c r="CD20" s="85">
        <f t="shared" ca="1" si="72"/>
        <v>121.58892820891387</v>
      </c>
      <c r="CE20" s="85">
        <f t="shared" ca="1" si="73"/>
        <v>120.62978819549029</v>
      </c>
      <c r="CF20" s="85">
        <f t="shared" ca="1" si="74"/>
        <v>122.74653602728766</v>
      </c>
      <c r="CG20" s="85">
        <f t="shared" ca="1" si="75"/>
        <v>120.24061682150031</v>
      </c>
      <c r="CH20" s="85">
        <f t="shared" ca="1" si="76"/>
        <v>124.08131910463625</v>
      </c>
      <c r="CI20" s="85">
        <f t="shared" ca="1" si="77"/>
        <v>121.66562923969485</v>
      </c>
      <c r="CJ20" s="85">
        <f t="shared" ca="1" si="78"/>
        <v>121.35250306738418</v>
      </c>
      <c r="CK20" s="85">
        <f t="shared" ca="1" si="79"/>
        <v>115.14351247824942</v>
      </c>
      <c r="CL20" s="85">
        <f t="shared" ca="1" si="80"/>
        <v>115.70743528713581</v>
      </c>
      <c r="CM20" s="85">
        <f t="shared" ca="1" si="81"/>
        <v>121.75221527174708</v>
      </c>
      <c r="CN20" s="85">
        <f t="shared" ca="1" si="82"/>
        <v>117.03369139990615</v>
      </c>
      <c r="CO20" s="85">
        <f t="shared" ca="1" si="83"/>
        <v>119.31030211355441</v>
      </c>
      <c r="CP20" s="85">
        <f t="shared" ca="1" si="84"/>
        <v>124.61328247671575</v>
      </c>
      <c r="CQ20" s="85">
        <f t="shared" ca="1" si="85"/>
        <v>121.99629820393707</v>
      </c>
      <c r="CR20" s="85">
        <f t="shared" ca="1" si="86"/>
        <v>119.30477533900275</v>
      </c>
      <c r="CS20" s="85">
        <f t="shared" ca="1" si="87"/>
        <v>117.9981148088012</v>
      </c>
      <c r="CT20" s="85">
        <f t="shared" ca="1" si="88"/>
        <v>123.22744148151659</v>
      </c>
      <c r="CU20" s="85">
        <f t="shared" ca="1" si="89"/>
        <v>120.18841838574257</v>
      </c>
      <c r="CV20" s="85">
        <f t="shared" ca="1" si="90"/>
        <v>119.00661382532192</v>
      </c>
      <c r="CW20" s="85">
        <f t="shared" ca="1" si="91"/>
        <v>120.00143910855232</v>
      </c>
    </row>
    <row r="21" spans="1:101" x14ac:dyDescent="0.2">
      <c r="A21" s="115">
        <v>18</v>
      </c>
      <c r="B21" s="85">
        <f t="shared" ca="1" si="2"/>
        <v>124.00373430936642</v>
      </c>
      <c r="C21" s="85">
        <f t="shared" ca="1" si="4"/>
        <v>127.32330093210929</v>
      </c>
      <c r="D21" s="85">
        <f t="shared" ca="1" si="5"/>
        <v>120.15921893258239</v>
      </c>
      <c r="E21" s="85">
        <f t="shared" ca="1" si="6"/>
        <v>119.58004609296439</v>
      </c>
      <c r="F21" s="85">
        <f t="shared" ca="1" si="7"/>
        <v>121.98337549833998</v>
      </c>
      <c r="G21" s="85">
        <f t="shared" ca="1" si="8"/>
        <v>117.39780318079383</v>
      </c>
      <c r="H21" s="85">
        <f t="shared" ca="1" si="9"/>
        <v>121.81148682329814</v>
      </c>
      <c r="I21" s="85">
        <f t="shared" ca="1" si="10"/>
        <v>123.88339149097517</v>
      </c>
      <c r="J21" s="85">
        <f t="shared" ca="1" si="11"/>
        <v>125.24612359315996</v>
      </c>
      <c r="K21" s="85">
        <f t="shared" ca="1" si="12"/>
        <v>113.40673702566725</v>
      </c>
      <c r="L21" s="85">
        <f t="shared" ca="1" si="13"/>
        <v>123.67962975962573</v>
      </c>
      <c r="M21" s="85">
        <f t="shared" ca="1" si="14"/>
        <v>111.65158158545286</v>
      </c>
      <c r="N21" s="85">
        <f t="shared" ca="1" si="15"/>
        <v>130.10230882711465</v>
      </c>
      <c r="O21" s="85">
        <f t="shared" ca="1" si="16"/>
        <v>122.15774061023623</v>
      </c>
      <c r="P21" s="85">
        <f t="shared" ca="1" si="17"/>
        <v>121.13786598185789</v>
      </c>
      <c r="Q21" s="85">
        <f t="shared" ca="1" si="18"/>
        <v>124.97759924383949</v>
      </c>
      <c r="R21" s="85">
        <f t="shared" ca="1" si="19"/>
        <v>120.2649508161749</v>
      </c>
      <c r="S21" s="85">
        <f t="shared" ca="1" si="20"/>
        <v>122.61321246142977</v>
      </c>
      <c r="T21" s="85">
        <f t="shared" ca="1" si="21"/>
        <v>123.33765446516654</v>
      </c>
      <c r="U21" s="85">
        <f t="shared" ca="1" si="22"/>
        <v>119.39582825408746</v>
      </c>
      <c r="V21" s="85">
        <f t="shared" ca="1" si="23"/>
        <v>120.96061365066808</v>
      </c>
      <c r="W21" s="85">
        <f t="shared" ca="1" si="24"/>
        <v>123.24403409592598</v>
      </c>
      <c r="X21" s="85">
        <f t="shared" ca="1" si="25"/>
        <v>120.7390051275119</v>
      </c>
      <c r="Y21" s="85">
        <f t="shared" ca="1" si="26"/>
        <v>119.45054833672685</v>
      </c>
      <c r="Z21" s="85">
        <f t="shared" ca="1" si="27"/>
        <v>125.61800064891416</v>
      </c>
      <c r="AA21" s="85">
        <f t="shared" ca="1" si="28"/>
        <v>119.17079279938827</v>
      </c>
      <c r="AB21" s="85">
        <f t="shared" ca="1" si="29"/>
        <v>123.9826949428531</v>
      </c>
      <c r="AC21" s="85">
        <f t="shared" ca="1" si="30"/>
        <v>117.96839928004667</v>
      </c>
      <c r="AD21" s="85">
        <f t="shared" ca="1" si="31"/>
        <v>130.29638562126783</v>
      </c>
      <c r="AE21" s="85">
        <f t="shared" ca="1" si="32"/>
        <v>125.40343904453357</v>
      </c>
      <c r="AF21" s="85">
        <f t="shared" ca="1" si="33"/>
        <v>124.32992702795765</v>
      </c>
      <c r="AG21" s="85">
        <f t="shared" ca="1" si="34"/>
        <v>125.17060783419751</v>
      </c>
      <c r="AH21" s="85">
        <f t="shared" ca="1" si="35"/>
        <v>121.79510922942158</v>
      </c>
      <c r="AI21" s="85">
        <f t="shared" ca="1" si="36"/>
        <v>120.20673834377271</v>
      </c>
      <c r="AJ21" s="85">
        <f t="shared" ca="1" si="37"/>
        <v>125.59376730933984</v>
      </c>
      <c r="AK21" s="85">
        <f t="shared" ca="1" si="38"/>
        <v>121.88181076584335</v>
      </c>
      <c r="AL21" s="85">
        <f t="shared" ca="1" si="39"/>
        <v>127.52765170227173</v>
      </c>
      <c r="AM21" s="85">
        <f t="shared" ca="1" si="40"/>
        <v>118.70335798580037</v>
      </c>
      <c r="AN21" s="85">
        <f t="shared" ca="1" si="41"/>
        <v>127.05924708554049</v>
      </c>
      <c r="AO21" s="85">
        <f t="shared" ca="1" si="42"/>
        <v>122.82246668023683</v>
      </c>
      <c r="AP21" s="85">
        <f t="shared" ca="1" si="43"/>
        <v>128.11967333230049</v>
      </c>
      <c r="AQ21" s="85">
        <f t="shared" ca="1" si="44"/>
        <v>120.36983073582427</v>
      </c>
      <c r="AR21" s="85">
        <f t="shared" ca="1" si="45"/>
        <v>122.82400476264274</v>
      </c>
      <c r="AS21" s="85">
        <f t="shared" ca="1" si="46"/>
        <v>124.3244525814611</v>
      </c>
      <c r="AT21" s="85">
        <f t="shared" ca="1" si="47"/>
        <v>118.92003994944542</v>
      </c>
      <c r="AU21" s="85">
        <f t="shared" ca="1" si="48"/>
        <v>122.27018909412534</v>
      </c>
      <c r="AV21" s="85">
        <f t="shared" ca="1" si="49"/>
        <v>126.4387894148809</v>
      </c>
      <c r="AW21" s="85">
        <f t="shared" ca="1" si="50"/>
        <v>126.03557730990853</v>
      </c>
      <c r="AX21" s="85">
        <f t="shared" ca="1" si="51"/>
        <v>130.01868973387488</v>
      </c>
      <c r="AY21" s="85">
        <f t="shared" ca="1" si="52"/>
        <v>129.75840708575237</v>
      </c>
      <c r="AZ21" s="85">
        <f t="shared" ca="1" si="53"/>
        <v>119.94625979207055</v>
      </c>
      <c r="BA21" s="85">
        <f t="shared" ca="1" si="54"/>
        <v>125.50424510805402</v>
      </c>
      <c r="BB21" s="85">
        <f t="shared" ca="1" si="55"/>
        <v>120.22695037964355</v>
      </c>
      <c r="BC21" s="85">
        <f t="shared" ca="1" si="56"/>
        <v>121.61282238920423</v>
      </c>
      <c r="BD21" s="85">
        <f t="shared" ca="1" si="57"/>
        <v>125.22738382610112</v>
      </c>
      <c r="BE21" s="85">
        <f t="shared" ca="1" si="58"/>
        <v>123.58710061125679</v>
      </c>
      <c r="BF21" s="85">
        <f t="shared" ca="1" si="59"/>
        <v>124.32248923064307</v>
      </c>
      <c r="BG21" s="85">
        <f t="shared" ca="1" si="60"/>
        <v>121.31685822121713</v>
      </c>
      <c r="BH21" s="85">
        <f t="shared" ca="1" si="61"/>
        <v>123.43060807041998</v>
      </c>
      <c r="BI21" s="85">
        <f t="shared" ca="1" si="62"/>
        <v>124.24677009753093</v>
      </c>
      <c r="BJ21" s="85">
        <f t="shared" ca="1" si="63"/>
        <v>125.99910851557186</v>
      </c>
      <c r="BK21" s="85">
        <f t="shared" ca="1" si="64"/>
        <v>121.56897477141678</v>
      </c>
      <c r="BL21" s="85">
        <f t="shared" ca="1" si="65"/>
        <v>121.77003804037633</v>
      </c>
      <c r="BM21" s="85">
        <f t="shared" ca="1" si="66"/>
        <v>115.73683994111511</v>
      </c>
      <c r="BN21" s="85">
        <f t="shared" ca="1" si="3"/>
        <v>118.21531976992105</v>
      </c>
      <c r="BO21" s="85">
        <f t="shared" ca="1" si="92"/>
        <v>119.65139268811231</v>
      </c>
      <c r="BP21" s="85">
        <f t="shared" ca="1" si="93"/>
        <v>120.46057210209963</v>
      </c>
      <c r="BQ21" s="85">
        <f t="shared" ca="1" si="94"/>
        <v>119.28129631782261</v>
      </c>
      <c r="BR21" s="85">
        <f t="shared" ca="1" si="95"/>
        <v>116.66215618106472</v>
      </c>
      <c r="BS21" s="85">
        <f t="shared" ca="1" si="96"/>
        <v>123.29926360160302</v>
      </c>
      <c r="BT21" s="85">
        <f t="shared" ca="1" si="97"/>
        <v>120.45913243421846</v>
      </c>
      <c r="BU21" s="85">
        <f t="shared" ca="1" si="98"/>
        <v>127.9111791568269</v>
      </c>
      <c r="BV21" s="85">
        <f t="shared" ca="1" si="99"/>
        <v>124.55260759130181</v>
      </c>
      <c r="BW21" s="85">
        <f t="shared" ca="1" si="100"/>
        <v>131.67655349389531</v>
      </c>
      <c r="BX21" s="85">
        <f t="shared" ca="1" si="101"/>
        <v>121.370401052134</v>
      </c>
      <c r="BY21" s="85">
        <f t="shared" ca="1" si="67"/>
        <v>120.03427263905137</v>
      </c>
      <c r="BZ21" s="85">
        <f t="shared" ca="1" si="68"/>
        <v>126.81356839097243</v>
      </c>
      <c r="CA21" s="85">
        <f t="shared" ca="1" si="69"/>
        <v>122.02726616011778</v>
      </c>
      <c r="CB21" s="85">
        <f t="shared" ca="1" si="70"/>
        <v>123.26815885552431</v>
      </c>
      <c r="CC21" s="85">
        <f t="shared" ca="1" si="71"/>
        <v>128.09062869684848</v>
      </c>
      <c r="CD21" s="85">
        <f t="shared" ca="1" si="72"/>
        <v>122.98854133603575</v>
      </c>
      <c r="CE21" s="85">
        <f t="shared" ca="1" si="73"/>
        <v>120.80769395085015</v>
      </c>
      <c r="CF21" s="85">
        <f t="shared" ca="1" si="74"/>
        <v>124.93446583952399</v>
      </c>
      <c r="CG21" s="85">
        <f t="shared" ca="1" si="75"/>
        <v>121.62877169968753</v>
      </c>
      <c r="CH21" s="85">
        <f t="shared" ca="1" si="76"/>
        <v>125.07009520366556</v>
      </c>
      <c r="CI21" s="85">
        <f t="shared" ca="1" si="77"/>
        <v>123.15654147181839</v>
      </c>
      <c r="CJ21" s="85">
        <f t="shared" ca="1" si="78"/>
        <v>124.04084317711558</v>
      </c>
      <c r="CK21" s="85">
        <f t="shared" ca="1" si="79"/>
        <v>116.78984205107616</v>
      </c>
      <c r="CL21" s="85">
        <f t="shared" ca="1" si="80"/>
        <v>117.29157158703443</v>
      </c>
      <c r="CM21" s="85">
        <f t="shared" ca="1" si="81"/>
        <v>124.33662211002834</v>
      </c>
      <c r="CN21" s="85">
        <f t="shared" ca="1" si="82"/>
        <v>120.85642787441684</v>
      </c>
      <c r="CO21" s="85">
        <f t="shared" ca="1" si="83"/>
        <v>120.2516459584519</v>
      </c>
      <c r="CP21" s="85">
        <f t="shared" ca="1" si="84"/>
        <v>125.0252775638906</v>
      </c>
      <c r="CQ21" s="85">
        <f t="shared" ca="1" si="85"/>
        <v>125.04179275099544</v>
      </c>
      <c r="CR21" s="85">
        <f t="shared" ca="1" si="86"/>
        <v>121.50598438069183</v>
      </c>
      <c r="CS21" s="85">
        <f t="shared" ca="1" si="87"/>
        <v>119.31103164100551</v>
      </c>
      <c r="CT21" s="85">
        <f t="shared" ca="1" si="88"/>
        <v>125.77843961847891</v>
      </c>
      <c r="CU21" s="85">
        <f t="shared" ca="1" si="89"/>
        <v>121.72813952006646</v>
      </c>
      <c r="CV21" s="85">
        <f t="shared" ca="1" si="90"/>
        <v>120.68314605279352</v>
      </c>
      <c r="CW21" s="85">
        <f t="shared" ca="1" si="91"/>
        <v>121.19162519060893</v>
      </c>
    </row>
    <row r="22" spans="1:101" x14ac:dyDescent="0.2">
      <c r="A22" s="115">
        <v>19</v>
      </c>
      <c r="B22" s="85">
        <f t="shared" ca="1" si="2"/>
        <v>125.66286165219047</v>
      </c>
      <c r="C22" s="85">
        <f t="shared" ca="1" si="4"/>
        <v>128.31720365970665</v>
      </c>
      <c r="D22" s="85">
        <f t="shared" ca="1" si="5"/>
        <v>120.94507589698152</v>
      </c>
      <c r="E22" s="85">
        <f t="shared" ca="1" si="6"/>
        <v>120.99463441352788</v>
      </c>
      <c r="F22" s="85">
        <f t="shared" ca="1" si="7"/>
        <v>123.16394850833915</v>
      </c>
      <c r="G22" s="85">
        <f t="shared" ca="1" si="8"/>
        <v>120.51752091987581</v>
      </c>
      <c r="H22" s="85">
        <f t="shared" ca="1" si="9"/>
        <v>122.77518847175823</v>
      </c>
      <c r="I22" s="85">
        <f t="shared" ca="1" si="10"/>
        <v>125.79244927500396</v>
      </c>
      <c r="J22" s="85">
        <f t="shared" ca="1" si="11"/>
        <v>127.00662970974413</v>
      </c>
      <c r="K22" s="85">
        <f t="shared" ca="1" si="12"/>
        <v>113.62430204177724</v>
      </c>
      <c r="L22" s="85">
        <f t="shared" ca="1" si="13"/>
        <v>123.45479249213193</v>
      </c>
      <c r="M22" s="85">
        <f t="shared" ca="1" si="14"/>
        <v>113.83010745442914</v>
      </c>
      <c r="N22" s="85">
        <f t="shared" ca="1" si="15"/>
        <v>130.28904641519119</v>
      </c>
      <c r="O22" s="85">
        <f t="shared" ca="1" si="16"/>
        <v>124.42964287422987</v>
      </c>
      <c r="P22" s="85">
        <f t="shared" ca="1" si="17"/>
        <v>122.53975785036883</v>
      </c>
      <c r="Q22" s="85">
        <f t="shared" ca="1" si="18"/>
        <v>128.62506854579792</v>
      </c>
      <c r="R22" s="85">
        <f t="shared" ca="1" si="19"/>
        <v>121.79868874219837</v>
      </c>
      <c r="S22" s="85">
        <f t="shared" ca="1" si="20"/>
        <v>125.16343128886567</v>
      </c>
      <c r="T22" s="85">
        <f t="shared" ca="1" si="21"/>
        <v>125.72252338962889</v>
      </c>
      <c r="U22" s="85">
        <f t="shared" ca="1" si="22"/>
        <v>120.9598217732343</v>
      </c>
      <c r="V22" s="85">
        <f t="shared" ca="1" si="23"/>
        <v>122.56574843238769</v>
      </c>
      <c r="W22" s="85">
        <f t="shared" ca="1" si="24"/>
        <v>125.30716696104106</v>
      </c>
      <c r="X22" s="85">
        <f t="shared" ca="1" si="25"/>
        <v>122.29182976279199</v>
      </c>
      <c r="Y22" s="85">
        <f t="shared" ca="1" si="26"/>
        <v>121.16424117774973</v>
      </c>
      <c r="Z22" s="85">
        <f t="shared" ca="1" si="27"/>
        <v>128.12658569275268</v>
      </c>
      <c r="AA22" s="85">
        <f t="shared" ca="1" si="28"/>
        <v>120.53556792321065</v>
      </c>
      <c r="AB22" s="85">
        <f t="shared" ca="1" si="29"/>
        <v>125.59365095948948</v>
      </c>
      <c r="AC22" s="85">
        <f t="shared" ca="1" si="30"/>
        <v>120.32019952393246</v>
      </c>
      <c r="AD22" s="85">
        <f t="shared" ca="1" si="31"/>
        <v>132.67555809320987</v>
      </c>
      <c r="AE22" s="85">
        <f t="shared" ca="1" si="32"/>
        <v>126.21873954218918</v>
      </c>
      <c r="AF22" s="85">
        <f t="shared" ca="1" si="33"/>
        <v>127.59529785166153</v>
      </c>
      <c r="AG22" s="85">
        <f t="shared" ca="1" si="34"/>
        <v>127.70712034210267</v>
      </c>
      <c r="AH22" s="85">
        <f t="shared" ca="1" si="35"/>
        <v>124.65507585351142</v>
      </c>
      <c r="AI22" s="85">
        <f t="shared" ca="1" si="36"/>
        <v>121.22994589875226</v>
      </c>
      <c r="AJ22" s="85">
        <f t="shared" ca="1" si="37"/>
        <v>129.11521284708692</v>
      </c>
      <c r="AK22" s="85">
        <f t="shared" ca="1" si="38"/>
        <v>123.47738118363625</v>
      </c>
      <c r="AL22" s="85">
        <f t="shared" ca="1" si="39"/>
        <v>129.45502012343553</v>
      </c>
      <c r="AM22" s="85">
        <f t="shared" ca="1" si="40"/>
        <v>119.48827636563408</v>
      </c>
      <c r="AN22" s="85">
        <f t="shared" ca="1" si="41"/>
        <v>127.32844243899773</v>
      </c>
      <c r="AO22" s="85">
        <f t="shared" ca="1" si="42"/>
        <v>123.83795321268714</v>
      </c>
      <c r="AP22" s="85">
        <f t="shared" ca="1" si="43"/>
        <v>129.55483572389332</v>
      </c>
      <c r="AQ22" s="85">
        <f t="shared" ca="1" si="44"/>
        <v>121.76018670748996</v>
      </c>
      <c r="AR22" s="85">
        <f t="shared" ca="1" si="45"/>
        <v>125.31199579691155</v>
      </c>
      <c r="AS22" s="85">
        <f t="shared" ca="1" si="46"/>
        <v>126.07378396393486</v>
      </c>
      <c r="AT22" s="85">
        <f t="shared" ca="1" si="47"/>
        <v>120.7179341471235</v>
      </c>
      <c r="AU22" s="85">
        <f t="shared" ca="1" si="48"/>
        <v>124.86609735649479</v>
      </c>
      <c r="AV22" s="85">
        <f t="shared" ca="1" si="49"/>
        <v>128.88106789281539</v>
      </c>
      <c r="AW22" s="85">
        <f t="shared" ca="1" si="50"/>
        <v>127.71842603721743</v>
      </c>
      <c r="AX22" s="85">
        <f t="shared" ca="1" si="51"/>
        <v>131.36377552629233</v>
      </c>
      <c r="AY22" s="85">
        <f t="shared" ca="1" si="52"/>
        <v>130.97550219966985</v>
      </c>
      <c r="AZ22" s="85">
        <f t="shared" ca="1" si="53"/>
        <v>122.08741710947169</v>
      </c>
      <c r="BA22" s="85">
        <f t="shared" ca="1" si="54"/>
        <v>127.552134773208</v>
      </c>
      <c r="BB22" s="85">
        <f t="shared" ca="1" si="55"/>
        <v>120.29407087876815</v>
      </c>
      <c r="BC22" s="85">
        <f t="shared" ca="1" si="56"/>
        <v>123.02867444381549</v>
      </c>
      <c r="BD22" s="85">
        <f t="shared" ca="1" si="57"/>
        <v>127.2493101146644</v>
      </c>
      <c r="BE22" s="85">
        <f t="shared" ca="1" si="58"/>
        <v>123.85002909761231</v>
      </c>
      <c r="BF22" s="85">
        <f t="shared" ca="1" si="59"/>
        <v>125.79107578023368</v>
      </c>
      <c r="BG22" s="85">
        <f t="shared" ca="1" si="60"/>
        <v>123.52421572239011</v>
      </c>
      <c r="BH22" s="85">
        <f t="shared" ca="1" si="61"/>
        <v>123.93604225088225</v>
      </c>
      <c r="BI22" s="85">
        <f t="shared" ca="1" si="62"/>
        <v>127.43920201566951</v>
      </c>
      <c r="BJ22" s="85">
        <f t="shared" ca="1" si="63"/>
        <v>127.51865242843061</v>
      </c>
      <c r="BK22" s="85">
        <f t="shared" ca="1" si="64"/>
        <v>123.81052598924822</v>
      </c>
      <c r="BL22" s="85">
        <f t="shared" ca="1" si="65"/>
        <v>122.94297344231737</v>
      </c>
      <c r="BM22" s="85">
        <f t="shared" ca="1" si="66"/>
        <v>118.58698249457163</v>
      </c>
      <c r="BN22" s="85">
        <f t="shared" ca="1" si="3"/>
        <v>121.06045917272279</v>
      </c>
      <c r="BO22" s="85">
        <f t="shared" ca="1" si="92"/>
        <v>121.62546692547225</v>
      </c>
      <c r="BP22" s="85">
        <f t="shared" ca="1" si="93"/>
        <v>120.959832115041</v>
      </c>
      <c r="BQ22" s="85">
        <f t="shared" ca="1" si="94"/>
        <v>119.97063806224101</v>
      </c>
      <c r="BR22" s="85">
        <f t="shared" ca="1" si="95"/>
        <v>117.88197321319399</v>
      </c>
      <c r="BS22" s="85">
        <f t="shared" ca="1" si="96"/>
        <v>124.91046566137001</v>
      </c>
      <c r="BT22" s="85">
        <f t="shared" ca="1" si="97"/>
        <v>122.80573623327469</v>
      </c>
      <c r="BU22" s="85">
        <f t="shared" ca="1" si="98"/>
        <v>130.52201914020475</v>
      </c>
      <c r="BV22" s="85">
        <f t="shared" ca="1" si="99"/>
        <v>125.70677296801337</v>
      </c>
      <c r="BW22" s="85">
        <f t="shared" ca="1" si="100"/>
        <v>134.44930191517693</v>
      </c>
      <c r="BX22" s="85">
        <f t="shared" ca="1" si="101"/>
        <v>123.28507017968951</v>
      </c>
      <c r="BY22" s="85">
        <f t="shared" ca="1" si="67"/>
        <v>123.34366462054787</v>
      </c>
      <c r="BZ22" s="85">
        <f t="shared" ca="1" si="68"/>
        <v>128.73837830363024</v>
      </c>
      <c r="CA22" s="85">
        <f t="shared" ca="1" si="69"/>
        <v>123.53934992637488</v>
      </c>
      <c r="CB22" s="85">
        <f t="shared" ca="1" si="70"/>
        <v>124.92585649684058</v>
      </c>
      <c r="CC22" s="85">
        <f t="shared" ca="1" si="71"/>
        <v>129.8482826789664</v>
      </c>
      <c r="CD22" s="85">
        <f t="shared" ca="1" si="72"/>
        <v>124.59010068989772</v>
      </c>
      <c r="CE22" s="85">
        <f t="shared" ca="1" si="73"/>
        <v>122.27125529724373</v>
      </c>
      <c r="CF22" s="85">
        <f t="shared" ca="1" si="74"/>
        <v>129.37691353121559</v>
      </c>
      <c r="CG22" s="85">
        <f t="shared" ca="1" si="75"/>
        <v>123.73993630334483</v>
      </c>
      <c r="CH22" s="85">
        <f t="shared" ca="1" si="76"/>
        <v>127.54156417660145</v>
      </c>
      <c r="CI22" s="85">
        <f t="shared" ca="1" si="77"/>
        <v>124.47692563215386</v>
      </c>
      <c r="CJ22" s="85">
        <f t="shared" ca="1" si="78"/>
        <v>124.00742782267409</v>
      </c>
      <c r="CK22" s="85">
        <f t="shared" ca="1" si="79"/>
        <v>117.97630712147014</v>
      </c>
      <c r="CL22" s="85">
        <f t="shared" ca="1" si="80"/>
        <v>118.32002908051631</v>
      </c>
      <c r="CM22" s="85">
        <f t="shared" ca="1" si="81"/>
        <v>125.39483437982764</v>
      </c>
      <c r="CN22" s="85">
        <f t="shared" ca="1" si="82"/>
        <v>123.042089402741</v>
      </c>
      <c r="CO22" s="85">
        <f t="shared" ca="1" si="83"/>
        <v>121.17069175369242</v>
      </c>
      <c r="CP22" s="85">
        <f t="shared" ca="1" si="84"/>
        <v>127.89392732726577</v>
      </c>
      <c r="CQ22" s="85">
        <f t="shared" ca="1" si="85"/>
        <v>128.06656308701042</v>
      </c>
      <c r="CR22" s="85">
        <f t="shared" ca="1" si="86"/>
        <v>123.53200726748035</v>
      </c>
      <c r="CS22" s="85">
        <f t="shared" ca="1" si="87"/>
        <v>120.26301690441605</v>
      </c>
      <c r="CT22" s="85">
        <f t="shared" ca="1" si="88"/>
        <v>128.40475700188941</v>
      </c>
      <c r="CU22" s="85">
        <f t="shared" ca="1" si="89"/>
        <v>123.46506093285828</v>
      </c>
      <c r="CV22" s="85">
        <f t="shared" ca="1" si="90"/>
        <v>122.43862488490703</v>
      </c>
      <c r="CW22" s="85">
        <f t="shared" ca="1" si="91"/>
        <v>122.14565568961406</v>
      </c>
    </row>
    <row r="23" spans="1:101" x14ac:dyDescent="0.2">
      <c r="A23" s="115">
        <v>20</v>
      </c>
      <c r="B23" s="85">
        <f t="shared" ca="1" si="2"/>
        <v>126.69683436339012</v>
      </c>
      <c r="C23" s="85">
        <f t="shared" ca="1" si="4"/>
        <v>129.1978598522054</v>
      </c>
      <c r="D23" s="85">
        <f t="shared" ca="1" si="5"/>
        <v>123.13800269244435</v>
      </c>
      <c r="E23" s="85">
        <f t="shared" ca="1" si="6"/>
        <v>123.38893704149864</v>
      </c>
      <c r="F23" s="85">
        <f t="shared" ca="1" si="7"/>
        <v>124.89991079008341</v>
      </c>
      <c r="G23" s="85">
        <f t="shared" ca="1" si="8"/>
        <v>121.9898504725458</v>
      </c>
      <c r="H23" s="85">
        <f t="shared" ca="1" si="9"/>
        <v>123.22210896421139</v>
      </c>
      <c r="I23" s="85">
        <f t="shared" ca="1" si="10"/>
        <v>126.17260557899662</v>
      </c>
      <c r="J23" s="85">
        <f t="shared" ca="1" si="11"/>
        <v>127.97528616939233</v>
      </c>
      <c r="K23" s="85">
        <f t="shared" ca="1" si="12"/>
        <v>114.6975176469259</v>
      </c>
      <c r="L23" s="85">
        <f t="shared" ca="1" si="13"/>
        <v>125.09711307697657</v>
      </c>
      <c r="M23" s="85">
        <f t="shared" ca="1" si="14"/>
        <v>114.58366449200004</v>
      </c>
      <c r="N23" s="85">
        <f t="shared" ca="1" si="15"/>
        <v>132.14261108391477</v>
      </c>
      <c r="O23" s="85">
        <f t="shared" ca="1" si="16"/>
        <v>125.27680867835232</v>
      </c>
      <c r="P23" s="85">
        <f t="shared" ca="1" si="17"/>
        <v>122.75532691228047</v>
      </c>
      <c r="Q23" s="85">
        <f t="shared" ca="1" si="18"/>
        <v>130.26586226225865</v>
      </c>
      <c r="R23" s="85">
        <f t="shared" ca="1" si="19"/>
        <v>123.29775445800061</v>
      </c>
      <c r="S23" s="85">
        <f t="shared" ca="1" si="20"/>
        <v>127.3210650712127</v>
      </c>
      <c r="T23" s="85">
        <f t="shared" ca="1" si="21"/>
        <v>127.38776795676495</v>
      </c>
      <c r="U23" s="85">
        <f t="shared" ca="1" si="22"/>
        <v>120.15135168420269</v>
      </c>
      <c r="V23" s="85">
        <f t="shared" ca="1" si="23"/>
        <v>125.35266788028808</v>
      </c>
      <c r="W23" s="85">
        <f t="shared" ca="1" si="24"/>
        <v>127.49750293637402</v>
      </c>
      <c r="X23" s="85">
        <f t="shared" ca="1" si="25"/>
        <v>124.32354179236526</v>
      </c>
      <c r="Y23" s="85">
        <f t="shared" ca="1" si="26"/>
        <v>123.33016343731582</v>
      </c>
      <c r="Z23" s="85">
        <f t="shared" ca="1" si="27"/>
        <v>128.85627964310362</v>
      </c>
      <c r="AA23" s="85">
        <f t="shared" ca="1" si="28"/>
        <v>122.40569540243595</v>
      </c>
      <c r="AB23" s="85">
        <f t="shared" ca="1" si="29"/>
        <v>127.49019714124653</v>
      </c>
      <c r="AC23" s="85">
        <f t="shared" ca="1" si="30"/>
        <v>121.68846724929718</v>
      </c>
      <c r="AD23" s="85">
        <f t="shared" ca="1" si="31"/>
        <v>135.89197251255527</v>
      </c>
      <c r="AE23" s="85">
        <f t="shared" ca="1" si="32"/>
        <v>127.05906149049075</v>
      </c>
      <c r="AF23" s="85">
        <f t="shared" ca="1" si="33"/>
        <v>129.24545207139252</v>
      </c>
      <c r="AG23" s="85">
        <f t="shared" ca="1" si="34"/>
        <v>130.31213893705399</v>
      </c>
      <c r="AH23" s="85">
        <f t="shared" ca="1" si="35"/>
        <v>126.42582982414854</v>
      </c>
      <c r="AI23" s="85">
        <f t="shared" ca="1" si="36"/>
        <v>124.07662589441311</v>
      </c>
      <c r="AJ23" s="85">
        <f t="shared" ca="1" si="37"/>
        <v>131.07144951162559</v>
      </c>
      <c r="AK23" s="85">
        <f t="shared" ca="1" si="38"/>
        <v>125.70882189359573</v>
      </c>
      <c r="AL23" s="85">
        <f t="shared" ca="1" si="39"/>
        <v>129.81999785859264</v>
      </c>
      <c r="AM23" s="85">
        <f t="shared" ca="1" si="40"/>
        <v>120.85776587245536</v>
      </c>
      <c r="AN23" s="85">
        <f t="shared" ca="1" si="41"/>
        <v>129.55953366677758</v>
      </c>
      <c r="AO23" s="85">
        <f t="shared" ca="1" si="42"/>
        <v>125.11109242503909</v>
      </c>
      <c r="AP23" s="85">
        <f t="shared" ca="1" si="43"/>
        <v>131.56465237220004</v>
      </c>
      <c r="AQ23" s="85">
        <f t="shared" ca="1" si="44"/>
        <v>124.03791322071108</v>
      </c>
      <c r="AR23" s="85">
        <f t="shared" ca="1" si="45"/>
        <v>127.33801738206704</v>
      </c>
      <c r="AS23" s="85">
        <f t="shared" ca="1" si="46"/>
        <v>129.48431611819143</v>
      </c>
      <c r="AT23" s="85">
        <f t="shared" ca="1" si="47"/>
        <v>123.40649052622857</v>
      </c>
      <c r="AU23" s="85">
        <f t="shared" ca="1" si="48"/>
        <v>127.51645248164959</v>
      </c>
      <c r="AV23" s="85">
        <f t="shared" ca="1" si="49"/>
        <v>130.85539647159351</v>
      </c>
      <c r="AW23" s="85">
        <f t="shared" ca="1" si="50"/>
        <v>127.60672797307473</v>
      </c>
      <c r="AX23" s="85">
        <f t="shared" ca="1" si="51"/>
        <v>132.77858548545788</v>
      </c>
      <c r="AY23" s="85">
        <f t="shared" ca="1" si="52"/>
        <v>134.35676798365972</v>
      </c>
      <c r="AZ23" s="85">
        <f t="shared" ca="1" si="53"/>
        <v>123.59081031287867</v>
      </c>
      <c r="BA23" s="85">
        <f t="shared" ca="1" si="54"/>
        <v>129.67996749543468</v>
      </c>
      <c r="BB23" s="85">
        <f t="shared" ca="1" si="55"/>
        <v>120.31430645171154</v>
      </c>
      <c r="BC23" s="85">
        <f t="shared" ca="1" si="56"/>
        <v>125.68397436844177</v>
      </c>
      <c r="BD23" s="85">
        <f t="shared" ca="1" si="57"/>
        <v>127.60951885040951</v>
      </c>
      <c r="BE23" s="85">
        <f t="shared" ca="1" si="58"/>
        <v>125.95876017720985</v>
      </c>
      <c r="BF23" s="85">
        <f t="shared" ca="1" si="59"/>
        <v>128.12758230084046</v>
      </c>
      <c r="BG23" s="85">
        <f t="shared" ca="1" si="60"/>
        <v>123.38357723046663</v>
      </c>
      <c r="BH23" s="85">
        <f t="shared" ca="1" si="61"/>
        <v>126.07333260462842</v>
      </c>
      <c r="BI23" s="85">
        <f t="shared" ca="1" si="62"/>
        <v>128.66872509258388</v>
      </c>
      <c r="BJ23" s="85">
        <f t="shared" ca="1" si="63"/>
        <v>128.23552717136016</v>
      </c>
      <c r="BK23" s="85">
        <f t="shared" ca="1" si="64"/>
        <v>125.71370175539762</v>
      </c>
      <c r="BL23" s="85">
        <f t="shared" ca="1" si="65"/>
        <v>124.35402263285184</v>
      </c>
      <c r="BM23" s="85">
        <f t="shared" ca="1" si="66"/>
        <v>120.37544221497896</v>
      </c>
      <c r="BN23" s="85">
        <f t="shared" ca="1" si="3"/>
        <v>123.11077788177171</v>
      </c>
      <c r="BO23" s="85">
        <f t="shared" ca="1" si="92"/>
        <v>123.99308602378062</v>
      </c>
      <c r="BP23" s="85">
        <f t="shared" ca="1" si="93"/>
        <v>122.8886680946346</v>
      </c>
      <c r="BQ23" s="85">
        <f t="shared" ca="1" si="94"/>
        <v>120.80475988390739</v>
      </c>
      <c r="BR23" s="85">
        <f t="shared" ca="1" si="95"/>
        <v>120.52573271102391</v>
      </c>
      <c r="BS23" s="85">
        <f t="shared" ca="1" si="96"/>
        <v>125.64018652886789</v>
      </c>
      <c r="BT23" s="85">
        <f t="shared" ca="1" si="97"/>
        <v>124.94520107398301</v>
      </c>
      <c r="BU23" s="85">
        <f t="shared" ca="1" si="98"/>
        <v>132.69735968753341</v>
      </c>
      <c r="BV23" s="85">
        <f t="shared" ca="1" si="99"/>
        <v>127.19481513217001</v>
      </c>
      <c r="BW23" s="85">
        <f t="shared" ca="1" si="100"/>
        <v>137.05991160888021</v>
      </c>
      <c r="BX23" s="85">
        <f t="shared" ca="1" si="101"/>
        <v>125.42403501966322</v>
      </c>
      <c r="BY23" s="85">
        <f t="shared" ca="1" si="67"/>
        <v>124.21861866965179</v>
      </c>
      <c r="BZ23" s="85">
        <f t="shared" ca="1" si="68"/>
        <v>130.06203792919698</v>
      </c>
      <c r="CA23" s="85">
        <f t="shared" ca="1" si="69"/>
        <v>124.42458974003851</v>
      </c>
      <c r="CB23" s="85">
        <f t="shared" ca="1" si="70"/>
        <v>126.49933871570316</v>
      </c>
      <c r="CC23" s="85">
        <f t="shared" ca="1" si="71"/>
        <v>131.65339899310291</v>
      </c>
      <c r="CD23" s="85">
        <f t="shared" ca="1" si="72"/>
        <v>126.90733329939604</v>
      </c>
      <c r="CE23" s="85">
        <f t="shared" ca="1" si="73"/>
        <v>124.51842208285474</v>
      </c>
      <c r="CF23" s="85">
        <f t="shared" ca="1" si="74"/>
        <v>129.11208896132919</v>
      </c>
      <c r="CG23" s="85">
        <f t="shared" ca="1" si="75"/>
        <v>125.22489574501064</v>
      </c>
      <c r="CH23" s="85">
        <f t="shared" ca="1" si="76"/>
        <v>129.15565148503123</v>
      </c>
      <c r="CI23" s="85">
        <f t="shared" ca="1" si="77"/>
        <v>125.40258348211522</v>
      </c>
      <c r="CJ23" s="85">
        <f t="shared" ca="1" si="78"/>
        <v>125.54468314995363</v>
      </c>
      <c r="CK23" s="85">
        <f t="shared" ca="1" si="79"/>
        <v>119.33509244708277</v>
      </c>
      <c r="CL23" s="85">
        <f t="shared" ca="1" si="80"/>
        <v>120.57453328564517</v>
      </c>
      <c r="CM23" s="85">
        <f t="shared" ca="1" si="81"/>
        <v>127.78005437611553</v>
      </c>
      <c r="CN23" s="85">
        <f t="shared" ca="1" si="82"/>
        <v>124.26741535020189</v>
      </c>
      <c r="CO23" s="85">
        <f t="shared" ca="1" si="83"/>
        <v>123.60779830372879</v>
      </c>
      <c r="CP23" s="85">
        <f t="shared" ca="1" si="84"/>
        <v>130.73761559120203</v>
      </c>
      <c r="CQ23" s="85">
        <f t="shared" ca="1" si="85"/>
        <v>131.80241627191182</v>
      </c>
      <c r="CR23" s="85">
        <f t="shared" ca="1" si="86"/>
        <v>125.31949922636348</v>
      </c>
      <c r="CS23" s="85">
        <f t="shared" ca="1" si="87"/>
        <v>122.85430518868399</v>
      </c>
      <c r="CT23" s="85">
        <f t="shared" ca="1" si="88"/>
        <v>130.89877414509286</v>
      </c>
      <c r="CU23" s="85">
        <f t="shared" ca="1" si="89"/>
        <v>125.9868815699248</v>
      </c>
      <c r="CV23" s="85">
        <f t="shared" ca="1" si="90"/>
        <v>124.14183221783394</v>
      </c>
      <c r="CW23" s="85">
        <f t="shared" ca="1" si="91"/>
        <v>123.26399248855668</v>
      </c>
    </row>
    <row r="24" spans="1:101" x14ac:dyDescent="0.2">
      <c r="A24" s="115">
        <v>21</v>
      </c>
      <c r="B24" s="85">
        <f t="shared" ca="1" si="2"/>
        <v>127.58562822086364</v>
      </c>
      <c r="C24" s="85">
        <f t="shared" ca="1" si="4"/>
        <v>129.93488964840111</v>
      </c>
      <c r="D24" s="85">
        <f t="shared" ca="1" si="5"/>
        <v>124.64454525375608</v>
      </c>
      <c r="E24" s="85">
        <f t="shared" ca="1" si="6"/>
        <v>123.24295251941741</v>
      </c>
      <c r="F24" s="85">
        <f t="shared" ca="1" si="7"/>
        <v>125.54765250180812</v>
      </c>
      <c r="G24" s="85">
        <f t="shared" ca="1" si="8"/>
        <v>124.96229764756147</v>
      </c>
      <c r="H24" s="85">
        <f t="shared" ca="1" si="9"/>
        <v>125.98022830860671</v>
      </c>
      <c r="I24" s="85">
        <f t="shared" ca="1" si="10"/>
        <v>129.33058911470008</v>
      </c>
      <c r="J24" s="85">
        <f t="shared" ca="1" si="11"/>
        <v>129.18706792318582</v>
      </c>
      <c r="K24" s="85">
        <f t="shared" ca="1" si="12"/>
        <v>114.4817128032865</v>
      </c>
      <c r="L24" s="85">
        <f t="shared" ca="1" si="13"/>
        <v>127.06575992607347</v>
      </c>
      <c r="M24" s="85">
        <f t="shared" ca="1" si="14"/>
        <v>116.76334051504489</v>
      </c>
      <c r="N24" s="85">
        <f t="shared" ca="1" si="15"/>
        <v>134.65814041918452</v>
      </c>
      <c r="O24" s="85">
        <f t="shared" ca="1" si="16"/>
        <v>127.55723866879937</v>
      </c>
      <c r="P24" s="85">
        <f t="shared" ca="1" si="17"/>
        <v>124.23659238419145</v>
      </c>
      <c r="Q24" s="85">
        <f t="shared" ca="1" si="18"/>
        <v>132.29879069474913</v>
      </c>
      <c r="R24" s="85">
        <f t="shared" ca="1" si="19"/>
        <v>125.82750648370762</v>
      </c>
      <c r="S24" s="85">
        <f t="shared" ca="1" si="20"/>
        <v>129.80118775939701</v>
      </c>
      <c r="T24" s="85">
        <f t="shared" ca="1" si="21"/>
        <v>128.4128198825077</v>
      </c>
      <c r="U24" s="85">
        <f t="shared" ca="1" si="22"/>
        <v>121.33606296827625</v>
      </c>
      <c r="V24" s="85">
        <f t="shared" ca="1" si="23"/>
        <v>126.39234761131355</v>
      </c>
      <c r="W24" s="85">
        <f t="shared" ca="1" si="24"/>
        <v>128.88000236506147</v>
      </c>
      <c r="X24" s="85">
        <f t="shared" ca="1" si="25"/>
        <v>124.26272758184074</v>
      </c>
      <c r="Y24" s="85">
        <f t="shared" ca="1" si="26"/>
        <v>125.77532007021166</v>
      </c>
      <c r="Z24" s="85">
        <f t="shared" ca="1" si="27"/>
        <v>131.4509834129519</v>
      </c>
      <c r="AA24" s="85">
        <f t="shared" ca="1" si="28"/>
        <v>123.83184014606404</v>
      </c>
      <c r="AB24" s="85">
        <f t="shared" ca="1" si="29"/>
        <v>128.11177408751556</v>
      </c>
      <c r="AC24" s="85">
        <f t="shared" ca="1" si="30"/>
        <v>122.84284546422539</v>
      </c>
      <c r="AD24" s="85">
        <f t="shared" ca="1" si="31"/>
        <v>137.21387956718502</v>
      </c>
      <c r="AE24" s="85">
        <f t="shared" ca="1" si="32"/>
        <v>129.56713215756031</v>
      </c>
      <c r="AF24" s="85">
        <f t="shared" ca="1" si="33"/>
        <v>129.79413269621105</v>
      </c>
      <c r="AG24" s="85">
        <f t="shared" ca="1" si="34"/>
        <v>131.62525002655173</v>
      </c>
      <c r="AH24" s="85">
        <f t="shared" ca="1" si="35"/>
        <v>128.17474016053009</v>
      </c>
      <c r="AI24" s="85">
        <f t="shared" ca="1" si="36"/>
        <v>127.51118793677712</v>
      </c>
      <c r="AJ24" s="85">
        <f t="shared" ca="1" si="37"/>
        <v>133.2451605569733</v>
      </c>
      <c r="AK24" s="85">
        <f t="shared" ca="1" si="38"/>
        <v>127.52404273388161</v>
      </c>
      <c r="AL24" s="85">
        <f t="shared" ca="1" si="39"/>
        <v>131.49723000828376</v>
      </c>
      <c r="AM24" s="85">
        <f t="shared" ca="1" si="40"/>
        <v>122.79690020608497</v>
      </c>
      <c r="AN24" s="85">
        <f t="shared" ca="1" si="41"/>
        <v>131.77273986289725</v>
      </c>
      <c r="AO24" s="85">
        <f t="shared" ca="1" si="42"/>
        <v>126.85447609506018</v>
      </c>
      <c r="AP24" s="85">
        <f t="shared" ca="1" si="43"/>
        <v>132.51136708227273</v>
      </c>
      <c r="AQ24" s="85">
        <f t="shared" ca="1" si="44"/>
        <v>125.17365793432597</v>
      </c>
      <c r="AR24" s="85">
        <f t="shared" ca="1" si="45"/>
        <v>129.85427124567471</v>
      </c>
      <c r="AS24" s="85">
        <f t="shared" ca="1" si="46"/>
        <v>131.3671657660168</v>
      </c>
      <c r="AT24" s="85">
        <f t="shared" ca="1" si="47"/>
        <v>125.27118098441863</v>
      </c>
      <c r="AU24" s="85">
        <f t="shared" ca="1" si="48"/>
        <v>131.26144650250546</v>
      </c>
      <c r="AV24" s="85">
        <f t="shared" ca="1" si="49"/>
        <v>133.55736471147932</v>
      </c>
      <c r="AW24" s="85">
        <f t="shared" ca="1" si="50"/>
        <v>129.34847675712433</v>
      </c>
      <c r="AX24" s="85">
        <f t="shared" ca="1" si="51"/>
        <v>136.74325904245458</v>
      </c>
      <c r="AY24" s="85">
        <f t="shared" ca="1" si="52"/>
        <v>136.44504753802673</v>
      </c>
      <c r="AZ24" s="85">
        <f t="shared" ca="1" si="53"/>
        <v>126.00034700252574</v>
      </c>
      <c r="BA24" s="85">
        <f t="shared" ca="1" si="54"/>
        <v>132.15744690072185</v>
      </c>
      <c r="BB24" s="85">
        <f t="shared" ca="1" si="55"/>
        <v>120.27810553674638</v>
      </c>
      <c r="BC24" s="85">
        <f t="shared" ca="1" si="56"/>
        <v>125.98642845132566</v>
      </c>
      <c r="BD24" s="85">
        <f t="shared" ca="1" si="57"/>
        <v>128.72222226808302</v>
      </c>
      <c r="BE24" s="85">
        <f t="shared" ca="1" si="58"/>
        <v>127.10449122209755</v>
      </c>
      <c r="BF24" s="85">
        <f t="shared" ca="1" si="59"/>
        <v>128.41541030679727</v>
      </c>
      <c r="BG24" s="85">
        <f t="shared" ca="1" si="60"/>
        <v>125.18879509074914</v>
      </c>
      <c r="BH24" s="85">
        <f t="shared" ca="1" si="61"/>
        <v>129.71714574468155</v>
      </c>
      <c r="BI24" s="85">
        <f t="shared" ca="1" si="62"/>
        <v>131.46784332361824</v>
      </c>
      <c r="BJ24" s="85">
        <f t="shared" ca="1" si="63"/>
        <v>130.43208723112366</v>
      </c>
      <c r="BK24" s="85">
        <f t="shared" ca="1" si="64"/>
        <v>126.62500116732095</v>
      </c>
      <c r="BL24" s="85">
        <f t="shared" ca="1" si="65"/>
        <v>126.04414556776875</v>
      </c>
      <c r="BM24" s="85">
        <f t="shared" ca="1" si="66"/>
        <v>123.75898220359906</v>
      </c>
      <c r="BN24" s="85">
        <f t="shared" ca="1" si="3"/>
        <v>124.40379344065715</v>
      </c>
      <c r="BO24" s="85">
        <f t="shared" ca="1" si="92"/>
        <v>125.93389153555819</v>
      </c>
      <c r="BP24" s="85">
        <f t="shared" ca="1" si="93"/>
        <v>124.982484576918</v>
      </c>
      <c r="BQ24" s="85">
        <f t="shared" ca="1" si="94"/>
        <v>122.81219483928868</v>
      </c>
      <c r="BR24" s="85">
        <f t="shared" ca="1" si="95"/>
        <v>122.12777722904059</v>
      </c>
      <c r="BS24" s="85">
        <f t="shared" ca="1" si="96"/>
        <v>126.80827621439859</v>
      </c>
      <c r="BT24" s="85">
        <f t="shared" ca="1" si="97"/>
        <v>125.25119469947012</v>
      </c>
      <c r="BU24" s="85">
        <f t="shared" ca="1" si="98"/>
        <v>134.96661618240736</v>
      </c>
      <c r="BV24" s="85">
        <f t="shared" ca="1" si="99"/>
        <v>126.96065164430206</v>
      </c>
      <c r="BW24" s="85">
        <f t="shared" ca="1" si="100"/>
        <v>138.91801598670503</v>
      </c>
      <c r="BX24" s="85">
        <f t="shared" ca="1" si="101"/>
        <v>126.5206490912085</v>
      </c>
      <c r="BY24" s="85">
        <f t="shared" ca="1" si="67"/>
        <v>126.27365817276241</v>
      </c>
      <c r="BZ24" s="85">
        <f t="shared" ca="1" si="68"/>
        <v>130.64613842531273</v>
      </c>
      <c r="CA24" s="85">
        <f t="shared" ca="1" si="69"/>
        <v>126.81910635664906</v>
      </c>
      <c r="CB24" s="85">
        <f t="shared" ca="1" si="70"/>
        <v>127.44704486429977</v>
      </c>
      <c r="CC24" s="85">
        <f t="shared" ca="1" si="71"/>
        <v>133.57287967584614</v>
      </c>
      <c r="CD24" s="85">
        <f t="shared" ca="1" si="72"/>
        <v>129.68523573613891</v>
      </c>
      <c r="CE24" s="85">
        <f t="shared" ca="1" si="73"/>
        <v>125.69014521119239</v>
      </c>
      <c r="CF24" s="85">
        <f t="shared" ca="1" si="74"/>
        <v>130.97727025089199</v>
      </c>
      <c r="CG24" s="85">
        <f t="shared" ca="1" si="75"/>
        <v>126.94160954310182</v>
      </c>
      <c r="CH24" s="85">
        <f t="shared" ca="1" si="76"/>
        <v>131.07223230708627</v>
      </c>
      <c r="CI24" s="85">
        <f t="shared" ca="1" si="77"/>
        <v>127.51189531097127</v>
      </c>
      <c r="CJ24" s="85">
        <f t="shared" ca="1" si="78"/>
        <v>125.67544760352851</v>
      </c>
      <c r="CK24" s="85">
        <f t="shared" ca="1" si="79"/>
        <v>119.46700982820046</v>
      </c>
      <c r="CL24" s="85">
        <f t="shared" ca="1" si="80"/>
        <v>121.63826655224457</v>
      </c>
      <c r="CM24" s="85">
        <f t="shared" ca="1" si="81"/>
        <v>128.9556786026466</v>
      </c>
      <c r="CN24" s="85">
        <f t="shared" ca="1" si="82"/>
        <v>126.53369438030511</v>
      </c>
      <c r="CO24" s="85">
        <f t="shared" ca="1" si="83"/>
        <v>124.69311537929681</v>
      </c>
      <c r="CP24" s="85">
        <f t="shared" ca="1" si="84"/>
        <v>134.64919651888133</v>
      </c>
      <c r="CQ24" s="85">
        <f t="shared" ca="1" si="85"/>
        <v>135.30963058920958</v>
      </c>
      <c r="CR24" s="85">
        <f t="shared" ca="1" si="86"/>
        <v>127.90625826789007</v>
      </c>
      <c r="CS24" s="85">
        <f t="shared" ca="1" si="87"/>
        <v>123.38133371188013</v>
      </c>
      <c r="CT24" s="85">
        <f t="shared" ca="1" si="88"/>
        <v>133.16273920125724</v>
      </c>
      <c r="CU24" s="85">
        <f t="shared" ca="1" si="89"/>
        <v>128.14180477195021</v>
      </c>
      <c r="CV24" s="85">
        <f t="shared" ca="1" si="90"/>
        <v>125.59500854903528</v>
      </c>
      <c r="CW24" s="85">
        <f t="shared" ca="1" si="91"/>
        <v>123.30860522008815</v>
      </c>
    </row>
    <row r="25" spans="1:101" x14ac:dyDescent="0.2">
      <c r="A25" s="115">
        <v>22</v>
      </c>
      <c r="B25" s="85">
        <f t="shared" ca="1" si="2"/>
        <v>128.44304172065748</v>
      </c>
      <c r="C25" s="85">
        <f t="shared" ca="1" si="4"/>
        <v>131.74333546800483</v>
      </c>
      <c r="D25" s="85">
        <f t="shared" ca="1" si="5"/>
        <v>125.70393675994225</v>
      </c>
      <c r="E25" s="85">
        <f t="shared" ca="1" si="6"/>
        <v>123.44234362453342</v>
      </c>
      <c r="F25" s="85">
        <f t="shared" ca="1" si="7"/>
        <v>127.98917128555655</v>
      </c>
      <c r="G25" s="85">
        <f t="shared" ca="1" si="8"/>
        <v>127.06258846714074</v>
      </c>
      <c r="H25" s="85">
        <f t="shared" ca="1" si="9"/>
        <v>127.02903553385335</v>
      </c>
      <c r="I25" s="85">
        <f t="shared" ca="1" si="10"/>
        <v>129.98256091604665</v>
      </c>
      <c r="J25" s="85">
        <f t="shared" ca="1" si="11"/>
        <v>132.00278788071932</v>
      </c>
      <c r="K25" s="85">
        <f t="shared" ca="1" si="12"/>
        <v>116.70375605643459</v>
      </c>
      <c r="L25" s="85">
        <f t="shared" ca="1" si="13"/>
        <v>128.17144318226653</v>
      </c>
      <c r="M25" s="85">
        <f t="shared" ca="1" si="14"/>
        <v>117.32493430927184</v>
      </c>
      <c r="N25" s="85">
        <f t="shared" ca="1" si="15"/>
        <v>136.38952493341557</v>
      </c>
      <c r="O25" s="85">
        <f t="shared" ca="1" si="16"/>
        <v>130.26613920258444</v>
      </c>
      <c r="P25" s="85">
        <f t="shared" ca="1" si="17"/>
        <v>124.42800797778234</v>
      </c>
      <c r="Q25" s="85">
        <f t="shared" ca="1" si="18"/>
        <v>133.34916311265411</v>
      </c>
      <c r="R25" s="85">
        <f t="shared" ca="1" si="19"/>
        <v>127.37266638192416</v>
      </c>
      <c r="S25" s="85">
        <f t="shared" ca="1" si="20"/>
        <v>131.64929576530207</v>
      </c>
      <c r="T25" s="85">
        <f t="shared" ca="1" si="21"/>
        <v>130.35227404190778</v>
      </c>
      <c r="U25" s="85">
        <f t="shared" ca="1" si="22"/>
        <v>121.64226823701274</v>
      </c>
      <c r="V25" s="85">
        <f t="shared" ca="1" si="23"/>
        <v>128.70494480363635</v>
      </c>
      <c r="W25" s="85">
        <f t="shared" ca="1" si="24"/>
        <v>130.52687623318212</v>
      </c>
      <c r="X25" s="85">
        <f t="shared" ca="1" si="25"/>
        <v>125.3553667346431</v>
      </c>
      <c r="Y25" s="85">
        <f t="shared" ca="1" si="26"/>
        <v>128.17511783918383</v>
      </c>
      <c r="Z25" s="85">
        <f t="shared" ca="1" si="27"/>
        <v>132.931769280184</v>
      </c>
      <c r="AA25" s="85">
        <f t="shared" ca="1" si="28"/>
        <v>125.69641732244769</v>
      </c>
      <c r="AB25" s="85">
        <f t="shared" ca="1" si="29"/>
        <v>129.48452185029495</v>
      </c>
      <c r="AC25" s="85">
        <f t="shared" ca="1" si="30"/>
        <v>124.7309856450683</v>
      </c>
      <c r="AD25" s="85">
        <f t="shared" ca="1" si="31"/>
        <v>139.19020028873285</v>
      </c>
      <c r="AE25" s="85">
        <f t="shared" ca="1" si="32"/>
        <v>131.13770339057533</v>
      </c>
      <c r="AF25" s="85">
        <f t="shared" ca="1" si="33"/>
        <v>131.71502186611954</v>
      </c>
      <c r="AG25" s="85">
        <f t="shared" ca="1" si="34"/>
        <v>133.27290868838753</v>
      </c>
      <c r="AH25" s="85">
        <f t="shared" ca="1" si="35"/>
        <v>129.9588460795768</v>
      </c>
      <c r="AI25" s="85">
        <f t="shared" ca="1" si="36"/>
        <v>130.74056591207344</v>
      </c>
      <c r="AJ25" s="85">
        <f t="shared" ca="1" si="37"/>
        <v>134.54671610677445</v>
      </c>
      <c r="AK25" s="85">
        <f t="shared" ca="1" si="38"/>
        <v>130.21026895505395</v>
      </c>
      <c r="AL25" s="85">
        <f t="shared" ca="1" si="39"/>
        <v>132.75965930818009</v>
      </c>
      <c r="AM25" s="85">
        <f t="shared" ca="1" si="40"/>
        <v>123.5510095804899</v>
      </c>
      <c r="AN25" s="85">
        <f t="shared" ca="1" si="41"/>
        <v>134.70053045752059</v>
      </c>
      <c r="AO25" s="85">
        <f t="shared" ca="1" si="42"/>
        <v>128.39754893349496</v>
      </c>
      <c r="AP25" s="85">
        <f t="shared" ca="1" si="43"/>
        <v>134.23643466481138</v>
      </c>
      <c r="AQ25" s="85">
        <f t="shared" ca="1" si="44"/>
        <v>127.2061620999693</v>
      </c>
      <c r="AR25" s="85">
        <f t="shared" ca="1" si="45"/>
        <v>130.60243844840895</v>
      </c>
      <c r="AS25" s="85">
        <f t="shared" ca="1" si="46"/>
        <v>131.50529611842992</v>
      </c>
      <c r="AT25" s="85">
        <f t="shared" ca="1" si="47"/>
        <v>127.2846116667242</v>
      </c>
      <c r="AU25" s="85">
        <f t="shared" ca="1" si="48"/>
        <v>133.43257844610275</v>
      </c>
      <c r="AV25" s="85">
        <f t="shared" ca="1" si="49"/>
        <v>133.14022763786537</v>
      </c>
      <c r="AW25" s="85">
        <f t="shared" ca="1" si="50"/>
        <v>131.04436190027897</v>
      </c>
      <c r="AX25" s="85">
        <f t="shared" ca="1" si="51"/>
        <v>139.45696122809315</v>
      </c>
      <c r="AY25" s="85">
        <f t="shared" ca="1" si="52"/>
        <v>139.00978581923121</v>
      </c>
      <c r="AZ25" s="85">
        <f t="shared" ca="1" si="53"/>
        <v>129.6959815758816</v>
      </c>
      <c r="BA25" s="85">
        <f t="shared" ca="1" si="54"/>
        <v>134.53990228188405</v>
      </c>
      <c r="BB25" s="85">
        <f t="shared" ca="1" si="55"/>
        <v>122.64821182815388</v>
      </c>
      <c r="BC25" s="85">
        <f t="shared" ca="1" si="56"/>
        <v>128.47222630055333</v>
      </c>
      <c r="BD25" s="85">
        <f t="shared" ca="1" si="57"/>
        <v>131.6829992441173</v>
      </c>
      <c r="BE25" s="85">
        <f t="shared" ca="1" si="58"/>
        <v>128.11601950593158</v>
      </c>
      <c r="BF25" s="85">
        <f t="shared" ca="1" si="59"/>
        <v>129.36985245605479</v>
      </c>
      <c r="BG25" s="85">
        <f t="shared" ca="1" si="60"/>
        <v>126.49291660276613</v>
      </c>
      <c r="BH25" s="85">
        <f t="shared" ca="1" si="61"/>
        <v>131.23013840315014</v>
      </c>
      <c r="BI25" s="85">
        <f t="shared" ca="1" si="62"/>
        <v>133.36487884119288</v>
      </c>
      <c r="BJ25" s="85">
        <f t="shared" ca="1" si="63"/>
        <v>133.53338839547345</v>
      </c>
      <c r="BK25" s="85">
        <f t="shared" ca="1" si="64"/>
        <v>128.54152961168919</v>
      </c>
      <c r="BL25" s="85">
        <f t="shared" ca="1" si="65"/>
        <v>127.30627823589293</v>
      </c>
      <c r="BM25" s="85">
        <f t="shared" ca="1" si="66"/>
        <v>126.03705110039138</v>
      </c>
      <c r="BN25" s="85">
        <f t="shared" ca="1" si="3"/>
        <v>125.14837218102983</v>
      </c>
      <c r="BO25" s="85">
        <f t="shared" ca="1" si="92"/>
        <v>127.28872855401333</v>
      </c>
      <c r="BP25" s="85">
        <f t="shared" ca="1" si="93"/>
        <v>126.38894980713556</v>
      </c>
      <c r="BQ25" s="85">
        <f t="shared" ca="1" si="94"/>
        <v>123.09279617789184</v>
      </c>
      <c r="BR25" s="85">
        <f t="shared" ca="1" si="95"/>
        <v>123.70637256371694</v>
      </c>
      <c r="BS25" s="85">
        <f t="shared" ca="1" si="96"/>
        <v>128.62633996038204</v>
      </c>
      <c r="BT25" s="85">
        <f t="shared" ca="1" si="97"/>
        <v>127.01514533035404</v>
      </c>
      <c r="BU25" s="85">
        <f t="shared" ca="1" si="98"/>
        <v>137.06230939025363</v>
      </c>
      <c r="BV25" s="85">
        <f t="shared" ca="1" si="99"/>
        <v>129.20349766312447</v>
      </c>
      <c r="BW25" s="85">
        <f t="shared" ca="1" si="100"/>
        <v>140.45585302889842</v>
      </c>
      <c r="BX25" s="85">
        <f t="shared" ca="1" si="101"/>
        <v>127.66218376846679</v>
      </c>
      <c r="BY25" s="85">
        <f t="shared" ca="1" si="67"/>
        <v>127.82420073117497</v>
      </c>
      <c r="BZ25" s="85">
        <f t="shared" ca="1" si="68"/>
        <v>132.66674149059219</v>
      </c>
      <c r="CA25" s="85">
        <f t="shared" ca="1" si="69"/>
        <v>129.20466718817426</v>
      </c>
      <c r="CB25" s="85">
        <f t="shared" ca="1" si="70"/>
        <v>128.75744703076447</v>
      </c>
      <c r="CC25" s="85">
        <f t="shared" ca="1" si="71"/>
        <v>135.26561971206823</v>
      </c>
      <c r="CD25" s="85">
        <f t="shared" ca="1" si="72"/>
        <v>130.50646738184568</v>
      </c>
      <c r="CE25" s="85">
        <f t="shared" ca="1" si="73"/>
        <v>125.68693452399202</v>
      </c>
      <c r="CF25" s="85">
        <f t="shared" ca="1" si="74"/>
        <v>134.30302222118752</v>
      </c>
      <c r="CG25" s="85">
        <f t="shared" ca="1" si="75"/>
        <v>128.43813868823099</v>
      </c>
      <c r="CH25" s="85">
        <f t="shared" ca="1" si="76"/>
        <v>134.07479212723516</v>
      </c>
      <c r="CI25" s="85">
        <f t="shared" ca="1" si="77"/>
        <v>129.25451997359221</v>
      </c>
      <c r="CJ25" s="85">
        <f t="shared" ca="1" si="78"/>
        <v>128.00919724069308</v>
      </c>
      <c r="CK25" s="85">
        <f t="shared" ca="1" si="79"/>
        <v>121.69735402452835</v>
      </c>
      <c r="CL25" s="85">
        <f t="shared" ca="1" si="80"/>
        <v>123.22817716390237</v>
      </c>
      <c r="CM25" s="85">
        <f t="shared" ca="1" si="81"/>
        <v>131.51880262886914</v>
      </c>
      <c r="CN25" s="85">
        <f t="shared" ca="1" si="82"/>
        <v>129.36814317107124</v>
      </c>
      <c r="CO25" s="85">
        <f t="shared" ca="1" si="83"/>
        <v>126.20277365051223</v>
      </c>
      <c r="CP25" s="85">
        <f t="shared" ca="1" si="84"/>
        <v>138.02559193057726</v>
      </c>
      <c r="CQ25" s="85">
        <f t="shared" ca="1" si="85"/>
        <v>137.90355108380641</v>
      </c>
      <c r="CR25" s="85">
        <f t="shared" ca="1" si="86"/>
        <v>130.07757295021486</v>
      </c>
      <c r="CS25" s="85">
        <f t="shared" ca="1" si="87"/>
        <v>124.57857284375288</v>
      </c>
      <c r="CT25" s="85">
        <f t="shared" ca="1" si="88"/>
        <v>133.00716796749094</v>
      </c>
      <c r="CU25" s="85">
        <f t="shared" ca="1" si="89"/>
        <v>130.38761271536094</v>
      </c>
      <c r="CV25" s="85">
        <f t="shared" ca="1" si="90"/>
        <v>126.80202923881805</v>
      </c>
      <c r="CW25" s="85">
        <f t="shared" ca="1" si="91"/>
        <v>125.0987398173789</v>
      </c>
    </row>
    <row r="26" spans="1:101" x14ac:dyDescent="0.2">
      <c r="A26" s="115">
        <v>23</v>
      </c>
      <c r="B26" s="85">
        <f t="shared" ca="1" si="2"/>
        <v>128.51505463959097</v>
      </c>
      <c r="C26" s="85">
        <f t="shared" ca="1" si="4"/>
        <v>135.47790989375156</v>
      </c>
      <c r="D26" s="85">
        <f t="shared" ca="1" si="5"/>
        <v>127.44325665141317</v>
      </c>
      <c r="E26" s="85">
        <f t="shared" ca="1" si="6"/>
        <v>125.43820657710776</v>
      </c>
      <c r="F26" s="85">
        <f t="shared" ca="1" si="7"/>
        <v>129.83217108028657</v>
      </c>
      <c r="G26" s="85">
        <f t="shared" ca="1" si="8"/>
        <v>129.24598716554684</v>
      </c>
      <c r="H26" s="85">
        <f t="shared" ca="1" si="9"/>
        <v>129.12997191561237</v>
      </c>
      <c r="I26" s="85">
        <f t="shared" ca="1" si="10"/>
        <v>130.97831244201504</v>
      </c>
      <c r="J26" s="85">
        <f t="shared" ca="1" si="11"/>
        <v>133.48900686632024</v>
      </c>
      <c r="K26" s="85">
        <f t="shared" ca="1" si="12"/>
        <v>118.4052597869119</v>
      </c>
      <c r="L26" s="85">
        <f t="shared" ca="1" si="13"/>
        <v>129.97888181941946</v>
      </c>
      <c r="M26" s="85">
        <f t="shared" ca="1" si="14"/>
        <v>119.70341379500786</v>
      </c>
      <c r="N26" s="85">
        <f t="shared" ca="1" si="15"/>
        <v>138.73654401663512</v>
      </c>
      <c r="O26" s="85">
        <f t="shared" ca="1" si="16"/>
        <v>132.18605564496724</v>
      </c>
      <c r="P26" s="85">
        <f t="shared" ca="1" si="17"/>
        <v>126.449314979427</v>
      </c>
      <c r="Q26" s="85">
        <f t="shared" ca="1" si="18"/>
        <v>135.7690645540475</v>
      </c>
      <c r="R26" s="85">
        <f t="shared" ca="1" si="19"/>
        <v>130.13897255911954</v>
      </c>
      <c r="S26" s="85">
        <f t="shared" ca="1" si="20"/>
        <v>133.98962439360923</v>
      </c>
      <c r="T26" s="85">
        <f t="shared" ca="1" si="21"/>
        <v>132.32090050996868</v>
      </c>
      <c r="U26" s="85">
        <f t="shared" ca="1" si="22"/>
        <v>122.97292522079054</v>
      </c>
      <c r="V26" s="85">
        <f t="shared" ca="1" si="23"/>
        <v>131.77811169978813</v>
      </c>
      <c r="W26" s="85">
        <f t="shared" ca="1" si="24"/>
        <v>132.93963826593262</v>
      </c>
      <c r="X26" s="85">
        <f t="shared" ca="1" si="25"/>
        <v>126.72086129127628</v>
      </c>
      <c r="Y26" s="85">
        <f t="shared" ca="1" si="26"/>
        <v>130.15976592947783</v>
      </c>
      <c r="Z26" s="85">
        <f t="shared" ca="1" si="27"/>
        <v>136.0700766980319</v>
      </c>
      <c r="AA26" s="85">
        <f t="shared" ca="1" si="28"/>
        <v>127.17222716289182</v>
      </c>
      <c r="AB26" s="85">
        <f t="shared" ca="1" si="29"/>
        <v>131.34452298842098</v>
      </c>
      <c r="AC26" s="85">
        <f t="shared" ca="1" si="30"/>
        <v>126.88976498176149</v>
      </c>
      <c r="AD26" s="85">
        <f t="shared" ca="1" si="31"/>
        <v>139.69913672796309</v>
      </c>
      <c r="AE26" s="85">
        <f t="shared" ca="1" si="32"/>
        <v>132.62612550705114</v>
      </c>
      <c r="AF26" s="85">
        <f t="shared" ca="1" si="33"/>
        <v>133.16240893209769</v>
      </c>
      <c r="AG26" s="85">
        <f t="shared" ca="1" si="34"/>
        <v>134.19858274854906</v>
      </c>
      <c r="AH26" s="85">
        <f t="shared" ca="1" si="35"/>
        <v>131.90376817793347</v>
      </c>
      <c r="AI26" s="85">
        <f t="shared" ca="1" si="36"/>
        <v>131.99949807365164</v>
      </c>
      <c r="AJ26" s="85">
        <f t="shared" ca="1" si="37"/>
        <v>136.38072609995464</v>
      </c>
      <c r="AK26" s="85">
        <f t="shared" ca="1" si="38"/>
        <v>132.23041425624515</v>
      </c>
      <c r="AL26" s="85">
        <f t="shared" ca="1" si="39"/>
        <v>134.55317809738531</v>
      </c>
      <c r="AM26" s="85">
        <f t="shared" ca="1" si="40"/>
        <v>124.92823474763608</v>
      </c>
      <c r="AN26" s="85">
        <f t="shared" ca="1" si="41"/>
        <v>135.88049689081541</v>
      </c>
      <c r="AO26" s="85">
        <f t="shared" ca="1" si="42"/>
        <v>129.66216948681679</v>
      </c>
      <c r="AP26" s="85">
        <f t="shared" ca="1" si="43"/>
        <v>135.54550619560283</v>
      </c>
      <c r="AQ26" s="85">
        <f t="shared" ca="1" si="44"/>
        <v>128.1308482432502</v>
      </c>
      <c r="AR26" s="85">
        <f t="shared" ca="1" si="45"/>
        <v>132.44132467663997</v>
      </c>
      <c r="AS26" s="85">
        <f t="shared" ca="1" si="46"/>
        <v>131.5529916195436</v>
      </c>
      <c r="AT26" s="85">
        <f t="shared" ca="1" si="47"/>
        <v>129.60209066041901</v>
      </c>
      <c r="AU26" s="85">
        <f t="shared" ca="1" si="48"/>
        <v>134.52769992347666</v>
      </c>
      <c r="AV26" s="85">
        <f t="shared" ca="1" si="49"/>
        <v>135.16157031896611</v>
      </c>
      <c r="AW26" s="85">
        <f t="shared" ca="1" si="50"/>
        <v>134.24545419078851</v>
      </c>
      <c r="AX26" s="85">
        <f t="shared" ca="1" si="51"/>
        <v>140.77322105067174</v>
      </c>
      <c r="AY26" s="85">
        <f t="shared" ca="1" si="52"/>
        <v>141.44607933827217</v>
      </c>
      <c r="AZ26" s="85">
        <f t="shared" ca="1" si="53"/>
        <v>129.91541428978917</v>
      </c>
      <c r="BA26" s="85">
        <f t="shared" ca="1" si="54"/>
        <v>136.42704686044803</v>
      </c>
      <c r="BB26" s="85">
        <f t="shared" ca="1" si="55"/>
        <v>124.11680054560645</v>
      </c>
      <c r="BC26" s="85">
        <f t="shared" ca="1" si="56"/>
        <v>130.66568614966431</v>
      </c>
      <c r="BD26" s="85">
        <f t="shared" ca="1" si="57"/>
        <v>133.51355124136765</v>
      </c>
      <c r="BE26" s="85">
        <f t="shared" ca="1" si="58"/>
        <v>129.61212817144806</v>
      </c>
      <c r="BF26" s="85">
        <f t="shared" ca="1" si="59"/>
        <v>133.7634509610622</v>
      </c>
      <c r="BG26" s="85">
        <f t="shared" ca="1" si="60"/>
        <v>128.78417613215217</v>
      </c>
      <c r="BH26" s="85">
        <f t="shared" ca="1" si="61"/>
        <v>131.81309106755899</v>
      </c>
      <c r="BI26" s="85">
        <f t="shared" ca="1" si="62"/>
        <v>135.45572706784964</v>
      </c>
      <c r="BJ26" s="85">
        <f t="shared" ca="1" si="63"/>
        <v>134.907934413899</v>
      </c>
      <c r="BK26" s="85">
        <f t="shared" ca="1" si="64"/>
        <v>129.82634484861043</v>
      </c>
      <c r="BL26" s="85">
        <f t="shared" ca="1" si="65"/>
        <v>127.89428849892808</v>
      </c>
      <c r="BM26" s="85">
        <f t="shared" ca="1" si="66"/>
        <v>127.25571666888692</v>
      </c>
      <c r="BN26" s="85">
        <f t="shared" ca="1" si="3"/>
        <v>127.14570437059905</v>
      </c>
      <c r="BO26" s="85">
        <f t="shared" ca="1" si="92"/>
        <v>128.68290263302734</v>
      </c>
      <c r="BP26" s="85">
        <f t="shared" ca="1" si="93"/>
        <v>126.90281399022422</v>
      </c>
      <c r="BQ26" s="85">
        <f t="shared" ca="1" si="94"/>
        <v>126.15796487867894</v>
      </c>
      <c r="BR26" s="85">
        <f t="shared" ca="1" si="95"/>
        <v>125.47876603941347</v>
      </c>
      <c r="BS26" s="85">
        <f t="shared" ca="1" si="96"/>
        <v>129.9483337990514</v>
      </c>
      <c r="BT26" s="85">
        <f t="shared" ca="1" si="97"/>
        <v>130.04368465339337</v>
      </c>
      <c r="BU26" s="85">
        <f t="shared" ca="1" si="98"/>
        <v>138.17683563122205</v>
      </c>
      <c r="BV26" s="85">
        <f t="shared" ca="1" si="99"/>
        <v>131.59501599076506</v>
      </c>
      <c r="BW26" s="85">
        <f t="shared" ca="1" si="100"/>
        <v>141.78878753675065</v>
      </c>
      <c r="BX26" s="85">
        <f t="shared" ca="1" si="101"/>
        <v>131.03720354721673</v>
      </c>
      <c r="BY26" s="85">
        <f t="shared" ca="1" si="67"/>
        <v>131.29675673151127</v>
      </c>
      <c r="BZ26" s="85">
        <f t="shared" ca="1" si="68"/>
        <v>133.59884911010224</v>
      </c>
      <c r="CA26" s="85">
        <f t="shared" ca="1" si="69"/>
        <v>130.51107398300482</v>
      </c>
      <c r="CB26" s="85">
        <f t="shared" ca="1" si="70"/>
        <v>130.35594640564358</v>
      </c>
      <c r="CC26" s="85">
        <f t="shared" ca="1" si="71"/>
        <v>135.95262572146035</v>
      </c>
      <c r="CD26" s="85">
        <f t="shared" ca="1" si="72"/>
        <v>130.36101172101979</v>
      </c>
      <c r="CE26" s="85">
        <f t="shared" ca="1" si="73"/>
        <v>126.89041897306821</v>
      </c>
      <c r="CF26" s="85">
        <f t="shared" ca="1" si="74"/>
        <v>135.07435657454937</v>
      </c>
      <c r="CG26" s="85">
        <f t="shared" ca="1" si="75"/>
        <v>129.64291605312286</v>
      </c>
      <c r="CH26" s="85">
        <f t="shared" ca="1" si="76"/>
        <v>135.8577284075279</v>
      </c>
      <c r="CI26" s="85">
        <f t="shared" ca="1" si="77"/>
        <v>130.70728400941297</v>
      </c>
      <c r="CJ26" s="85">
        <f t="shared" ca="1" si="78"/>
        <v>129.45697507925661</v>
      </c>
      <c r="CK26" s="85">
        <f t="shared" ca="1" si="79"/>
        <v>124.2626617489244</v>
      </c>
      <c r="CL26" s="85">
        <f t="shared" ca="1" si="80"/>
        <v>125.75029388338493</v>
      </c>
      <c r="CM26" s="85">
        <f t="shared" ca="1" si="81"/>
        <v>130.66082311988822</v>
      </c>
      <c r="CN26" s="85">
        <f t="shared" ca="1" si="82"/>
        <v>131.84507900530804</v>
      </c>
      <c r="CO26" s="85">
        <f t="shared" ca="1" si="83"/>
        <v>127.71103240445765</v>
      </c>
      <c r="CP26" s="85">
        <f t="shared" ca="1" si="84"/>
        <v>141.88187558795903</v>
      </c>
      <c r="CQ26" s="85">
        <f t="shared" ca="1" si="85"/>
        <v>139.3338531374676</v>
      </c>
      <c r="CR26" s="85">
        <f t="shared" ca="1" si="86"/>
        <v>131.82862392483781</v>
      </c>
      <c r="CS26" s="85">
        <f t="shared" ca="1" si="87"/>
        <v>126.0304853998212</v>
      </c>
      <c r="CT26" s="85">
        <f t="shared" ca="1" si="88"/>
        <v>135.66997092930333</v>
      </c>
      <c r="CU26" s="85">
        <f t="shared" ca="1" si="89"/>
        <v>131.12213306360221</v>
      </c>
      <c r="CV26" s="85">
        <f t="shared" ca="1" si="90"/>
        <v>128.3857453195983</v>
      </c>
      <c r="CW26" s="85">
        <f t="shared" ca="1" si="91"/>
        <v>125.68614695045819</v>
      </c>
    </row>
    <row r="27" spans="1:101" x14ac:dyDescent="0.2">
      <c r="A27" s="115">
        <v>24</v>
      </c>
      <c r="B27" s="85">
        <f t="shared" ca="1" si="2"/>
        <v>129.83453388968243</v>
      </c>
      <c r="C27" s="85">
        <f t="shared" ca="1" si="4"/>
        <v>137.12527019330463</v>
      </c>
      <c r="D27" s="85">
        <f t="shared" ca="1" si="5"/>
        <v>129.1955638442098</v>
      </c>
      <c r="E27" s="85">
        <f t="shared" ca="1" si="6"/>
        <v>126.73072686364209</v>
      </c>
      <c r="F27" s="85">
        <f t="shared" ca="1" si="7"/>
        <v>130.80274720390722</v>
      </c>
      <c r="G27" s="85">
        <f t="shared" ca="1" si="8"/>
        <v>130.57445862085703</v>
      </c>
      <c r="H27" s="85">
        <f t="shared" ca="1" si="9"/>
        <v>131.15596350857993</v>
      </c>
      <c r="I27" s="85">
        <f t="shared" ca="1" si="10"/>
        <v>132.05770199605573</v>
      </c>
      <c r="J27" s="85">
        <f t="shared" ca="1" si="11"/>
        <v>135.20374808058145</v>
      </c>
      <c r="K27" s="85">
        <f t="shared" ca="1" si="12"/>
        <v>119.46731976145939</v>
      </c>
      <c r="L27" s="85">
        <f t="shared" ca="1" si="13"/>
        <v>132.58091151617256</v>
      </c>
      <c r="M27" s="85">
        <f t="shared" ca="1" si="14"/>
        <v>122.10759697664786</v>
      </c>
      <c r="N27" s="85">
        <f t="shared" ca="1" si="15"/>
        <v>139.99230117503768</v>
      </c>
      <c r="O27" s="85">
        <f t="shared" ca="1" si="16"/>
        <v>133.72019511213222</v>
      </c>
      <c r="P27" s="85">
        <f t="shared" ca="1" si="17"/>
        <v>128.46392232051716</v>
      </c>
      <c r="Q27" s="85">
        <f t="shared" ca="1" si="18"/>
        <v>136.10594786349964</v>
      </c>
      <c r="R27" s="85">
        <f t="shared" ca="1" si="19"/>
        <v>131.3228154915339</v>
      </c>
      <c r="S27" s="85">
        <f t="shared" ca="1" si="20"/>
        <v>136.29059155661983</v>
      </c>
      <c r="T27" s="85">
        <f t="shared" ca="1" si="21"/>
        <v>134.57273980151024</v>
      </c>
      <c r="U27" s="85">
        <f t="shared" ca="1" si="22"/>
        <v>124.61661773251653</v>
      </c>
      <c r="V27" s="85">
        <f t="shared" ca="1" si="23"/>
        <v>134.14530494318166</v>
      </c>
      <c r="W27" s="85">
        <f t="shared" ca="1" si="24"/>
        <v>133.93231678752605</v>
      </c>
      <c r="X27" s="85">
        <f t="shared" ca="1" si="25"/>
        <v>127.6320037485397</v>
      </c>
      <c r="Y27" s="85">
        <f t="shared" ca="1" si="26"/>
        <v>130.52818984913927</v>
      </c>
      <c r="Z27" s="85">
        <f t="shared" ca="1" si="27"/>
        <v>137.01610931969975</v>
      </c>
      <c r="AA27" s="85">
        <f t="shared" ca="1" si="28"/>
        <v>128.30538210597749</v>
      </c>
      <c r="AB27" s="85">
        <f t="shared" ca="1" si="29"/>
        <v>133.42685573938633</v>
      </c>
      <c r="AC27" s="85">
        <f t="shared" ca="1" si="30"/>
        <v>127.84175422405237</v>
      </c>
      <c r="AD27" s="85">
        <f t="shared" ca="1" si="31"/>
        <v>141.4520688123844</v>
      </c>
      <c r="AE27" s="85">
        <f t="shared" ca="1" si="32"/>
        <v>134.76124529330082</v>
      </c>
      <c r="AF27" s="85">
        <f t="shared" ca="1" si="33"/>
        <v>133.30483882240441</v>
      </c>
      <c r="AG27" s="85">
        <f t="shared" ca="1" si="34"/>
        <v>136.01149728997464</v>
      </c>
      <c r="AH27" s="85">
        <f t="shared" ca="1" si="35"/>
        <v>133.51429143816594</v>
      </c>
      <c r="AI27" s="85">
        <f t="shared" ca="1" si="36"/>
        <v>135.24702511963585</v>
      </c>
      <c r="AJ27" s="85">
        <f t="shared" ca="1" si="37"/>
        <v>139.04426148515577</v>
      </c>
      <c r="AK27" s="85">
        <f t="shared" ca="1" si="38"/>
        <v>133.45594136617441</v>
      </c>
      <c r="AL27" s="85">
        <f t="shared" ca="1" si="39"/>
        <v>135.5469000089401</v>
      </c>
      <c r="AM27" s="85">
        <f t="shared" ca="1" si="40"/>
        <v>127.09366232757566</v>
      </c>
      <c r="AN27" s="85">
        <f t="shared" ca="1" si="41"/>
        <v>137.9307298770033</v>
      </c>
      <c r="AO27" s="85">
        <f t="shared" ca="1" si="42"/>
        <v>132.26166732935013</v>
      </c>
      <c r="AP27" s="85">
        <f t="shared" ca="1" si="43"/>
        <v>136.592441220181</v>
      </c>
      <c r="AQ27" s="85">
        <f t="shared" ca="1" si="44"/>
        <v>129.91176198105282</v>
      </c>
      <c r="AR27" s="85">
        <f t="shared" ca="1" si="45"/>
        <v>134.19492587122508</v>
      </c>
      <c r="AS27" s="85">
        <f t="shared" ca="1" si="46"/>
        <v>134.24189231954571</v>
      </c>
      <c r="AT27" s="85">
        <f t="shared" ca="1" si="47"/>
        <v>132.61365634109552</v>
      </c>
      <c r="AU27" s="85">
        <f t="shared" ca="1" si="48"/>
        <v>136.50480620786414</v>
      </c>
      <c r="AV27" s="85">
        <f t="shared" ca="1" si="49"/>
        <v>137.14954742089327</v>
      </c>
      <c r="AW27" s="85">
        <f t="shared" ca="1" si="50"/>
        <v>135.94141179678144</v>
      </c>
      <c r="AX27" s="85">
        <f t="shared" ca="1" si="51"/>
        <v>141.99515342922876</v>
      </c>
      <c r="AY27" s="85">
        <f t="shared" ca="1" si="52"/>
        <v>143.24659849390059</v>
      </c>
      <c r="AZ27" s="85">
        <f t="shared" ca="1" si="53"/>
        <v>130.88130445325422</v>
      </c>
      <c r="BA27" s="85">
        <f t="shared" ca="1" si="54"/>
        <v>139.37075514990636</v>
      </c>
      <c r="BB27" s="85">
        <f t="shared" ca="1" si="55"/>
        <v>127.173969066468</v>
      </c>
      <c r="BC27" s="85">
        <f t="shared" ca="1" si="56"/>
        <v>133.37038970019964</v>
      </c>
      <c r="BD27" s="85">
        <f t="shared" ca="1" si="57"/>
        <v>135.97110931147469</v>
      </c>
      <c r="BE27" s="85">
        <f t="shared" ca="1" si="58"/>
        <v>129.82158224806398</v>
      </c>
      <c r="BF27" s="85">
        <f t="shared" ca="1" si="59"/>
        <v>136.60857180162941</v>
      </c>
      <c r="BG27" s="85">
        <f t="shared" ca="1" si="60"/>
        <v>131.53605154318694</v>
      </c>
      <c r="BH27" s="85">
        <f t="shared" ca="1" si="61"/>
        <v>135.21530586259735</v>
      </c>
      <c r="BI27" s="85">
        <f t="shared" ca="1" si="62"/>
        <v>137.43968409065968</v>
      </c>
      <c r="BJ27" s="85">
        <f t="shared" ca="1" si="63"/>
        <v>135.81580039559773</v>
      </c>
      <c r="BK27" s="85">
        <f t="shared" ca="1" si="64"/>
        <v>129.88467262977304</v>
      </c>
      <c r="BL27" s="85">
        <f t="shared" ca="1" si="65"/>
        <v>130.18080371379421</v>
      </c>
      <c r="BM27" s="85">
        <f t="shared" ca="1" si="66"/>
        <v>128.27774952850569</v>
      </c>
      <c r="BN27" s="85">
        <f t="shared" ca="1" si="3"/>
        <v>129.1282705920537</v>
      </c>
      <c r="BO27" s="85">
        <f t="shared" ca="1" si="92"/>
        <v>130.78889624529202</v>
      </c>
      <c r="BP27" s="85">
        <f t="shared" ca="1" si="93"/>
        <v>127.61646121397682</v>
      </c>
      <c r="BQ27" s="85">
        <f t="shared" ca="1" si="94"/>
        <v>128.23581401889993</v>
      </c>
      <c r="BR27" s="85">
        <f t="shared" ca="1" si="95"/>
        <v>127.5894461988749</v>
      </c>
      <c r="BS27" s="85">
        <f t="shared" ca="1" si="96"/>
        <v>132.90140198677031</v>
      </c>
      <c r="BT27" s="85">
        <f t="shared" ca="1" si="97"/>
        <v>132.26474515735671</v>
      </c>
      <c r="BU27" s="85">
        <f t="shared" ca="1" si="98"/>
        <v>140.17481885716848</v>
      </c>
      <c r="BV27" s="85">
        <f t="shared" ca="1" si="99"/>
        <v>132.46160287777531</v>
      </c>
      <c r="BW27" s="85">
        <f t="shared" ca="1" si="100"/>
        <v>143.15182037625928</v>
      </c>
      <c r="BX27" s="85">
        <f t="shared" ca="1" si="101"/>
        <v>134.29206962666714</v>
      </c>
      <c r="BY27" s="85">
        <f t="shared" ca="1" si="67"/>
        <v>133.32880291992001</v>
      </c>
      <c r="BZ27" s="85">
        <f t="shared" ca="1" si="68"/>
        <v>134.99480298489453</v>
      </c>
      <c r="CA27" s="85">
        <f t="shared" ca="1" si="69"/>
        <v>131.15452994489365</v>
      </c>
      <c r="CB27" s="85">
        <f t="shared" ca="1" si="70"/>
        <v>134.0156416540313</v>
      </c>
      <c r="CC27" s="85">
        <f t="shared" ca="1" si="71"/>
        <v>138.71140809024794</v>
      </c>
      <c r="CD27" s="85">
        <f t="shared" ca="1" si="72"/>
        <v>133.36567700548861</v>
      </c>
      <c r="CE27" s="85">
        <f t="shared" ca="1" si="73"/>
        <v>128.98117364278139</v>
      </c>
      <c r="CF27" s="85">
        <f t="shared" ca="1" si="74"/>
        <v>136.98077842321885</v>
      </c>
      <c r="CG27" s="85">
        <f t="shared" ca="1" si="75"/>
        <v>130.2792982678304</v>
      </c>
      <c r="CH27" s="85">
        <f t="shared" ca="1" si="76"/>
        <v>138.63424005415925</v>
      </c>
      <c r="CI27" s="85">
        <f t="shared" ca="1" si="77"/>
        <v>132.1050336298853</v>
      </c>
      <c r="CJ27" s="85">
        <f t="shared" ca="1" si="78"/>
        <v>131.88784856636642</v>
      </c>
      <c r="CK27" s="85">
        <f t="shared" ca="1" si="79"/>
        <v>125.87585037929826</v>
      </c>
      <c r="CL27" s="85">
        <f t="shared" ca="1" si="80"/>
        <v>125.64578839851842</v>
      </c>
      <c r="CM27" s="85">
        <f t="shared" ca="1" si="81"/>
        <v>133.26210463149189</v>
      </c>
      <c r="CN27" s="85">
        <f t="shared" ca="1" si="82"/>
        <v>135.21474473401622</v>
      </c>
      <c r="CO27" s="85">
        <f t="shared" ca="1" si="83"/>
        <v>129.3403946256563</v>
      </c>
      <c r="CP27" s="85">
        <f t="shared" ca="1" si="84"/>
        <v>143.05758355160432</v>
      </c>
      <c r="CQ27" s="85">
        <f t="shared" ca="1" si="85"/>
        <v>139.67307865785315</v>
      </c>
      <c r="CR27" s="85">
        <f t="shared" ca="1" si="86"/>
        <v>132.68170502579287</v>
      </c>
      <c r="CS27" s="85">
        <f t="shared" ca="1" si="87"/>
        <v>126.64137341469889</v>
      </c>
      <c r="CT27" s="85">
        <f t="shared" ca="1" si="88"/>
        <v>140.13107767662785</v>
      </c>
      <c r="CU27" s="85">
        <f t="shared" ca="1" si="89"/>
        <v>133.32439349245982</v>
      </c>
      <c r="CV27" s="85">
        <f t="shared" ca="1" si="90"/>
        <v>128.75805275508964</v>
      </c>
      <c r="CW27" s="85">
        <f t="shared" ca="1" si="91"/>
        <v>127.00513924028171</v>
      </c>
    </row>
    <row r="28" spans="1:101" x14ac:dyDescent="0.2">
      <c r="A28" s="115">
        <v>25</v>
      </c>
      <c r="B28" s="85">
        <f t="shared" ca="1" si="2"/>
        <v>132.08673545143142</v>
      </c>
      <c r="C28" s="85">
        <f t="shared" ca="1" si="4"/>
        <v>137.39033381121001</v>
      </c>
      <c r="D28" s="85">
        <f t="shared" ca="1" si="5"/>
        <v>130.06739206255438</v>
      </c>
      <c r="E28" s="85">
        <f t="shared" ca="1" si="6"/>
        <v>128.53794518760219</v>
      </c>
      <c r="F28" s="85">
        <f t="shared" ca="1" si="7"/>
        <v>132.67111491415676</v>
      </c>
      <c r="G28" s="85">
        <f t="shared" ca="1" si="8"/>
        <v>132.25712428728761</v>
      </c>
      <c r="H28" s="85">
        <f t="shared" ca="1" si="9"/>
        <v>131.62863524566438</v>
      </c>
      <c r="I28" s="85">
        <f t="shared" ca="1" si="10"/>
        <v>132.82973780020697</v>
      </c>
      <c r="J28" s="85">
        <f t="shared" ca="1" si="11"/>
        <v>136.18233667898625</v>
      </c>
      <c r="K28" s="85">
        <f t="shared" ca="1" si="12"/>
        <v>120.8478920608766</v>
      </c>
      <c r="L28" s="85">
        <f t="shared" ca="1" si="13"/>
        <v>133.50055575235444</v>
      </c>
      <c r="M28" s="85">
        <f t="shared" ca="1" si="14"/>
        <v>122.96360162074667</v>
      </c>
      <c r="N28" s="85">
        <f t="shared" ca="1" si="15"/>
        <v>142.41859251803592</v>
      </c>
      <c r="O28" s="85">
        <f t="shared" ca="1" si="16"/>
        <v>135.82942219376349</v>
      </c>
      <c r="P28" s="85">
        <f t="shared" ca="1" si="17"/>
        <v>128.24026347874528</v>
      </c>
      <c r="Q28" s="85">
        <f t="shared" ca="1" si="18"/>
        <v>138.30948213279592</v>
      </c>
      <c r="R28" s="85">
        <f t="shared" ca="1" si="19"/>
        <v>132.38203700719245</v>
      </c>
      <c r="S28" s="85">
        <f t="shared" ca="1" si="20"/>
        <v>137.60642006459707</v>
      </c>
      <c r="T28" s="85">
        <f t="shared" ca="1" si="21"/>
        <v>137.80152584157312</v>
      </c>
      <c r="U28" s="85">
        <f t="shared" ca="1" si="22"/>
        <v>127.82113821462471</v>
      </c>
      <c r="V28" s="85">
        <f t="shared" ca="1" si="23"/>
        <v>135.91816683366028</v>
      </c>
      <c r="W28" s="85">
        <f t="shared" ca="1" si="24"/>
        <v>135.02728870480016</v>
      </c>
      <c r="X28" s="85">
        <f t="shared" ca="1" si="25"/>
        <v>129.25759618110462</v>
      </c>
      <c r="Y28" s="85">
        <f t="shared" ca="1" si="26"/>
        <v>132.96171079761686</v>
      </c>
      <c r="Z28" s="85">
        <f t="shared" ca="1" si="27"/>
        <v>140.63882142585058</v>
      </c>
      <c r="AA28" s="85">
        <f t="shared" ca="1" si="28"/>
        <v>128.65535634133133</v>
      </c>
      <c r="AB28" s="85">
        <f t="shared" ca="1" si="29"/>
        <v>133.58858611432024</v>
      </c>
      <c r="AC28" s="85">
        <f t="shared" ca="1" si="30"/>
        <v>131.34717831363935</v>
      </c>
      <c r="AD28" s="85">
        <f t="shared" ca="1" si="31"/>
        <v>143.00639997487545</v>
      </c>
      <c r="AE28" s="85">
        <f t="shared" ca="1" si="32"/>
        <v>138.67989440674157</v>
      </c>
      <c r="AF28" s="85">
        <f t="shared" ca="1" si="33"/>
        <v>134.74202430098094</v>
      </c>
      <c r="AG28" s="85">
        <f t="shared" ca="1" si="34"/>
        <v>138.90454276164331</v>
      </c>
      <c r="AH28" s="85">
        <f t="shared" ca="1" si="35"/>
        <v>133.8908277098584</v>
      </c>
      <c r="AI28" s="85">
        <f t="shared" ca="1" si="36"/>
        <v>137.08729715168798</v>
      </c>
      <c r="AJ28" s="85">
        <f t="shared" ca="1" si="37"/>
        <v>140.5333177619666</v>
      </c>
      <c r="AK28" s="85">
        <f t="shared" ca="1" si="38"/>
        <v>136.0913665761754</v>
      </c>
      <c r="AL28" s="85">
        <f t="shared" ca="1" si="39"/>
        <v>138.00465288882899</v>
      </c>
      <c r="AM28" s="85">
        <f t="shared" ca="1" si="40"/>
        <v>127.77532050529884</v>
      </c>
      <c r="AN28" s="85">
        <f t="shared" ca="1" si="41"/>
        <v>139.30055062733342</v>
      </c>
      <c r="AO28" s="85">
        <f t="shared" ca="1" si="42"/>
        <v>131.56205595553627</v>
      </c>
      <c r="AP28" s="85">
        <f t="shared" ca="1" si="43"/>
        <v>138.10260871169018</v>
      </c>
      <c r="AQ28" s="85">
        <f t="shared" ca="1" si="44"/>
        <v>132.23121950241921</v>
      </c>
      <c r="AR28" s="85">
        <f t="shared" ca="1" si="45"/>
        <v>135.94337396826168</v>
      </c>
      <c r="AS28" s="85">
        <f t="shared" ca="1" si="46"/>
        <v>135.63607609359087</v>
      </c>
      <c r="AT28" s="85">
        <f t="shared" ca="1" si="47"/>
        <v>135.04403657894139</v>
      </c>
      <c r="AU28" s="85">
        <f t="shared" ca="1" si="48"/>
        <v>139.22935676186421</v>
      </c>
      <c r="AV28" s="85">
        <f t="shared" ca="1" si="49"/>
        <v>139.33411938494351</v>
      </c>
      <c r="AW28" s="85">
        <f t="shared" ca="1" si="50"/>
        <v>139.06085054644521</v>
      </c>
      <c r="AX28" s="85">
        <f t="shared" ca="1" si="51"/>
        <v>143.34771190113995</v>
      </c>
      <c r="AY28" s="85">
        <f t="shared" ca="1" si="52"/>
        <v>145.72711004371399</v>
      </c>
      <c r="AZ28" s="85">
        <f t="shared" ca="1" si="53"/>
        <v>131.48397296860861</v>
      </c>
      <c r="BA28" s="85">
        <f t="shared" ca="1" si="54"/>
        <v>138.11751580037995</v>
      </c>
      <c r="BB28" s="85">
        <f t="shared" ca="1" si="55"/>
        <v>128.56917522991023</v>
      </c>
      <c r="BC28" s="85">
        <f t="shared" ca="1" si="56"/>
        <v>134.55015482594223</v>
      </c>
      <c r="BD28" s="85">
        <f t="shared" ca="1" si="57"/>
        <v>137.57598841885783</v>
      </c>
      <c r="BE28" s="85">
        <f t="shared" ca="1" si="58"/>
        <v>131.04498629408474</v>
      </c>
      <c r="BF28" s="85">
        <f t="shared" ca="1" si="59"/>
        <v>137.07826861984489</v>
      </c>
      <c r="BG28" s="85">
        <f t="shared" ca="1" si="60"/>
        <v>132.88335158998365</v>
      </c>
      <c r="BH28" s="85">
        <f t="shared" ca="1" si="61"/>
        <v>137.61727170590632</v>
      </c>
      <c r="BI28" s="85">
        <f t="shared" ca="1" si="62"/>
        <v>138.85843728433832</v>
      </c>
      <c r="BJ28" s="85">
        <f t="shared" ca="1" si="63"/>
        <v>138.34463617674635</v>
      </c>
      <c r="BK28" s="85">
        <f t="shared" ca="1" si="64"/>
        <v>130.91620197153679</v>
      </c>
      <c r="BL28" s="85">
        <f t="shared" ca="1" si="65"/>
        <v>134.22571844922098</v>
      </c>
      <c r="BM28" s="85">
        <f t="shared" ca="1" si="66"/>
        <v>128.72008857037878</v>
      </c>
      <c r="BN28" s="85">
        <f t="shared" ca="1" si="3"/>
        <v>131.92559832182428</v>
      </c>
      <c r="BO28" s="85">
        <f t="shared" ca="1" si="92"/>
        <v>132.93982501573245</v>
      </c>
      <c r="BP28" s="85">
        <f t="shared" ca="1" si="93"/>
        <v>127.74141337722129</v>
      </c>
      <c r="BQ28" s="85">
        <f t="shared" ca="1" si="94"/>
        <v>129.93990936640316</v>
      </c>
      <c r="BR28" s="85">
        <f t="shared" ca="1" si="95"/>
        <v>129.08012747532658</v>
      </c>
      <c r="BS28" s="85">
        <f t="shared" ca="1" si="96"/>
        <v>135.97730191671445</v>
      </c>
      <c r="BT28" s="85">
        <f t="shared" ca="1" si="97"/>
        <v>134.45843103407108</v>
      </c>
      <c r="BU28" s="85">
        <f t="shared" ca="1" si="98"/>
        <v>142.26275874948621</v>
      </c>
      <c r="BV28" s="85">
        <f t="shared" ca="1" si="99"/>
        <v>134.82592069471289</v>
      </c>
      <c r="BW28" s="85">
        <f t="shared" ca="1" si="100"/>
        <v>144.57981453966684</v>
      </c>
      <c r="BX28" s="85">
        <f t="shared" ca="1" si="101"/>
        <v>136.67688908836294</v>
      </c>
      <c r="BY28" s="85">
        <f t="shared" ca="1" si="67"/>
        <v>134.76481425949916</v>
      </c>
      <c r="BZ28" s="85">
        <f t="shared" ca="1" si="68"/>
        <v>136.80614392596055</v>
      </c>
      <c r="CA28" s="85">
        <f t="shared" ca="1" si="69"/>
        <v>134.26122212334272</v>
      </c>
      <c r="CB28" s="85">
        <f t="shared" ca="1" si="70"/>
        <v>135.14827467056364</v>
      </c>
      <c r="CC28" s="85">
        <f t="shared" ca="1" si="71"/>
        <v>139.99441310690793</v>
      </c>
      <c r="CD28" s="85">
        <f t="shared" ca="1" si="72"/>
        <v>136.31817495436354</v>
      </c>
      <c r="CE28" s="85">
        <f t="shared" ca="1" si="73"/>
        <v>129.79799599904908</v>
      </c>
      <c r="CF28" s="85">
        <f t="shared" ca="1" si="74"/>
        <v>135.72562727785828</v>
      </c>
      <c r="CG28" s="85">
        <f t="shared" ca="1" si="75"/>
        <v>131.3736797910156</v>
      </c>
      <c r="CH28" s="85">
        <f t="shared" ca="1" si="76"/>
        <v>140.11985382765951</v>
      </c>
      <c r="CI28" s="85">
        <f t="shared" ca="1" si="77"/>
        <v>133.36037428959213</v>
      </c>
      <c r="CJ28" s="85">
        <f t="shared" ca="1" si="78"/>
        <v>133.66377427768541</v>
      </c>
      <c r="CK28" s="85">
        <f t="shared" ca="1" si="79"/>
        <v>127.97712971125686</v>
      </c>
      <c r="CL28" s="85">
        <f t="shared" ca="1" si="80"/>
        <v>126.25555699168197</v>
      </c>
      <c r="CM28" s="85">
        <f t="shared" ca="1" si="81"/>
        <v>135.12269388931821</v>
      </c>
      <c r="CN28" s="85">
        <f t="shared" ca="1" si="82"/>
        <v>135.53454743335905</v>
      </c>
      <c r="CO28" s="85">
        <f t="shared" ca="1" si="83"/>
        <v>130.74719154613004</v>
      </c>
      <c r="CP28" s="85">
        <f t="shared" ca="1" si="84"/>
        <v>144.01573034224376</v>
      </c>
      <c r="CQ28" s="85">
        <f t="shared" ca="1" si="85"/>
        <v>142.96989301476827</v>
      </c>
      <c r="CR28" s="85">
        <f t="shared" ca="1" si="86"/>
        <v>133.633211063315</v>
      </c>
      <c r="CS28" s="85">
        <f t="shared" ca="1" si="87"/>
        <v>128.23391042864529</v>
      </c>
      <c r="CT28" s="85">
        <f t="shared" ca="1" si="88"/>
        <v>140.82984677967985</v>
      </c>
      <c r="CU28" s="85">
        <f t="shared" ca="1" si="89"/>
        <v>137.08318059156477</v>
      </c>
      <c r="CV28" s="85">
        <f t="shared" ca="1" si="90"/>
        <v>129.41202710333067</v>
      </c>
      <c r="CW28" s="85">
        <f t="shared" ca="1" si="91"/>
        <v>128.16565805290236</v>
      </c>
    </row>
    <row r="29" spans="1:101" x14ac:dyDescent="0.2">
      <c r="A29" s="115">
        <v>26</v>
      </c>
      <c r="B29" s="85">
        <f t="shared" ca="1" si="2"/>
        <v>134.09307850569778</v>
      </c>
      <c r="C29" s="85">
        <f t="shared" ca="1" si="4"/>
        <v>138.32149568087323</v>
      </c>
      <c r="D29" s="85">
        <f t="shared" ca="1" si="5"/>
        <v>133.07985127883541</v>
      </c>
      <c r="E29" s="85">
        <f t="shared" ca="1" si="6"/>
        <v>130.56855744996486</v>
      </c>
      <c r="F29" s="85">
        <f t="shared" ca="1" si="7"/>
        <v>134.0756308900996</v>
      </c>
      <c r="G29" s="85">
        <f t="shared" ca="1" si="8"/>
        <v>134.1893024734791</v>
      </c>
      <c r="H29" s="85">
        <f t="shared" ca="1" si="9"/>
        <v>133.22605526877001</v>
      </c>
      <c r="I29" s="85">
        <f t="shared" ca="1" si="10"/>
        <v>132.93538362932887</v>
      </c>
      <c r="J29" s="85">
        <f t="shared" ca="1" si="11"/>
        <v>138.48721910140094</v>
      </c>
      <c r="K29" s="85">
        <f t="shared" ca="1" si="12"/>
        <v>123.15148188909068</v>
      </c>
      <c r="L29" s="85">
        <f t="shared" ca="1" si="13"/>
        <v>134.66735428347806</v>
      </c>
      <c r="M29" s="85">
        <f t="shared" ca="1" si="14"/>
        <v>126.10791799869894</v>
      </c>
      <c r="N29" s="85">
        <f t="shared" ca="1" si="15"/>
        <v>143.48334646815513</v>
      </c>
      <c r="O29" s="85">
        <f t="shared" ca="1" si="16"/>
        <v>136.95694235348216</v>
      </c>
      <c r="P29" s="85">
        <f t="shared" ca="1" si="17"/>
        <v>129.31282551064351</v>
      </c>
      <c r="Q29" s="85">
        <f t="shared" ca="1" si="18"/>
        <v>140.4754506786222</v>
      </c>
      <c r="R29" s="85">
        <f t="shared" ca="1" si="19"/>
        <v>135.40547474589508</v>
      </c>
      <c r="S29" s="85">
        <f t="shared" ca="1" si="20"/>
        <v>139.94189366622228</v>
      </c>
      <c r="T29" s="85">
        <f t="shared" ca="1" si="21"/>
        <v>138.86643688900827</v>
      </c>
      <c r="U29" s="85">
        <f t="shared" ca="1" si="22"/>
        <v>130.55164682110816</v>
      </c>
      <c r="V29" s="85">
        <f t="shared" ca="1" si="23"/>
        <v>137.20335927098034</v>
      </c>
      <c r="W29" s="85">
        <f t="shared" ca="1" si="24"/>
        <v>136.58146368729351</v>
      </c>
      <c r="X29" s="85">
        <f t="shared" ca="1" si="25"/>
        <v>131.83197049599886</v>
      </c>
      <c r="Y29" s="85">
        <f t="shared" ca="1" si="26"/>
        <v>133.71164847512173</v>
      </c>
      <c r="Z29" s="85">
        <f t="shared" ca="1" si="27"/>
        <v>141.42590110194317</v>
      </c>
      <c r="AA29" s="85">
        <f t="shared" ca="1" si="28"/>
        <v>129.23843645903972</v>
      </c>
      <c r="AB29" s="85">
        <f t="shared" ca="1" si="29"/>
        <v>135.71067575606594</v>
      </c>
      <c r="AC29" s="85">
        <f t="shared" ca="1" si="30"/>
        <v>133.22148133533429</v>
      </c>
      <c r="AD29" s="85">
        <f t="shared" ca="1" si="31"/>
        <v>145.42216040217309</v>
      </c>
      <c r="AE29" s="85">
        <f t="shared" ca="1" si="32"/>
        <v>143.36410645017446</v>
      </c>
      <c r="AF29" s="85">
        <f t="shared" ca="1" si="33"/>
        <v>137.30712459529178</v>
      </c>
      <c r="AG29" s="85">
        <f t="shared" ca="1" si="34"/>
        <v>138.73707276363263</v>
      </c>
      <c r="AH29" s="85">
        <f t="shared" ca="1" si="35"/>
        <v>136.15549318075708</v>
      </c>
      <c r="AI29" s="85">
        <f t="shared" ca="1" si="36"/>
        <v>139.54208792829806</v>
      </c>
      <c r="AJ29" s="85">
        <f t="shared" ca="1" si="37"/>
        <v>143.15418754028912</v>
      </c>
      <c r="AK29" s="85">
        <f t="shared" ca="1" si="38"/>
        <v>138.76349799768988</v>
      </c>
      <c r="AL29" s="85">
        <f t="shared" ca="1" si="39"/>
        <v>140.60257578055555</v>
      </c>
      <c r="AM29" s="85">
        <f t="shared" ca="1" si="40"/>
        <v>129.40602376769317</v>
      </c>
      <c r="AN29" s="85">
        <f t="shared" ca="1" si="41"/>
        <v>142.51077026283028</v>
      </c>
      <c r="AO29" s="85">
        <f t="shared" ca="1" si="42"/>
        <v>131.73022641208982</v>
      </c>
      <c r="AP29" s="85">
        <f t="shared" ca="1" si="43"/>
        <v>140.3916922776159</v>
      </c>
      <c r="AQ29" s="85">
        <f t="shared" ca="1" si="44"/>
        <v>133.7748263154312</v>
      </c>
      <c r="AR29" s="85">
        <f t="shared" ca="1" si="45"/>
        <v>138.25709015171449</v>
      </c>
      <c r="AS29" s="85">
        <f t="shared" ca="1" si="46"/>
        <v>137.46634440516328</v>
      </c>
      <c r="AT29" s="85">
        <f t="shared" ca="1" si="47"/>
        <v>139.14490554201936</v>
      </c>
      <c r="AU29" s="85">
        <f t="shared" ca="1" si="48"/>
        <v>141.83195459848682</v>
      </c>
      <c r="AV29" s="85">
        <f t="shared" ca="1" si="49"/>
        <v>141.14751136326976</v>
      </c>
      <c r="AW29" s="85">
        <f t="shared" ca="1" si="50"/>
        <v>141.44117548105234</v>
      </c>
      <c r="AX29" s="85">
        <f t="shared" ca="1" si="51"/>
        <v>145.14794027575255</v>
      </c>
      <c r="AY29" s="85">
        <f t="shared" ca="1" si="52"/>
        <v>147.27231789797946</v>
      </c>
      <c r="AZ29" s="85">
        <f t="shared" ca="1" si="53"/>
        <v>132.69046904667908</v>
      </c>
      <c r="BA29" s="85">
        <f t="shared" ca="1" si="54"/>
        <v>139.36063374483857</v>
      </c>
      <c r="BB29" s="85">
        <f t="shared" ca="1" si="55"/>
        <v>131.4193934123314</v>
      </c>
      <c r="BC29" s="85">
        <f t="shared" ca="1" si="56"/>
        <v>136.86058259082475</v>
      </c>
      <c r="BD29" s="85">
        <f t="shared" ca="1" si="57"/>
        <v>138.09187148169153</v>
      </c>
      <c r="BE29" s="85">
        <f t="shared" ca="1" si="58"/>
        <v>131.17510077052879</v>
      </c>
      <c r="BF29" s="85">
        <f t="shared" ca="1" si="59"/>
        <v>139.06458195954329</v>
      </c>
      <c r="BG29" s="85">
        <f t="shared" ca="1" si="60"/>
        <v>134.0750617356193</v>
      </c>
      <c r="BH29" s="85">
        <f t="shared" ca="1" si="61"/>
        <v>139.23853362255932</v>
      </c>
      <c r="BI29" s="85">
        <f t="shared" ca="1" si="62"/>
        <v>141.74996336814723</v>
      </c>
      <c r="BJ29" s="85">
        <f t="shared" ca="1" si="63"/>
        <v>141.09554060435931</v>
      </c>
      <c r="BK29" s="85">
        <f t="shared" ca="1" si="64"/>
        <v>132.1253544691092</v>
      </c>
      <c r="BL29" s="85">
        <f t="shared" ca="1" si="65"/>
        <v>135.6843938863193</v>
      </c>
      <c r="BM29" s="85">
        <f t="shared" ca="1" si="66"/>
        <v>129.67221505803997</v>
      </c>
      <c r="BN29" s="85">
        <f t="shared" ca="1" si="3"/>
        <v>133.59000848385159</v>
      </c>
      <c r="BO29" s="85">
        <f t="shared" ca="1" si="92"/>
        <v>135.68143026002537</v>
      </c>
      <c r="BP29" s="85">
        <f t="shared" ca="1" si="93"/>
        <v>128.64974984868965</v>
      </c>
      <c r="BQ29" s="85">
        <f t="shared" ca="1" si="94"/>
        <v>130.94109571418193</v>
      </c>
      <c r="BR29" s="85">
        <f t="shared" ca="1" si="95"/>
        <v>130.91354163832426</v>
      </c>
      <c r="BS29" s="85">
        <f t="shared" ca="1" si="96"/>
        <v>138.29691766388686</v>
      </c>
      <c r="BT29" s="85">
        <f t="shared" ca="1" si="97"/>
        <v>136.75280231179576</v>
      </c>
      <c r="BU29" s="85">
        <f t="shared" ca="1" si="98"/>
        <v>143.83117320096264</v>
      </c>
      <c r="BV29" s="85">
        <f t="shared" ca="1" si="99"/>
        <v>134.82376679655491</v>
      </c>
      <c r="BW29" s="85">
        <f t="shared" ca="1" si="100"/>
        <v>146.6275041765648</v>
      </c>
      <c r="BX29" s="85">
        <f t="shared" ca="1" si="101"/>
        <v>138.09149066815328</v>
      </c>
      <c r="BY29" s="85">
        <f t="shared" ca="1" si="67"/>
        <v>136.69222578589648</v>
      </c>
      <c r="BZ29" s="85">
        <f t="shared" ca="1" si="68"/>
        <v>138.90262019872023</v>
      </c>
      <c r="CA29" s="85">
        <f t="shared" ca="1" si="69"/>
        <v>136.34595541827932</v>
      </c>
      <c r="CB29" s="85">
        <f t="shared" ca="1" si="70"/>
        <v>137.89412662888012</v>
      </c>
      <c r="CC29" s="85">
        <f t="shared" ca="1" si="71"/>
        <v>139.88309406948872</v>
      </c>
      <c r="CD29" s="85">
        <f t="shared" ca="1" si="72"/>
        <v>136.90348659698995</v>
      </c>
      <c r="CE29" s="85">
        <f t="shared" ca="1" si="73"/>
        <v>130.93056306871273</v>
      </c>
      <c r="CF29" s="85">
        <f t="shared" ca="1" si="74"/>
        <v>136.59989138749597</v>
      </c>
      <c r="CG29" s="85">
        <f t="shared" ca="1" si="75"/>
        <v>131.35057062486538</v>
      </c>
      <c r="CH29" s="85">
        <f t="shared" ca="1" si="76"/>
        <v>141.19693600264205</v>
      </c>
      <c r="CI29" s="85">
        <f t="shared" ca="1" si="77"/>
        <v>136.44697337972818</v>
      </c>
      <c r="CJ29" s="85">
        <f t="shared" ca="1" si="78"/>
        <v>134.53722817218767</v>
      </c>
      <c r="CK29" s="85">
        <f t="shared" ca="1" si="79"/>
        <v>129.48830725183686</v>
      </c>
      <c r="CL29" s="85">
        <f t="shared" ca="1" si="80"/>
        <v>127.56005969609181</v>
      </c>
      <c r="CM29" s="85">
        <f t="shared" ca="1" si="81"/>
        <v>136.64369406213444</v>
      </c>
      <c r="CN29" s="85">
        <f t="shared" ca="1" si="82"/>
        <v>136.63594330729765</v>
      </c>
      <c r="CO29" s="85">
        <f t="shared" ca="1" si="83"/>
        <v>132.9814310909519</v>
      </c>
      <c r="CP29" s="85">
        <f t="shared" ca="1" si="84"/>
        <v>146.99469173199836</v>
      </c>
      <c r="CQ29" s="85">
        <f t="shared" ca="1" si="85"/>
        <v>145.17219123641897</v>
      </c>
      <c r="CR29" s="85">
        <f t="shared" ca="1" si="86"/>
        <v>136.55012321232971</v>
      </c>
      <c r="CS29" s="85">
        <f t="shared" ca="1" si="87"/>
        <v>130.03029494144982</v>
      </c>
      <c r="CT29" s="85">
        <f t="shared" ca="1" si="88"/>
        <v>142.25548428601462</v>
      </c>
      <c r="CU29" s="85">
        <f t="shared" ca="1" si="89"/>
        <v>140.63003299744082</v>
      </c>
      <c r="CV29" s="85">
        <f t="shared" ca="1" si="90"/>
        <v>132.068267835207</v>
      </c>
      <c r="CW29" s="85">
        <f t="shared" ca="1" si="91"/>
        <v>130.09084984999788</v>
      </c>
    </row>
    <row r="30" spans="1:101" x14ac:dyDescent="0.2">
      <c r="A30" s="115">
        <v>27</v>
      </c>
      <c r="B30" s="85">
        <f t="shared" ca="1" si="2"/>
        <v>135.06546233599249</v>
      </c>
      <c r="C30" s="85">
        <f t="shared" ca="1" si="4"/>
        <v>139.20511272494693</v>
      </c>
      <c r="D30" s="85">
        <f t="shared" ca="1" si="5"/>
        <v>135.02060231236376</v>
      </c>
      <c r="E30" s="85">
        <f t="shared" ca="1" si="6"/>
        <v>132.01609126309265</v>
      </c>
      <c r="F30" s="85">
        <f t="shared" ca="1" si="7"/>
        <v>136.73192825999701</v>
      </c>
      <c r="G30" s="85">
        <f t="shared" ca="1" si="8"/>
        <v>135.14813576369187</v>
      </c>
      <c r="H30" s="85">
        <f t="shared" ca="1" si="9"/>
        <v>135.71518577942336</v>
      </c>
      <c r="I30" s="85">
        <f t="shared" ca="1" si="10"/>
        <v>134.73135320191224</v>
      </c>
      <c r="J30" s="85">
        <f t="shared" ca="1" si="11"/>
        <v>141.13773795211614</v>
      </c>
      <c r="K30" s="85">
        <f t="shared" ca="1" si="12"/>
        <v>124.06593712304618</v>
      </c>
      <c r="L30" s="85">
        <f t="shared" ca="1" si="13"/>
        <v>137.20179569620751</v>
      </c>
      <c r="M30" s="85">
        <f t="shared" ca="1" si="14"/>
        <v>127.87150157558605</v>
      </c>
      <c r="N30" s="85">
        <f t="shared" ca="1" si="15"/>
        <v>145.89198455259859</v>
      </c>
      <c r="O30" s="85">
        <f t="shared" ca="1" si="16"/>
        <v>137.5512684250088</v>
      </c>
      <c r="P30" s="85">
        <f t="shared" ca="1" si="17"/>
        <v>132.99465401405502</v>
      </c>
      <c r="Q30" s="85">
        <f t="shared" ca="1" si="18"/>
        <v>142.70705473469877</v>
      </c>
      <c r="R30" s="85">
        <f t="shared" ca="1" si="19"/>
        <v>136.64801291216273</v>
      </c>
      <c r="S30" s="85">
        <f t="shared" ca="1" si="20"/>
        <v>141.18435812920399</v>
      </c>
      <c r="T30" s="85">
        <f t="shared" ca="1" si="21"/>
        <v>139.69898266747074</v>
      </c>
      <c r="U30" s="85">
        <f t="shared" ca="1" si="22"/>
        <v>129.2818574004985</v>
      </c>
      <c r="V30" s="85">
        <f t="shared" ca="1" si="23"/>
        <v>137.52435423858122</v>
      </c>
      <c r="W30" s="85">
        <f t="shared" ca="1" si="24"/>
        <v>137.96326249519146</v>
      </c>
      <c r="X30" s="85">
        <f t="shared" ca="1" si="25"/>
        <v>134.43805064553973</v>
      </c>
      <c r="Y30" s="85">
        <f t="shared" ca="1" si="26"/>
        <v>133.17249320158973</v>
      </c>
      <c r="Z30" s="85">
        <f t="shared" ca="1" si="27"/>
        <v>142.15396156587923</v>
      </c>
      <c r="AA30" s="85">
        <f t="shared" ca="1" si="28"/>
        <v>130.35221054481337</v>
      </c>
      <c r="AB30" s="85">
        <f t="shared" ca="1" si="29"/>
        <v>138.81715667225629</v>
      </c>
      <c r="AC30" s="85">
        <f t="shared" ca="1" si="30"/>
        <v>134.67866659885877</v>
      </c>
      <c r="AD30" s="85">
        <f t="shared" ca="1" si="31"/>
        <v>148.19604160726948</v>
      </c>
      <c r="AE30" s="85">
        <f t="shared" ca="1" si="32"/>
        <v>145.3991918869651</v>
      </c>
      <c r="AF30" s="85">
        <f t="shared" ca="1" si="33"/>
        <v>140.36677555313466</v>
      </c>
      <c r="AG30" s="85">
        <f t="shared" ca="1" si="34"/>
        <v>139.56187170068515</v>
      </c>
      <c r="AH30" s="85">
        <f t="shared" ca="1" si="35"/>
        <v>138.25297840759754</v>
      </c>
      <c r="AI30" s="85">
        <f t="shared" ca="1" si="36"/>
        <v>141.10871509477838</v>
      </c>
      <c r="AJ30" s="85">
        <f t="shared" ca="1" si="37"/>
        <v>144.86190859029537</v>
      </c>
      <c r="AK30" s="85">
        <f t="shared" ca="1" si="38"/>
        <v>141.46664549375342</v>
      </c>
      <c r="AL30" s="85">
        <f t="shared" ca="1" si="39"/>
        <v>141.87587449776532</v>
      </c>
      <c r="AM30" s="85">
        <f t="shared" ca="1" si="40"/>
        <v>130.92028674693015</v>
      </c>
      <c r="AN30" s="85">
        <f t="shared" ca="1" si="41"/>
        <v>142.54897291706277</v>
      </c>
      <c r="AO30" s="85">
        <f t="shared" ca="1" si="42"/>
        <v>132.26917003554902</v>
      </c>
      <c r="AP30" s="85">
        <f t="shared" ca="1" si="43"/>
        <v>142.0784841080698</v>
      </c>
      <c r="AQ30" s="85">
        <f t="shared" ca="1" si="44"/>
        <v>134.64698708256776</v>
      </c>
      <c r="AR30" s="85">
        <f t="shared" ca="1" si="45"/>
        <v>141.46738930348701</v>
      </c>
      <c r="AS30" s="85">
        <f t="shared" ca="1" si="46"/>
        <v>140.12204798437929</v>
      </c>
      <c r="AT30" s="85">
        <f t="shared" ca="1" si="47"/>
        <v>142.46777292798865</v>
      </c>
      <c r="AU30" s="85">
        <f t="shared" ca="1" si="48"/>
        <v>142.72350674317434</v>
      </c>
      <c r="AV30" s="85">
        <f t="shared" ca="1" si="49"/>
        <v>141.87263574630418</v>
      </c>
      <c r="AW30" s="85">
        <f t="shared" ca="1" si="50"/>
        <v>144.0146904407878</v>
      </c>
      <c r="AX30" s="85">
        <f t="shared" ca="1" si="51"/>
        <v>147.92930386267724</v>
      </c>
      <c r="AY30" s="85">
        <f t="shared" ca="1" si="52"/>
        <v>149.61969084062542</v>
      </c>
      <c r="AZ30" s="85">
        <f t="shared" ca="1" si="53"/>
        <v>134.2575265855746</v>
      </c>
      <c r="BA30" s="85">
        <f t="shared" ca="1" si="54"/>
        <v>141.35815643799077</v>
      </c>
      <c r="BB30" s="85">
        <f t="shared" ca="1" si="55"/>
        <v>133.61197745803787</v>
      </c>
      <c r="BC30" s="85">
        <f t="shared" ca="1" si="56"/>
        <v>139.02580762422267</v>
      </c>
      <c r="BD30" s="85">
        <f t="shared" ca="1" si="57"/>
        <v>139.13297395886488</v>
      </c>
      <c r="BE30" s="85">
        <f t="shared" ca="1" si="58"/>
        <v>134.02961279794795</v>
      </c>
      <c r="BF30" s="85">
        <f t="shared" ca="1" si="59"/>
        <v>140.51371061022502</v>
      </c>
      <c r="BG30" s="85">
        <f t="shared" ca="1" si="60"/>
        <v>136.18398646843568</v>
      </c>
      <c r="BH30" s="85">
        <f t="shared" ca="1" si="61"/>
        <v>141.13120865859764</v>
      </c>
      <c r="BI30" s="85">
        <f t="shared" ca="1" si="62"/>
        <v>143.88790385802886</v>
      </c>
      <c r="BJ30" s="85">
        <f t="shared" ca="1" si="63"/>
        <v>142.86399997493749</v>
      </c>
      <c r="BK30" s="85">
        <f t="shared" ca="1" si="64"/>
        <v>135.7527117508144</v>
      </c>
      <c r="BL30" s="85">
        <f t="shared" ca="1" si="65"/>
        <v>137.98232409489151</v>
      </c>
      <c r="BM30" s="85">
        <f t="shared" ca="1" si="66"/>
        <v>131.82572950300295</v>
      </c>
      <c r="BN30" s="85">
        <f t="shared" ca="1" si="3"/>
        <v>136.26537512145737</v>
      </c>
      <c r="BO30" s="85">
        <f t="shared" ca="1" si="92"/>
        <v>137.04459318751083</v>
      </c>
      <c r="BP30" s="85">
        <f t="shared" ca="1" si="93"/>
        <v>130.42529687119395</v>
      </c>
      <c r="BQ30" s="85">
        <f t="shared" ca="1" si="94"/>
        <v>132.16015890264782</v>
      </c>
      <c r="BR30" s="85">
        <f t="shared" ca="1" si="95"/>
        <v>132.7026930310536</v>
      </c>
      <c r="BS30" s="85">
        <f t="shared" ca="1" si="96"/>
        <v>140.40244880073544</v>
      </c>
      <c r="BT30" s="85">
        <f t="shared" ca="1" si="97"/>
        <v>138.22645566774258</v>
      </c>
      <c r="BU30" s="85">
        <f t="shared" ca="1" si="98"/>
        <v>145.09048721652374</v>
      </c>
      <c r="BV30" s="85">
        <f t="shared" ca="1" si="99"/>
        <v>136.33756270734179</v>
      </c>
      <c r="BW30" s="85">
        <f t="shared" ca="1" si="100"/>
        <v>149.00694942264712</v>
      </c>
      <c r="BX30" s="85">
        <f t="shared" ca="1" si="101"/>
        <v>139.06827623277172</v>
      </c>
      <c r="BY30" s="85">
        <f t="shared" ca="1" si="67"/>
        <v>138.79544127058992</v>
      </c>
      <c r="BZ30" s="85">
        <f t="shared" ca="1" si="68"/>
        <v>141.2304142194304</v>
      </c>
      <c r="CA30" s="85">
        <f t="shared" ca="1" si="69"/>
        <v>137.83986534875197</v>
      </c>
      <c r="CB30" s="85">
        <f t="shared" ca="1" si="70"/>
        <v>139.47869433651132</v>
      </c>
      <c r="CC30" s="85">
        <f t="shared" ca="1" si="71"/>
        <v>141.65209850091568</v>
      </c>
      <c r="CD30" s="85">
        <f t="shared" ca="1" si="72"/>
        <v>138.72595175360917</v>
      </c>
      <c r="CE30" s="85">
        <f t="shared" ca="1" si="73"/>
        <v>131.04704461503403</v>
      </c>
      <c r="CF30" s="85">
        <f t="shared" ca="1" si="74"/>
        <v>137.89414101930038</v>
      </c>
      <c r="CG30" s="85">
        <f t="shared" ca="1" si="75"/>
        <v>132.34275411755786</v>
      </c>
      <c r="CH30" s="85">
        <f t="shared" ca="1" si="76"/>
        <v>144.51938922149071</v>
      </c>
      <c r="CI30" s="85">
        <f t="shared" ca="1" si="77"/>
        <v>139.13244279978659</v>
      </c>
      <c r="CJ30" s="85">
        <f t="shared" ca="1" si="78"/>
        <v>137.27776781197366</v>
      </c>
      <c r="CK30" s="85">
        <f t="shared" ca="1" si="79"/>
        <v>131.20915034590044</v>
      </c>
      <c r="CL30" s="85">
        <f t="shared" ca="1" si="80"/>
        <v>129.09516521606724</v>
      </c>
      <c r="CM30" s="85">
        <f t="shared" ca="1" si="81"/>
        <v>139.06394235391676</v>
      </c>
      <c r="CN30" s="85">
        <f t="shared" ca="1" si="82"/>
        <v>137.80033048536052</v>
      </c>
      <c r="CO30" s="85">
        <f t="shared" ca="1" si="83"/>
        <v>134.10112506885943</v>
      </c>
      <c r="CP30" s="85">
        <f t="shared" ca="1" si="84"/>
        <v>149.9589152497488</v>
      </c>
      <c r="CQ30" s="85">
        <f t="shared" ca="1" si="85"/>
        <v>147.91929113603427</v>
      </c>
      <c r="CR30" s="85">
        <f t="shared" ca="1" si="86"/>
        <v>138.98089178406133</v>
      </c>
      <c r="CS30" s="85">
        <f t="shared" ca="1" si="87"/>
        <v>131.27504230027665</v>
      </c>
      <c r="CT30" s="85">
        <f t="shared" ca="1" si="88"/>
        <v>143.45437030349055</v>
      </c>
      <c r="CU30" s="85">
        <f t="shared" ca="1" si="89"/>
        <v>141.60007465866551</v>
      </c>
      <c r="CV30" s="85">
        <f t="shared" ca="1" si="90"/>
        <v>133.35699088930909</v>
      </c>
      <c r="CW30" s="85">
        <f t="shared" ca="1" si="91"/>
        <v>130.29426316863993</v>
      </c>
    </row>
    <row r="31" spans="1:101" x14ac:dyDescent="0.2">
      <c r="A31" s="115">
        <v>28</v>
      </c>
      <c r="B31" s="85">
        <f t="shared" ca="1" si="2"/>
        <v>138.51320726604985</v>
      </c>
      <c r="C31" s="85">
        <f t="shared" ca="1" si="4"/>
        <v>140.31216090654556</v>
      </c>
      <c r="D31" s="85">
        <f t="shared" ca="1" si="5"/>
        <v>136.91447665315448</v>
      </c>
      <c r="E31" s="85">
        <f t="shared" ca="1" si="6"/>
        <v>134.54512838852278</v>
      </c>
      <c r="F31" s="85">
        <f t="shared" ca="1" si="7"/>
        <v>140.53668755946862</v>
      </c>
      <c r="G31" s="85">
        <f t="shared" ca="1" si="8"/>
        <v>136.77990234959489</v>
      </c>
      <c r="H31" s="85">
        <f t="shared" ca="1" si="9"/>
        <v>135.38766523174607</v>
      </c>
      <c r="I31" s="85">
        <f t="shared" ca="1" si="10"/>
        <v>136.32625854787597</v>
      </c>
      <c r="J31" s="85">
        <f t="shared" ca="1" si="11"/>
        <v>142.13800147938369</v>
      </c>
      <c r="K31" s="85">
        <f t="shared" ca="1" si="12"/>
        <v>124.83429960031955</v>
      </c>
      <c r="L31" s="85">
        <f t="shared" ca="1" si="13"/>
        <v>139.43600890334216</v>
      </c>
      <c r="M31" s="85">
        <f t="shared" ca="1" si="14"/>
        <v>130.29056063881677</v>
      </c>
      <c r="N31" s="85">
        <f t="shared" ca="1" si="15"/>
        <v>146.96993897826246</v>
      </c>
      <c r="O31" s="85">
        <f t="shared" ca="1" si="16"/>
        <v>137.89971896973071</v>
      </c>
      <c r="P31" s="85">
        <f t="shared" ca="1" si="17"/>
        <v>135.36819733087367</v>
      </c>
      <c r="Q31" s="85">
        <f t="shared" ca="1" si="18"/>
        <v>147.03019602172188</v>
      </c>
      <c r="R31" s="85">
        <f t="shared" ca="1" si="19"/>
        <v>137.02308783419127</v>
      </c>
      <c r="S31" s="85">
        <f t="shared" ca="1" si="20"/>
        <v>143.27293658810908</v>
      </c>
      <c r="T31" s="85">
        <f t="shared" ca="1" si="21"/>
        <v>140.13443210131297</v>
      </c>
      <c r="U31" s="85">
        <f t="shared" ca="1" si="22"/>
        <v>131.0659113592944</v>
      </c>
      <c r="V31" s="85">
        <f t="shared" ca="1" si="23"/>
        <v>139.42604725114336</v>
      </c>
      <c r="W31" s="85">
        <f t="shared" ca="1" si="24"/>
        <v>138.22607646330826</v>
      </c>
      <c r="X31" s="85">
        <f t="shared" ca="1" si="25"/>
        <v>135.75734107073023</v>
      </c>
      <c r="Y31" s="85">
        <f t="shared" ca="1" si="26"/>
        <v>135.10873392874029</v>
      </c>
      <c r="Z31" s="85">
        <f t="shared" ca="1" si="27"/>
        <v>143.97948843512859</v>
      </c>
      <c r="AA31" s="85">
        <f t="shared" ca="1" si="28"/>
        <v>130.61824062242354</v>
      </c>
      <c r="AB31" s="85">
        <f t="shared" ca="1" si="29"/>
        <v>140.84389944960651</v>
      </c>
      <c r="AC31" s="85">
        <f t="shared" ca="1" si="30"/>
        <v>137.36490000463903</v>
      </c>
      <c r="AD31" s="85">
        <f t="shared" ca="1" si="31"/>
        <v>150.45663145015516</v>
      </c>
      <c r="AE31" s="85">
        <f t="shared" ca="1" si="32"/>
        <v>148.97914583449386</v>
      </c>
      <c r="AF31" s="85">
        <f t="shared" ca="1" si="33"/>
        <v>140.89009274082264</v>
      </c>
      <c r="AG31" s="85">
        <f t="shared" ca="1" si="34"/>
        <v>140.88281384536947</v>
      </c>
      <c r="AH31" s="85">
        <f t="shared" ca="1" si="35"/>
        <v>141.35540993069264</v>
      </c>
      <c r="AI31" s="85">
        <f t="shared" ca="1" si="36"/>
        <v>142.70147877506705</v>
      </c>
      <c r="AJ31" s="85">
        <f t="shared" ca="1" si="37"/>
        <v>149.06007728188521</v>
      </c>
      <c r="AK31" s="85">
        <f t="shared" ca="1" si="38"/>
        <v>143.09984106667403</v>
      </c>
      <c r="AL31" s="85">
        <f t="shared" ca="1" si="39"/>
        <v>143.46506340415581</v>
      </c>
      <c r="AM31" s="85">
        <f t="shared" ca="1" si="40"/>
        <v>133.30510763168976</v>
      </c>
      <c r="AN31" s="85">
        <f t="shared" ca="1" si="41"/>
        <v>143.12107097578371</v>
      </c>
      <c r="AO31" s="85">
        <f t="shared" ca="1" si="42"/>
        <v>135.38192202091375</v>
      </c>
      <c r="AP31" s="85">
        <f t="shared" ca="1" si="43"/>
        <v>144.49535076567082</v>
      </c>
      <c r="AQ31" s="85">
        <f t="shared" ca="1" si="44"/>
        <v>136.08388786511497</v>
      </c>
      <c r="AR31" s="85">
        <f t="shared" ca="1" si="45"/>
        <v>143.37598199005808</v>
      </c>
      <c r="AS31" s="85">
        <f t="shared" ca="1" si="46"/>
        <v>142.32308308434409</v>
      </c>
      <c r="AT31" s="85">
        <f t="shared" ca="1" si="47"/>
        <v>144.9213009244493</v>
      </c>
      <c r="AU31" s="85">
        <f t="shared" ca="1" si="48"/>
        <v>143.32072666030459</v>
      </c>
      <c r="AV31" s="85">
        <f t="shared" ca="1" si="49"/>
        <v>143.26631120897881</v>
      </c>
      <c r="AW31" s="85">
        <f t="shared" ca="1" si="50"/>
        <v>146.30976045438794</v>
      </c>
      <c r="AX31" s="85">
        <f t="shared" ca="1" si="51"/>
        <v>148.84847408185828</v>
      </c>
      <c r="AY31" s="85">
        <f t="shared" ca="1" si="52"/>
        <v>150.22497792418855</v>
      </c>
      <c r="AZ31" s="85">
        <f t="shared" ca="1" si="53"/>
        <v>135.92365938845296</v>
      </c>
      <c r="BA31" s="85">
        <f t="shared" ca="1" si="54"/>
        <v>144.12904387283115</v>
      </c>
      <c r="BB31" s="85">
        <f t="shared" ca="1" si="55"/>
        <v>136.43453755388933</v>
      </c>
      <c r="BC31" s="85">
        <f t="shared" ca="1" si="56"/>
        <v>142.83143678852929</v>
      </c>
      <c r="BD31" s="85">
        <f t="shared" ca="1" si="57"/>
        <v>141.23058111118203</v>
      </c>
      <c r="BE31" s="85">
        <f t="shared" ca="1" si="58"/>
        <v>133.68395467712944</v>
      </c>
      <c r="BF31" s="85">
        <f t="shared" ca="1" si="59"/>
        <v>142.44845501710978</v>
      </c>
      <c r="BG31" s="85">
        <f t="shared" ca="1" si="60"/>
        <v>138.67927408848416</v>
      </c>
      <c r="BH31" s="85">
        <f t="shared" ca="1" si="61"/>
        <v>144.66216352472219</v>
      </c>
      <c r="BI31" s="85">
        <f t="shared" ca="1" si="62"/>
        <v>144.73765755638024</v>
      </c>
      <c r="BJ31" s="85">
        <f t="shared" ca="1" si="63"/>
        <v>144.33965878609055</v>
      </c>
      <c r="BK31" s="85">
        <f t="shared" ca="1" si="64"/>
        <v>139.14276110573232</v>
      </c>
      <c r="BL31" s="85">
        <f t="shared" ca="1" si="65"/>
        <v>139.38496799357313</v>
      </c>
      <c r="BM31" s="85">
        <f t="shared" ca="1" si="66"/>
        <v>134.40165226782594</v>
      </c>
      <c r="BN31" s="85">
        <f t="shared" ca="1" si="3"/>
        <v>136.80818144392467</v>
      </c>
      <c r="BO31" s="85">
        <f t="shared" ca="1" si="92"/>
        <v>138.72961003825111</v>
      </c>
      <c r="BP31" s="85">
        <f t="shared" ca="1" si="93"/>
        <v>131.42559166766438</v>
      </c>
      <c r="BQ31" s="85">
        <f t="shared" ca="1" si="94"/>
        <v>133.96155896746893</v>
      </c>
      <c r="BR31" s="85">
        <f t="shared" ca="1" si="95"/>
        <v>134.1265464635251</v>
      </c>
      <c r="BS31" s="85">
        <f t="shared" ca="1" si="96"/>
        <v>142.84291644077058</v>
      </c>
      <c r="BT31" s="85">
        <f t="shared" ca="1" si="97"/>
        <v>139.8617199610639</v>
      </c>
      <c r="BU31" s="85">
        <f t="shared" ca="1" si="98"/>
        <v>146.50504966715937</v>
      </c>
      <c r="BV31" s="85">
        <f t="shared" ca="1" si="99"/>
        <v>137.54123603409374</v>
      </c>
      <c r="BW31" s="85">
        <f t="shared" ca="1" si="100"/>
        <v>152.29266462829139</v>
      </c>
      <c r="BX31" s="85">
        <f t="shared" ca="1" si="101"/>
        <v>140.69762182985593</v>
      </c>
      <c r="BY31" s="85">
        <f t="shared" ca="1" si="67"/>
        <v>140.46870112802333</v>
      </c>
      <c r="BZ31" s="85">
        <f t="shared" ca="1" si="68"/>
        <v>142.13674958663574</v>
      </c>
      <c r="CA31" s="85">
        <f t="shared" ca="1" si="69"/>
        <v>140.64359453659046</v>
      </c>
      <c r="CB31" s="85">
        <f t="shared" ca="1" si="70"/>
        <v>140.7479233875105</v>
      </c>
      <c r="CC31" s="85">
        <f t="shared" ca="1" si="71"/>
        <v>144.49047911288037</v>
      </c>
      <c r="CD31" s="85">
        <f t="shared" ca="1" si="72"/>
        <v>140.23142987924979</v>
      </c>
      <c r="CE31" s="85">
        <f t="shared" ca="1" si="73"/>
        <v>133.57389124255195</v>
      </c>
      <c r="CF31" s="85">
        <f t="shared" ca="1" si="74"/>
        <v>139.36122188389263</v>
      </c>
      <c r="CG31" s="85">
        <f t="shared" ca="1" si="75"/>
        <v>134.08191925267047</v>
      </c>
      <c r="CH31" s="85">
        <f t="shared" ca="1" si="76"/>
        <v>146.18333468230793</v>
      </c>
      <c r="CI31" s="85">
        <f t="shared" ca="1" si="77"/>
        <v>140.28240999380225</v>
      </c>
      <c r="CJ31" s="85">
        <f t="shared" ca="1" si="78"/>
        <v>139.9119945603845</v>
      </c>
      <c r="CK31" s="85">
        <f t="shared" ca="1" si="79"/>
        <v>132.55005390231238</v>
      </c>
      <c r="CL31" s="85">
        <f t="shared" ca="1" si="80"/>
        <v>129.83130702326218</v>
      </c>
      <c r="CM31" s="85">
        <f t="shared" ca="1" si="81"/>
        <v>139.57889782488888</v>
      </c>
      <c r="CN31" s="85">
        <f t="shared" ca="1" si="82"/>
        <v>138.94593282740973</v>
      </c>
      <c r="CO31" s="85">
        <f t="shared" ca="1" si="83"/>
        <v>134.7726681070771</v>
      </c>
      <c r="CP31" s="85">
        <f t="shared" ca="1" si="84"/>
        <v>152.02012583016375</v>
      </c>
      <c r="CQ31" s="85">
        <f t="shared" ca="1" si="85"/>
        <v>149.15646888677034</v>
      </c>
      <c r="CR31" s="85">
        <f t="shared" ca="1" si="86"/>
        <v>139.11568513613844</v>
      </c>
      <c r="CS31" s="85">
        <f t="shared" ca="1" si="87"/>
        <v>134.7814686462651</v>
      </c>
      <c r="CT31" s="85">
        <f t="shared" ca="1" si="88"/>
        <v>145.83560209549822</v>
      </c>
      <c r="CU31" s="85">
        <f t="shared" ca="1" si="89"/>
        <v>142.9028148918926</v>
      </c>
      <c r="CV31" s="85">
        <f t="shared" ca="1" si="90"/>
        <v>135.85098269198488</v>
      </c>
      <c r="CW31" s="85">
        <f t="shared" ca="1" si="91"/>
        <v>132.48370239997175</v>
      </c>
    </row>
    <row r="32" spans="1:101" x14ac:dyDescent="0.2">
      <c r="A32" s="115">
        <v>29</v>
      </c>
      <c r="B32" s="85">
        <f t="shared" ca="1" si="2"/>
        <v>142.28344549857869</v>
      </c>
      <c r="C32" s="85">
        <f t="shared" ca="1" si="4"/>
        <v>141.91703138089045</v>
      </c>
      <c r="D32" s="85">
        <f t="shared" ca="1" si="5"/>
        <v>139.84675307506456</v>
      </c>
      <c r="E32" s="85">
        <f t="shared" ca="1" si="6"/>
        <v>135.8787625023154</v>
      </c>
      <c r="F32" s="85">
        <f t="shared" ca="1" si="7"/>
        <v>143.53449679494173</v>
      </c>
      <c r="G32" s="85">
        <f t="shared" ca="1" si="8"/>
        <v>138.4237868945535</v>
      </c>
      <c r="H32" s="85">
        <f t="shared" ca="1" si="9"/>
        <v>136.98368603115512</v>
      </c>
      <c r="I32" s="85">
        <f t="shared" ca="1" si="10"/>
        <v>139.57165535561288</v>
      </c>
      <c r="J32" s="85">
        <f t="shared" ca="1" si="11"/>
        <v>143.09452299130473</v>
      </c>
      <c r="K32" s="85">
        <f t="shared" ca="1" si="12"/>
        <v>127.80220730970569</v>
      </c>
      <c r="L32" s="85">
        <f t="shared" ca="1" si="13"/>
        <v>142.63375213134535</v>
      </c>
      <c r="M32" s="85">
        <f t="shared" ca="1" si="14"/>
        <v>133.13892399278615</v>
      </c>
      <c r="N32" s="85">
        <f t="shared" ca="1" si="15"/>
        <v>149.16760660796524</v>
      </c>
      <c r="O32" s="85">
        <f t="shared" ca="1" si="16"/>
        <v>138.5705961346973</v>
      </c>
      <c r="P32" s="85">
        <f t="shared" ca="1" si="17"/>
        <v>137.047346576633</v>
      </c>
      <c r="Q32" s="85">
        <f t="shared" ca="1" si="18"/>
        <v>148.28907115028508</v>
      </c>
      <c r="R32" s="85">
        <f t="shared" ca="1" si="19"/>
        <v>137.98456455604085</v>
      </c>
      <c r="S32" s="85">
        <f t="shared" ca="1" si="20"/>
        <v>143.37564253510448</v>
      </c>
      <c r="T32" s="85">
        <f t="shared" ca="1" si="21"/>
        <v>143.72227604748946</v>
      </c>
      <c r="U32" s="85">
        <f t="shared" ca="1" si="22"/>
        <v>132.73294170385583</v>
      </c>
      <c r="V32" s="85">
        <f t="shared" ca="1" si="23"/>
        <v>141.76722163796472</v>
      </c>
      <c r="W32" s="85">
        <f t="shared" ca="1" si="24"/>
        <v>139.90169099085495</v>
      </c>
      <c r="X32" s="85">
        <f t="shared" ca="1" si="25"/>
        <v>137.76391564056829</v>
      </c>
      <c r="Y32" s="85">
        <f t="shared" ca="1" si="26"/>
        <v>137.16407190639126</v>
      </c>
      <c r="Z32" s="85">
        <f t="shared" ca="1" si="27"/>
        <v>146.02206280136707</v>
      </c>
      <c r="AA32" s="85">
        <f t="shared" ca="1" si="28"/>
        <v>131.60189964679591</v>
      </c>
      <c r="AB32" s="85">
        <f t="shared" ca="1" si="29"/>
        <v>143.91431369579067</v>
      </c>
      <c r="AC32" s="85">
        <f t="shared" ca="1" si="30"/>
        <v>138.12812144329649</v>
      </c>
      <c r="AD32" s="85">
        <f t="shared" ca="1" si="31"/>
        <v>154.77824854073316</v>
      </c>
      <c r="AE32" s="85">
        <f t="shared" ca="1" si="32"/>
        <v>148.79228645432062</v>
      </c>
      <c r="AF32" s="85">
        <f t="shared" ca="1" si="33"/>
        <v>142.00698853972042</v>
      </c>
      <c r="AG32" s="85">
        <f t="shared" ca="1" si="34"/>
        <v>142.906124320315</v>
      </c>
      <c r="AH32" s="85">
        <f t="shared" ca="1" si="35"/>
        <v>142.68824304067417</v>
      </c>
      <c r="AI32" s="85">
        <f t="shared" ca="1" si="36"/>
        <v>144.98946728467232</v>
      </c>
      <c r="AJ32" s="85">
        <f t="shared" ca="1" si="37"/>
        <v>151.15579042428845</v>
      </c>
      <c r="AK32" s="85">
        <f t="shared" ca="1" si="38"/>
        <v>147.30838767364449</v>
      </c>
      <c r="AL32" s="85">
        <f t="shared" ca="1" si="39"/>
        <v>145.59254890071429</v>
      </c>
      <c r="AM32" s="85">
        <f t="shared" ca="1" si="40"/>
        <v>133.58681475922711</v>
      </c>
      <c r="AN32" s="85">
        <f t="shared" ca="1" si="41"/>
        <v>145.14834816902845</v>
      </c>
      <c r="AO32" s="85">
        <f t="shared" ca="1" si="42"/>
        <v>137.52152374617319</v>
      </c>
      <c r="AP32" s="85">
        <f t="shared" ca="1" si="43"/>
        <v>148.29511679266045</v>
      </c>
      <c r="AQ32" s="85">
        <f t="shared" ca="1" si="44"/>
        <v>138.62160484604325</v>
      </c>
      <c r="AR32" s="85">
        <f t="shared" ca="1" si="45"/>
        <v>144.99512610158976</v>
      </c>
      <c r="AS32" s="85">
        <f t="shared" ca="1" si="46"/>
        <v>144.27375649462738</v>
      </c>
      <c r="AT32" s="85">
        <f t="shared" ca="1" si="47"/>
        <v>148.16746686050229</v>
      </c>
      <c r="AU32" s="85">
        <f t="shared" ca="1" si="48"/>
        <v>144.31332851517763</v>
      </c>
      <c r="AV32" s="85">
        <f t="shared" ca="1" si="49"/>
        <v>146.86454120434527</v>
      </c>
      <c r="AW32" s="85">
        <f t="shared" ca="1" si="50"/>
        <v>150.16198465892717</v>
      </c>
      <c r="AX32" s="85">
        <f t="shared" ca="1" si="51"/>
        <v>149.34635336874175</v>
      </c>
      <c r="AY32" s="85">
        <f t="shared" ca="1" si="52"/>
        <v>153.39376181823616</v>
      </c>
      <c r="AZ32" s="85">
        <f t="shared" ca="1" si="53"/>
        <v>136.27471168048157</v>
      </c>
      <c r="BA32" s="85">
        <f t="shared" ca="1" si="54"/>
        <v>145.74507356126537</v>
      </c>
      <c r="BB32" s="85">
        <f t="shared" ca="1" si="55"/>
        <v>138.31262351999328</v>
      </c>
      <c r="BC32" s="85">
        <f t="shared" ca="1" si="56"/>
        <v>145.13347898136789</v>
      </c>
      <c r="BD32" s="85">
        <f t="shared" ca="1" si="57"/>
        <v>144.96748356108941</v>
      </c>
      <c r="BE32" s="85">
        <f t="shared" ca="1" si="58"/>
        <v>137.42966102570867</v>
      </c>
      <c r="BF32" s="85">
        <f t="shared" ca="1" si="59"/>
        <v>143.28881145983348</v>
      </c>
      <c r="BG32" s="85">
        <f t="shared" ca="1" si="60"/>
        <v>142.36100011231849</v>
      </c>
      <c r="BH32" s="85">
        <f t="shared" ca="1" si="61"/>
        <v>145.74251162401961</v>
      </c>
      <c r="BI32" s="85">
        <f t="shared" ca="1" si="62"/>
        <v>146.45970037525427</v>
      </c>
      <c r="BJ32" s="85">
        <f t="shared" ca="1" si="63"/>
        <v>147.54131347721062</v>
      </c>
      <c r="BK32" s="85">
        <f t="shared" ca="1" si="64"/>
        <v>141.63247723230978</v>
      </c>
      <c r="BL32" s="85">
        <f t="shared" ca="1" si="65"/>
        <v>141.63077128173586</v>
      </c>
      <c r="BM32" s="85">
        <f t="shared" ca="1" si="66"/>
        <v>136.25473869201258</v>
      </c>
      <c r="BN32" s="85">
        <f t="shared" ca="1" si="3"/>
        <v>137.86387438577719</v>
      </c>
      <c r="BO32" s="85">
        <f t="shared" ca="1" si="92"/>
        <v>139.92391013728479</v>
      </c>
      <c r="BP32" s="85">
        <f t="shared" ca="1" si="93"/>
        <v>134.09658170621555</v>
      </c>
      <c r="BQ32" s="85">
        <f t="shared" ca="1" si="94"/>
        <v>134.19086447878348</v>
      </c>
      <c r="BR32" s="85">
        <f t="shared" ca="1" si="95"/>
        <v>136.40898432296206</v>
      </c>
      <c r="BS32" s="85">
        <f t="shared" ca="1" si="96"/>
        <v>145.33869034906814</v>
      </c>
      <c r="BT32" s="85">
        <f t="shared" ca="1" si="97"/>
        <v>141.36937836625938</v>
      </c>
      <c r="BU32" s="85">
        <f t="shared" ca="1" si="98"/>
        <v>148.4639323004034</v>
      </c>
      <c r="BV32" s="85">
        <f t="shared" ca="1" si="99"/>
        <v>139.70337585674261</v>
      </c>
      <c r="BW32" s="85">
        <f t="shared" ca="1" si="100"/>
        <v>152.84078975464138</v>
      </c>
      <c r="BX32" s="85">
        <f t="shared" ca="1" si="101"/>
        <v>143.0562606096816</v>
      </c>
      <c r="BY32" s="85">
        <f t="shared" ca="1" si="67"/>
        <v>142.74000359994855</v>
      </c>
      <c r="BZ32" s="85">
        <f t="shared" ca="1" si="68"/>
        <v>144.44261429145831</v>
      </c>
      <c r="CA32" s="85">
        <f t="shared" ca="1" si="69"/>
        <v>142.92028937169744</v>
      </c>
      <c r="CB32" s="85">
        <f t="shared" ca="1" si="70"/>
        <v>143.12090127469688</v>
      </c>
      <c r="CC32" s="85">
        <f t="shared" ca="1" si="71"/>
        <v>148.43417672302576</v>
      </c>
      <c r="CD32" s="85">
        <f t="shared" ca="1" si="72"/>
        <v>142.77051062404925</v>
      </c>
      <c r="CE32" s="85">
        <f t="shared" ca="1" si="73"/>
        <v>134.96452651090357</v>
      </c>
      <c r="CF32" s="85">
        <f t="shared" ca="1" si="74"/>
        <v>141.74113585967817</v>
      </c>
      <c r="CG32" s="85">
        <f t="shared" ca="1" si="75"/>
        <v>136.13741453693947</v>
      </c>
      <c r="CH32" s="85">
        <f t="shared" ca="1" si="76"/>
        <v>147.72588484746899</v>
      </c>
      <c r="CI32" s="85">
        <f t="shared" ca="1" si="77"/>
        <v>141.96452883906218</v>
      </c>
      <c r="CJ32" s="85">
        <f t="shared" ca="1" si="78"/>
        <v>140.61318883807587</v>
      </c>
      <c r="CK32" s="85">
        <f t="shared" ca="1" si="79"/>
        <v>134.97466314742866</v>
      </c>
      <c r="CL32" s="85">
        <f t="shared" ca="1" si="80"/>
        <v>131.43071443466059</v>
      </c>
      <c r="CM32" s="85">
        <f t="shared" ca="1" si="81"/>
        <v>141.26315696030841</v>
      </c>
      <c r="CN32" s="85">
        <f t="shared" ca="1" si="82"/>
        <v>141.79596951656882</v>
      </c>
      <c r="CO32" s="85">
        <f t="shared" ca="1" si="83"/>
        <v>137.167087622769</v>
      </c>
      <c r="CP32" s="85">
        <f t="shared" ca="1" si="84"/>
        <v>154.42659944327329</v>
      </c>
      <c r="CQ32" s="85">
        <f t="shared" ca="1" si="85"/>
        <v>149.28176676508073</v>
      </c>
      <c r="CR32" s="85">
        <f t="shared" ca="1" si="86"/>
        <v>141.15613310354863</v>
      </c>
      <c r="CS32" s="85">
        <f t="shared" ca="1" si="87"/>
        <v>137.57956039251269</v>
      </c>
      <c r="CT32" s="85">
        <f t="shared" ca="1" si="88"/>
        <v>148.09926017258672</v>
      </c>
      <c r="CU32" s="85">
        <f t="shared" ca="1" si="89"/>
        <v>144.41083577340981</v>
      </c>
      <c r="CV32" s="85">
        <f t="shared" ca="1" si="90"/>
        <v>137.96530420131617</v>
      </c>
      <c r="CW32" s="85">
        <f t="shared" ca="1" si="91"/>
        <v>135.05904136510779</v>
      </c>
    </row>
    <row r="33" spans="1:101" x14ac:dyDescent="0.2">
      <c r="A33" s="115">
        <v>30</v>
      </c>
      <c r="B33" s="85">
        <f t="shared" ca="1" si="2"/>
        <v>142.74177344658131</v>
      </c>
      <c r="C33" s="85">
        <f t="shared" ca="1" si="4"/>
        <v>143.7506825410797</v>
      </c>
      <c r="D33" s="85">
        <f t="shared" ca="1" si="5"/>
        <v>140.96807092100516</v>
      </c>
      <c r="E33" s="85">
        <f t="shared" ca="1" si="6"/>
        <v>136.60333303073517</v>
      </c>
      <c r="F33" s="85">
        <f t="shared" ca="1" si="7"/>
        <v>145.09688871346088</v>
      </c>
      <c r="G33" s="85">
        <f t="shared" ca="1" si="8"/>
        <v>138.47641079291307</v>
      </c>
      <c r="H33" s="85">
        <f t="shared" ca="1" si="9"/>
        <v>137.96110182218575</v>
      </c>
      <c r="I33" s="85">
        <f t="shared" ca="1" si="10"/>
        <v>140.24525839593545</v>
      </c>
      <c r="J33" s="85">
        <f t="shared" ca="1" si="11"/>
        <v>143.93128412869899</v>
      </c>
      <c r="K33" s="85">
        <f t="shared" ca="1" si="12"/>
        <v>129.79540922601927</v>
      </c>
      <c r="L33" s="85">
        <f t="shared" ca="1" si="13"/>
        <v>143.85171042705625</v>
      </c>
      <c r="M33" s="85">
        <f t="shared" ca="1" si="14"/>
        <v>135.87077409520111</v>
      </c>
      <c r="N33" s="85">
        <f t="shared" ca="1" si="15"/>
        <v>151.48341980190526</v>
      </c>
      <c r="O33" s="85">
        <f t="shared" ca="1" si="16"/>
        <v>140.32479458691336</v>
      </c>
      <c r="P33" s="85">
        <f t="shared" ca="1" si="17"/>
        <v>139.6664090637714</v>
      </c>
      <c r="Q33" s="85">
        <f t="shared" ca="1" si="18"/>
        <v>152.3803629812933</v>
      </c>
      <c r="R33" s="85">
        <f t="shared" ca="1" si="19"/>
        <v>140.86923109508498</v>
      </c>
      <c r="S33" s="85">
        <f t="shared" ca="1" si="20"/>
        <v>144.58760960826712</v>
      </c>
      <c r="T33" s="85">
        <f t="shared" ca="1" si="21"/>
        <v>146.90617602120503</v>
      </c>
      <c r="U33" s="85">
        <f t="shared" ca="1" si="22"/>
        <v>134.05340655917831</v>
      </c>
      <c r="V33" s="85">
        <f t="shared" ca="1" si="23"/>
        <v>143.13767502858252</v>
      </c>
      <c r="W33" s="85">
        <f t="shared" ca="1" si="24"/>
        <v>142.52795736227176</v>
      </c>
      <c r="X33" s="85">
        <f t="shared" ca="1" si="25"/>
        <v>140.51750117687425</v>
      </c>
      <c r="Y33" s="85">
        <f t="shared" ca="1" si="26"/>
        <v>139.24550559151913</v>
      </c>
      <c r="Z33" s="85">
        <f t="shared" ca="1" si="27"/>
        <v>148.26649490616919</v>
      </c>
      <c r="AA33" s="85">
        <f t="shared" ca="1" si="28"/>
        <v>133.79262350585356</v>
      </c>
      <c r="AB33" s="85">
        <f t="shared" ca="1" si="29"/>
        <v>147.26058023875254</v>
      </c>
      <c r="AC33" s="85">
        <f t="shared" ca="1" si="30"/>
        <v>139.52718951980611</v>
      </c>
      <c r="AD33" s="85">
        <f t="shared" ca="1" si="31"/>
        <v>155.79314101997309</v>
      </c>
      <c r="AE33" s="85">
        <f t="shared" ca="1" si="32"/>
        <v>151.59944024169809</v>
      </c>
      <c r="AF33" s="85">
        <f t="shared" ca="1" si="33"/>
        <v>146.43300938694853</v>
      </c>
      <c r="AG33" s="85">
        <f t="shared" ca="1" si="34"/>
        <v>144.80941325119628</v>
      </c>
      <c r="AH33" s="85">
        <f t="shared" ca="1" si="35"/>
        <v>145.07908713970193</v>
      </c>
      <c r="AI33" s="85">
        <f t="shared" ca="1" si="36"/>
        <v>147.39776662886371</v>
      </c>
      <c r="AJ33" s="85">
        <f t="shared" ca="1" si="37"/>
        <v>154.16636483306704</v>
      </c>
      <c r="AK33" s="85">
        <f t="shared" ca="1" si="38"/>
        <v>150.37996789647335</v>
      </c>
      <c r="AL33" s="85">
        <f t="shared" ca="1" si="39"/>
        <v>148.02083150238866</v>
      </c>
      <c r="AM33" s="85">
        <f t="shared" ca="1" si="40"/>
        <v>135.89156488198037</v>
      </c>
      <c r="AN33" s="85">
        <f t="shared" ca="1" si="41"/>
        <v>147.21695516396395</v>
      </c>
      <c r="AO33" s="85">
        <f t="shared" ca="1" si="42"/>
        <v>140.79363808211443</v>
      </c>
      <c r="AP33" s="85">
        <f t="shared" ca="1" si="43"/>
        <v>150.3084553034424</v>
      </c>
      <c r="AQ33" s="85">
        <f t="shared" ca="1" si="44"/>
        <v>141.28604558485054</v>
      </c>
      <c r="AR33" s="85">
        <f t="shared" ca="1" si="45"/>
        <v>145.38872954079338</v>
      </c>
      <c r="AS33" s="85">
        <f t="shared" ca="1" si="46"/>
        <v>145.25387584068261</v>
      </c>
      <c r="AT33" s="85">
        <f t="shared" ca="1" si="47"/>
        <v>150.35692174450728</v>
      </c>
      <c r="AU33" s="85">
        <f t="shared" ca="1" si="48"/>
        <v>145.2635166854048</v>
      </c>
      <c r="AV33" s="85">
        <f t="shared" ca="1" si="49"/>
        <v>147.55590878685541</v>
      </c>
      <c r="AW33" s="85">
        <f t="shared" ca="1" si="50"/>
        <v>150.53537655966838</v>
      </c>
      <c r="AX33" s="85">
        <f t="shared" ca="1" si="51"/>
        <v>152.07401322276348</v>
      </c>
      <c r="AY33" s="85">
        <f t="shared" ca="1" si="52"/>
        <v>155.51861228337276</v>
      </c>
      <c r="AZ33" s="85">
        <f t="shared" ca="1" si="53"/>
        <v>137.17699444939836</v>
      </c>
      <c r="BA33" s="85">
        <f t="shared" ca="1" si="54"/>
        <v>147.56074484601393</v>
      </c>
      <c r="BB33" s="85">
        <f t="shared" ca="1" si="55"/>
        <v>140.99452147203729</v>
      </c>
      <c r="BC33" s="85">
        <f t="shared" ca="1" si="56"/>
        <v>147.95582540961718</v>
      </c>
      <c r="BD33" s="85">
        <f t="shared" ca="1" si="57"/>
        <v>146.18270543051989</v>
      </c>
      <c r="BE33" s="85">
        <f t="shared" ca="1" si="58"/>
        <v>139.56776460346987</v>
      </c>
      <c r="BF33" s="85">
        <f t="shared" ca="1" si="59"/>
        <v>143.86544530905192</v>
      </c>
      <c r="BG33" s="85">
        <f t="shared" ca="1" si="60"/>
        <v>143.57227575108163</v>
      </c>
      <c r="BH33" s="85">
        <f t="shared" ca="1" si="61"/>
        <v>147.76740168519743</v>
      </c>
      <c r="BI33" s="85">
        <f t="shared" ca="1" si="62"/>
        <v>148.58422331993006</v>
      </c>
      <c r="BJ33" s="85">
        <f t="shared" ca="1" si="63"/>
        <v>148.66261089827114</v>
      </c>
      <c r="BK33" s="85">
        <f t="shared" ca="1" si="64"/>
        <v>143.104973958079</v>
      </c>
      <c r="BL33" s="85">
        <f t="shared" ca="1" si="65"/>
        <v>143.87176792645488</v>
      </c>
      <c r="BM33" s="85">
        <f t="shared" ca="1" si="66"/>
        <v>136.58886380755357</v>
      </c>
      <c r="BN33" s="85">
        <f t="shared" ca="1" si="3"/>
        <v>138.79200721967641</v>
      </c>
      <c r="BO33" s="85">
        <f t="shared" ca="1" si="92"/>
        <v>142.31418079975413</v>
      </c>
      <c r="BP33" s="85">
        <f t="shared" ca="1" si="93"/>
        <v>134.54188267816258</v>
      </c>
      <c r="BQ33" s="85">
        <f t="shared" ca="1" si="94"/>
        <v>133.95349959762453</v>
      </c>
      <c r="BR33" s="85">
        <f t="shared" ca="1" si="95"/>
        <v>137.07631936044481</v>
      </c>
      <c r="BS33" s="85">
        <f t="shared" ca="1" si="96"/>
        <v>146.77056627293746</v>
      </c>
      <c r="BT33" s="85">
        <f t="shared" ca="1" si="97"/>
        <v>143.87903564579454</v>
      </c>
      <c r="BU33" s="85">
        <f t="shared" ca="1" si="98"/>
        <v>151.65307456988882</v>
      </c>
      <c r="BV33" s="85">
        <f t="shared" ca="1" si="99"/>
        <v>142.88669514636015</v>
      </c>
      <c r="BW33" s="85">
        <f t="shared" ca="1" si="100"/>
        <v>154.6659595097959</v>
      </c>
      <c r="BX33" s="85">
        <f t="shared" ca="1" si="101"/>
        <v>144.39761615025077</v>
      </c>
      <c r="BY33" s="85">
        <f t="shared" ca="1" si="67"/>
        <v>145.60940313619676</v>
      </c>
      <c r="BZ33" s="85">
        <f t="shared" ca="1" si="68"/>
        <v>147.10141828923238</v>
      </c>
      <c r="CA33" s="85">
        <f t="shared" ca="1" si="69"/>
        <v>143.47332721191177</v>
      </c>
      <c r="CB33" s="85">
        <f t="shared" ca="1" si="70"/>
        <v>146.90971823435981</v>
      </c>
      <c r="CC33" s="85">
        <f t="shared" ca="1" si="71"/>
        <v>149.00560559321471</v>
      </c>
      <c r="CD33" s="85">
        <f t="shared" ca="1" si="72"/>
        <v>146.33852919788615</v>
      </c>
      <c r="CE33" s="85">
        <f t="shared" ca="1" si="73"/>
        <v>135.41432165599736</v>
      </c>
      <c r="CF33" s="85">
        <f t="shared" ca="1" si="74"/>
        <v>142.79676926268868</v>
      </c>
      <c r="CG33" s="85">
        <f t="shared" ca="1" si="75"/>
        <v>138.79751258599055</v>
      </c>
      <c r="CH33" s="85">
        <f t="shared" ca="1" si="76"/>
        <v>148.95687764423261</v>
      </c>
      <c r="CI33" s="85">
        <f t="shared" ca="1" si="77"/>
        <v>144.28742969865112</v>
      </c>
      <c r="CJ33" s="85">
        <f t="shared" ca="1" si="78"/>
        <v>142.3705989105446</v>
      </c>
      <c r="CK33" s="85">
        <f t="shared" ca="1" si="79"/>
        <v>135.70848227544954</v>
      </c>
      <c r="CL33" s="85">
        <f t="shared" ca="1" si="80"/>
        <v>131.546245724691</v>
      </c>
      <c r="CM33" s="85">
        <f t="shared" ca="1" si="81"/>
        <v>143.39146898685607</v>
      </c>
      <c r="CN33" s="85">
        <f t="shared" ca="1" si="82"/>
        <v>143.12457030312882</v>
      </c>
      <c r="CO33" s="85">
        <f t="shared" ca="1" si="83"/>
        <v>140.13155943474442</v>
      </c>
      <c r="CP33" s="85">
        <f t="shared" ca="1" si="84"/>
        <v>156.55651772398278</v>
      </c>
      <c r="CQ33" s="85">
        <f t="shared" ca="1" si="85"/>
        <v>152.27404865605354</v>
      </c>
      <c r="CR33" s="85">
        <f t="shared" ca="1" si="86"/>
        <v>144.32515242577534</v>
      </c>
      <c r="CS33" s="85">
        <f t="shared" ca="1" si="87"/>
        <v>139.43139668442083</v>
      </c>
      <c r="CT33" s="85">
        <f t="shared" ca="1" si="88"/>
        <v>148.47359715525656</v>
      </c>
      <c r="CU33" s="85">
        <f t="shared" ca="1" si="89"/>
        <v>146.18812172197275</v>
      </c>
      <c r="CV33" s="85">
        <f t="shared" ca="1" si="90"/>
        <v>140.16800414787517</v>
      </c>
      <c r="CW33" s="85">
        <f t="shared" ca="1" si="91"/>
        <v>135.72910809902712</v>
      </c>
    </row>
    <row r="34" spans="1:101" x14ac:dyDescent="0.2">
      <c r="A34" s="115">
        <v>31</v>
      </c>
      <c r="B34" s="85">
        <f t="shared" ca="1" si="2"/>
        <v>143.28029215559067</v>
      </c>
      <c r="C34" s="85">
        <f t="shared" ca="1" si="4"/>
        <v>146.53789356760578</v>
      </c>
      <c r="D34" s="85">
        <f t="shared" ca="1" si="5"/>
        <v>143.90373713488512</v>
      </c>
      <c r="E34" s="85">
        <f t="shared" ca="1" si="6"/>
        <v>138.86307948437235</v>
      </c>
      <c r="F34" s="85">
        <f t="shared" ca="1" si="7"/>
        <v>146.90513014644341</v>
      </c>
      <c r="G34" s="85">
        <f t="shared" ca="1" si="8"/>
        <v>140.9603208800917</v>
      </c>
      <c r="H34" s="85">
        <f t="shared" ca="1" si="9"/>
        <v>139.74241089258365</v>
      </c>
      <c r="I34" s="85">
        <f t="shared" ca="1" si="10"/>
        <v>140.94060028257138</v>
      </c>
      <c r="J34" s="85">
        <f t="shared" ca="1" si="11"/>
        <v>145.04566341757939</v>
      </c>
      <c r="K34" s="85">
        <f t="shared" ca="1" si="12"/>
        <v>131.20551318830701</v>
      </c>
      <c r="L34" s="85">
        <f t="shared" ca="1" si="13"/>
        <v>146.49987428266127</v>
      </c>
      <c r="M34" s="85">
        <f t="shared" ca="1" si="14"/>
        <v>136.91966089283329</v>
      </c>
      <c r="N34" s="85">
        <f t="shared" ca="1" si="15"/>
        <v>154.58047782946943</v>
      </c>
      <c r="O34" s="85">
        <f t="shared" ca="1" si="16"/>
        <v>142.45924772042872</v>
      </c>
      <c r="P34" s="85">
        <f t="shared" ca="1" si="17"/>
        <v>140.8807182888107</v>
      </c>
      <c r="Q34" s="85">
        <f t="shared" ca="1" si="18"/>
        <v>153.88900094536137</v>
      </c>
      <c r="R34" s="85">
        <f t="shared" ca="1" si="19"/>
        <v>143.18529849296561</v>
      </c>
      <c r="S34" s="85">
        <f t="shared" ca="1" si="20"/>
        <v>148.73403421524415</v>
      </c>
      <c r="T34" s="85">
        <f t="shared" ca="1" si="21"/>
        <v>150.93165967644973</v>
      </c>
      <c r="U34" s="85">
        <f t="shared" ca="1" si="22"/>
        <v>136.29878135550723</v>
      </c>
      <c r="V34" s="85">
        <f t="shared" ca="1" si="23"/>
        <v>147.09995915798356</v>
      </c>
      <c r="W34" s="85">
        <f t="shared" ca="1" si="24"/>
        <v>145.63778153043174</v>
      </c>
      <c r="X34" s="85">
        <f t="shared" ca="1" si="25"/>
        <v>142.47784664879163</v>
      </c>
      <c r="Y34" s="85">
        <f t="shared" ca="1" si="26"/>
        <v>142.47840130036903</v>
      </c>
      <c r="Z34" s="85">
        <f t="shared" ca="1" si="27"/>
        <v>148.72772082236446</v>
      </c>
      <c r="AA34" s="85">
        <f t="shared" ca="1" si="28"/>
        <v>134.5866859627636</v>
      </c>
      <c r="AB34" s="85">
        <f t="shared" ca="1" si="29"/>
        <v>147.70866108686309</v>
      </c>
      <c r="AC34" s="85">
        <f t="shared" ca="1" si="30"/>
        <v>142.36125462932753</v>
      </c>
      <c r="AD34" s="85">
        <f t="shared" ca="1" si="31"/>
        <v>156.07256656879835</v>
      </c>
      <c r="AE34" s="85">
        <f t="shared" ca="1" si="32"/>
        <v>155.46301858092889</v>
      </c>
      <c r="AF34" s="85">
        <f t="shared" ca="1" si="33"/>
        <v>147.66488950846997</v>
      </c>
      <c r="AG34" s="85">
        <f t="shared" ca="1" si="34"/>
        <v>147.1938212384855</v>
      </c>
      <c r="AH34" s="85">
        <f t="shared" ca="1" si="35"/>
        <v>146.38384617682004</v>
      </c>
      <c r="AI34" s="85">
        <f t="shared" ca="1" si="36"/>
        <v>149.02940481931682</v>
      </c>
      <c r="AJ34" s="85">
        <f t="shared" ca="1" si="37"/>
        <v>154.00687703126886</v>
      </c>
      <c r="AK34" s="85">
        <f t="shared" ca="1" si="38"/>
        <v>151.57353252055339</v>
      </c>
      <c r="AL34" s="85">
        <f t="shared" ca="1" si="39"/>
        <v>151.57538096471401</v>
      </c>
      <c r="AM34" s="85">
        <f t="shared" ca="1" si="40"/>
        <v>138.86080388417344</v>
      </c>
      <c r="AN34" s="85">
        <f t="shared" ca="1" si="41"/>
        <v>149.55497964993819</v>
      </c>
      <c r="AO34" s="85">
        <f t="shared" ca="1" si="42"/>
        <v>143.85873077547524</v>
      </c>
      <c r="AP34" s="85">
        <f t="shared" ca="1" si="43"/>
        <v>152.22959140104328</v>
      </c>
      <c r="AQ34" s="85">
        <f t="shared" ca="1" si="44"/>
        <v>141.81530897180184</v>
      </c>
      <c r="AR34" s="85">
        <f t="shared" ca="1" si="45"/>
        <v>145.27589118189613</v>
      </c>
      <c r="AS34" s="85">
        <f t="shared" ca="1" si="46"/>
        <v>146.53586603538099</v>
      </c>
      <c r="AT34" s="85">
        <f t="shared" ca="1" si="47"/>
        <v>150.60530093459599</v>
      </c>
      <c r="AU34" s="85">
        <f t="shared" ca="1" si="48"/>
        <v>147.19635006355409</v>
      </c>
      <c r="AV34" s="85">
        <f t="shared" ca="1" si="49"/>
        <v>147.88098288550242</v>
      </c>
      <c r="AW34" s="85">
        <f t="shared" ca="1" si="50"/>
        <v>153.40487979203368</v>
      </c>
      <c r="AX34" s="85">
        <f t="shared" ca="1" si="51"/>
        <v>154.05603980747404</v>
      </c>
      <c r="AY34" s="85">
        <f t="shared" ca="1" si="52"/>
        <v>159.11355285289065</v>
      </c>
      <c r="AZ34" s="85">
        <f t="shared" ca="1" si="53"/>
        <v>139.60390199531162</v>
      </c>
      <c r="BA34" s="85">
        <f t="shared" ca="1" si="54"/>
        <v>149.53863055425529</v>
      </c>
      <c r="BB34" s="85">
        <f t="shared" ca="1" si="55"/>
        <v>143.30050772709063</v>
      </c>
      <c r="BC34" s="85">
        <f t="shared" ca="1" si="56"/>
        <v>150.32832304213832</v>
      </c>
      <c r="BD34" s="85">
        <f t="shared" ca="1" si="57"/>
        <v>147.27806573426162</v>
      </c>
      <c r="BE34" s="85">
        <f t="shared" ca="1" si="58"/>
        <v>142.23171934891261</v>
      </c>
      <c r="BF34" s="85">
        <f t="shared" ca="1" si="59"/>
        <v>145.69396234291401</v>
      </c>
      <c r="BG34" s="85">
        <f t="shared" ca="1" si="60"/>
        <v>145.46761619756242</v>
      </c>
      <c r="BH34" s="85">
        <f t="shared" ca="1" si="61"/>
        <v>149.55463598028072</v>
      </c>
      <c r="BI34" s="85">
        <f t="shared" ca="1" si="62"/>
        <v>148.76974091853145</v>
      </c>
      <c r="BJ34" s="85">
        <f t="shared" ca="1" si="63"/>
        <v>150.82896742428264</v>
      </c>
      <c r="BK34" s="85">
        <f t="shared" ca="1" si="64"/>
        <v>145.91920092833044</v>
      </c>
      <c r="BL34" s="85">
        <f t="shared" ca="1" si="65"/>
        <v>147.05501434620817</v>
      </c>
      <c r="BM34" s="85">
        <f t="shared" ca="1" si="66"/>
        <v>137.32117287752544</v>
      </c>
      <c r="BN34" s="85">
        <f t="shared" ca="1" si="3"/>
        <v>141.04723440962084</v>
      </c>
      <c r="BO34" s="85">
        <f t="shared" ca="1" si="92"/>
        <v>142.90020475864756</v>
      </c>
      <c r="BP34" s="85">
        <f t="shared" ca="1" si="93"/>
        <v>137.10553108122008</v>
      </c>
      <c r="BQ34" s="85">
        <f t="shared" ca="1" si="94"/>
        <v>136.84881591881873</v>
      </c>
      <c r="BR34" s="85">
        <f t="shared" ca="1" si="95"/>
        <v>139.37220524246897</v>
      </c>
      <c r="BS34" s="85">
        <f t="shared" ca="1" si="96"/>
        <v>148.41520352702256</v>
      </c>
      <c r="BT34" s="85">
        <f t="shared" ca="1" si="97"/>
        <v>147.3291585430475</v>
      </c>
      <c r="BU34" s="85">
        <f t="shared" ca="1" si="98"/>
        <v>152.58224123494475</v>
      </c>
      <c r="BV34" s="85">
        <f t="shared" ca="1" si="99"/>
        <v>144.35040229972722</v>
      </c>
      <c r="BW34" s="85">
        <f t="shared" ca="1" si="100"/>
        <v>156.15232833976114</v>
      </c>
      <c r="BX34" s="85">
        <f t="shared" ca="1" si="101"/>
        <v>148.12229480413404</v>
      </c>
      <c r="BY34" s="85">
        <f t="shared" ca="1" si="67"/>
        <v>146.71157560631451</v>
      </c>
      <c r="BZ34" s="85">
        <f t="shared" ca="1" si="68"/>
        <v>150.25153403096471</v>
      </c>
      <c r="CA34" s="85">
        <f t="shared" ca="1" si="69"/>
        <v>144.8493399459102</v>
      </c>
      <c r="CB34" s="85">
        <f t="shared" ca="1" si="70"/>
        <v>149.25009821035118</v>
      </c>
      <c r="CC34" s="85">
        <f t="shared" ca="1" si="71"/>
        <v>149.26095180550311</v>
      </c>
      <c r="CD34" s="85">
        <f t="shared" ca="1" si="72"/>
        <v>147.92487286886271</v>
      </c>
      <c r="CE34" s="85">
        <f t="shared" ca="1" si="73"/>
        <v>137.84468152354091</v>
      </c>
      <c r="CF34" s="85">
        <f t="shared" ca="1" si="74"/>
        <v>146.51419457899277</v>
      </c>
      <c r="CG34" s="85">
        <f t="shared" ca="1" si="75"/>
        <v>140.23383483574784</v>
      </c>
      <c r="CH34" s="85">
        <f t="shared" ca="1" si="76"/>
        <v>151.46700487378752</v>
      </c>
      <c r="CI34" s="85">
        <f t="shared" ca="1" si="77"/>
        <v>146.83410789584974</v>
      </c>
      <c r="CJ34" s="85">
        <f t="shared" ca="1" si="78"/>
        <v>143.59003018252767</v>
      </c>
      <c r="CK34" s="85">
        <f t="shared" ca="1" si="79"/>
        <v>137.24960714200736</v>
      </c>
      <c r="CL34" s="85">
        <f t="shared" ca="1" si="80"/>
        <v>133.03778521931849</v>
      </c>
      <c r="CM34" s="85">
        <f t="shared" ca="1" si="81"/>
        <v>144.96056239947026</v>
      </c>
      <c r="CN34" s="85">
        <f t="shared" ca="1" si="82"/>
        <v>145.40734906252098</v>
      </c>
      <c r="CO34" s="85">
        <f t="shared" ca="1" si="83"/>
        <v>141.02756368347102</v>
      </c>
      <c r="CP34" s="85">
        <f t="shared" ca="1" si="84"/>
        <v>159.75319373863769</v>
      </c>
      <c r="CQ34" s="85">
        <f t="shared" ca="1" si="85"/>
        <v>153.9957361101593</v>
      </c>
      <c r="CR34" s="85">
        <f t="shared" ca="1" si="86"/>
        <v>147.22810995131212</v>
      </c>
      <c r="CS34" s="85">
        <f t="shared" ca="1" si="87"/>
        <v>140.18906139226317</v>
      </c>
      <c r="CT34" s="85">
        <f t="shared" ca="1" si="88"/>
        <v>150.87103590741296</v>
      </c>
      <c r="CU34" s="85">
        <f t="shared" ca="1" si="89"/>
        <v>147.88056279169305</v>
      </c>
      <c r="CV34" s="85">
        <f t="shared" ca="1" si="90"/>
        <v>141.63516732424617</v>
      </c>
      <c r="CW34" s="85">
        <f t="shared" ca="1" si="91"/>
        <v>138.93198544845859</v>
      </c>
    </row>
    <row r="35" spans="1:101" x14ac:dyDescent="0.2">
      <c r="A35" s="115">
        <v>32</v>
      </c>
      <c r="B35" s="85">
        <f t="shared" ca="1" si="2"/>
        <v>145.81608647746063</v>
      </c>
      <c r="C35" s="85">
        <f t="shared" ca="1" si="4"/>
        <v>147.12573662271743</v>
      </c>
      <c r="D35" s="85">
        <f t="shared" ca="1" si="5"/>
        <v>146.12841500702757</v>
      </c>
      <c r="E35" s="85">
        <f t="shared" ca="1" si="6"/>
        <v>141.2269723263085</v>
      </c>
      <c r="F35" s="85">
        <f t="shared" ca="1" si="7"/>
        <v>148.98766262020948</v>
      </c>
      <c r="G35" s="85">
        <f t="shared" ca="1" si="8"/>
        <v>142.91635224745781</v>
      </c>
      <c r="H35" s="85">
        <f t="shared" ca="1" si="9"/>
        <v>142.76437265849657</v>
      </c>
      <c r="I35" s="85">
        <f t="shared" ca="1" si="10"/>
        <v>143.63416347854348</v>
      </c>
      <c r="J35" s="85">
        <f t="shared" ca="1" si="11"/>
        <v>147.48376983293977</v>
      </c>
      <c r="K35" s="85">
        <f t="shared" ca="1" si="12"/>
        <v>133.91423123668028</v>
      </c>
      <c r="L35" s="85">
        <f t="shared" ca="1" si="13"/>
        <v>148.46205121931985</v>
      </c>
      <c r="M35" s="85">
        <f t="shared" ca="1" si="14"/>
        <v>140.71355244044358</v>
      </c>
      <c r="N35" s="85">
        <f t="shared" ca="1" si="15"/>
        <v>156.88900931055011</v>
      </c>
      <c r="O35" s="85">
        <f t="shared" ca="1" si="16"/>
        <v>145.96806868553423</v>
      </c>
      <c r="P35" s="85">
        <f t="shared" ca="1" si="17"/>
        <v>143.74866181662668</v>
      </c>
      <c r="Q35" s="85">
        <f t="shared" ca="1" si="18"/>
        <v>156.55695138576144</v>
      </c>
      <c r="R35" s="85">
        <f t="shared" ca="1" si="19"/>
        <v>144.06495414357852</v>
      </c>
      <c r="S35" s="85">
        <f t="shared" ca="1" si="20"/>
        <v>150.85949644328176</v>
      </c>
      <c r="T35" s="85">
        <f t="shared" ca="1" si="21"/>
        <v>151.88270834250235</v>
      </c>
      <c r="U35" s="85">
        <f t="shared" ca="1" si="22"/>
        <v>137.91670632743779</v>
      </c>
      <c r="V35" s="85">
        <f t="shared" ca="1" si="23"/>
        <v>150.92767231261075</v>
      </c>
      <c r="W35" s="85">
        <f t="shared" ca="1" si="24"/>
        <v>147.13981176328247</v>
      </c>
      <c r="X35" s="85">
        <f t="shared" ca="1" si="25"/>
        <v>144.1520936254922</v>
      </c>
      <c r="Y35" s="85">
        <f t="shared" ca="1" si="26"/>
        <v>144.24660983290357</v>
      </c>
      <c r="Z35" s="85">
        <f t="shared" ca="1" si="27"/>
        <v>151.31639974454419</v>
      </c>
      <c r="AA35" s="85">
        <f t="shared" ca="1" si="28"/>
        <v>134.71345409028922</v>
      </c>
      <c r="AB35" s="85">
        <f t="shared" ca="1" si="29"/>
        <v>148.81398621528663</v>
      </c>
      <c r="AC35" s="85">
        <f t="shared" ca="1" si="30"/>
        <v>143.65450490134597</v>
      </c>
      <c r="AD35" s="85">
        <f t="shared" ca="1" si="31"/>
        <v>157.480258070275</v>
      </c>
      <c r="AE35" s="85">
        <f t="shared" ca="1" si="32"/>
        <v>157.52995530317338</v>
      </c>
      <c r="AF35" s="85">
        <f t="shared" ca="1" si="33"/>
        <v>149.07725203943488</v>
      </c>
      <c r="AG35" s="85">
        <f t="shared" ca="1" si="34"/>
        <v>150.04301070761778</v>
      </c>
      <c r="AH35" s="85">
        <f t="shared" ca="1" si="35"/>
        <v>148.37568520413132</v>
      </c>
      <c r="AI35" s="85">
        <f t="shared" ca="1" si="36"/>
        <v>152.07205151846341</v>
      </c>
      <c r="AJ35" s="85">
        <f t="shared" ca="1" si="37"/>
        <v>155.414020416086</v>
      </c>
      <c r="AK35" s="85">
        <f t="shared" ca="1" si="38"/>
        <v>153.92400979919003</v>
      </c>
      <c r="AL35" s="85">
        <f t="shared" ca="1" si="39"/>
        <v>155.50966228364197</v>
      </c>
      <c r="AM35" s="85">
        <f t="shared" ca="1" si="40"/>
        <v>139.1064399828108</v>
      </c>
      <c r="AN35" s="85">
        <f t="shared" ca="1" si="41"/>
        <v>153.26011601911134</v>
      </c>
      <c r="AO35" s="85">
        <f t="shared" ca="1" si="42"/>
        <v>144.1027425221036</v>
      </c>
      <c r="AP35" s="85">
        <f t="shared" ca="1" si="43"/>
        <v>156.6226285586321</v>
      </c>
      <c r="AQ35" s="85">
        <f t="shared" ca="1" si="44"/>
        <v>142.28991884639569</v>
      </c>
      <c r="AR35" s="85">
        <f t="shared" ca="1" si="45"/>
        <v>147.94771812797015</v>
      </c>
      <c r="AS35" s="85">
        <f t="shared" ca="1" si="46"/>
        <v>149.04728398206356</v>
      </c>
      <c r="AT35" s="85">
        <f t="shared" ca="1" si="47"/>
        <v>151.37745107547741</v>
      </c>
      <c r="AU35" s="85">
        <f t="shared" ca="1" si="48"/>
        <v>149.95506336312579</v>
      </c>
      <c r="AV35" s="85">
        <f t="shared" ca="1" si="49"/>
        <v>148.61006639487914</v>
      </c>
      <c r="AW35" s="85">
        <f t="shared" ca="1" si="50"/>
        <v>156.82752161643214</v>
      </c>
      <c r="AX35" s="85">
        <f t="shared" ca="1" si="51"/>
        <v>155.74892515667122</v>
      </c>
      <c r="AY35" s="85">
        <f t="shared" ca="1" si="52"/>
        <v>160.78081678565636</v>
      </c>
      <c r="AZ35" s="85">
        <f t="shared" ca="1" si="53"/>
        <v>140.36409222273588</v>
      </c>
      <c r="BA35" s="85">
        <f t="shared" ca="1" si="54"/>
        <v>151.63694513825348</v>
      </c>
      <c r="BB35" s="85">
        <f t="shared" ca="1" si="55"/>
        <v>144.87183906194022</v>
      </c>
      <c r="BC35" s="85">
        <f t="shared" ca="1" si="56"/>
        <v>152.71235825533606</v>
      </c>
      <c r="BD35" s="85">
        <f t="shared" ca="1" si="57"/>
        <v>149.51141512753094</v>
      </c>
      <c r="BE35" s="85">
        <f t="shared" ca="1" si="58"/>
        <v>142.98879545973506</v>
      </c>
      <c r="BF35" s="85">
        <f t="shared" ca="1" si="59"/>
        <v>148.36185563248921</v>
      </c>
      <c r="BG35" s="85">
        <f t="shared" ca="1" si="60"/>
        <v>146.76323509190672</v>
      </c>
      <c r="BH35" s="85">
        <f t="shared" ca="1" si="61"/>
        <v>150.2324825915002</v>
      </c>
      <c r="BI35" s="85">
        <f t="shared" ca="1" si="62"/>
        <v>147.63750716915669</v>
      </c>
      <c r="BJ35" s="85">
        <f t="shared" ca="1" si="63"/>
        <v>152.85403209544657</v>
      </c>
      <c r="BK35" s="85">
        <f t="shared" ca="1" si="64"/>
        <v>147.91601807996108</v>
      </c>
      <c r="BL35" s="85">
        <f t="shared" ca="1" si="65"/>
        <v>148.02280287353594</v>
      </c>
      <c r="BM35" s="85">
        <f t="shared" ca="1" si="66"/>
        <v>136.88915826891852</v>
      </c>
      <c r="BN35" s="85">
        <f t="shared" ca="1" si="3"/>
        <v>143.60085957105372</v>
      </c>
      <c r="BO35" s="85">
        <f t="shared" ca="1" si="92"/>
        <v>144.96258104937613</v>
      </c>
      <c r="BP35" s="85">
        <f t="shared" ca="1" si="93"/>
        <v>139.1454960164092</v>
      </c>
      <c r="BQ35" s="85">
        <f t="shared" ca="1" si="94"/>
        <v>137.84178484057801</v>
      </c>
      <c r="BR35" s="85">
        <f t="shared" ca="1" si="95"/>
        <v>141.18153330349796</v>
      </c>
      <c r="BS35" s="85">
        <f t="shared" ca="1" si="96"/>
        <v>150.68281238715156</v>
      </c>
      <c r="BT35" s="85">
        <f t="shared" ca="1" si="97"/>
        <v>149.85262196242149</v>
      </c>
      <c r="BU35" s="85">
        <f t="shared" ca="1" si="98"/>
        <v>152.64678799860491</v>
      </c>
      <c r="BV35" s="85">
        <f t="shared" ca="1" si="99"/>
        <v>147.07719778262626</v>
      </c>
      <c r="BW35" s="85">
        <f t="shared" ca="1" si="100"/>
        <v>159.03837576804753</v>
      </c>
      <c r="BX35" s="85">
        <f t="shared" ca="1" si="101"/>
        <v>151.07005123880134</v>
      </c>
      <c r="BY35" s="85">
        <f t="shared" ca="1" si="67"/>
        <v>148.96439745764442</v>
      </c>
      <c r="BZ35" s="85">
        <f t="shared" ca="1" si="68"/>
        <v>153.08340126592776</v>
      </c>
      <c r="CA35" s="85">
        <f t="shared" ca="1" si="69"/>
        <v>146.7993357721906</v>
      </c>
      <c r="CB35" s="85">
        <f t="shared" ca="1" si="70"/>
        <v>150.33203633919115</v>
      </c>
      <c r="CC35" s="85">
        <f t="shared" ca="1" si="71"/>
        <v>150.53676729309177</v>
      </c>
      <c r="CD35" s="85">
        <f t="shared" ca="1" si="72"/>
        <v>149.64950125650037</v>
      </c>
      <c r="CE35" s="85">
        <f t="shared" ca="1" si="73"/>
        <v>138.68053883427123</v>
      </c>
      <c r="CF35" s="85">
        <f t="shared" ca="1" si="74"/>
        <v>148.84569336530186</v>
      </c>
      <c r="CG35" s="85">
        <f t="shared" ca="1" si="75"/>
        <v>142.25751268272151</v>
      </c>
      <c r="CH35" s="85">
        <f t="shared" ca="1" si="76"/>
        <v>155.97031144043015</v>
      </c>
      <c r="CI35" s="85">
        <f t="shared" ca="1" si="77"/>
        <v>148.08693835230264</v>
      </c>
      <c r="CJ35" s="85">
        <f t="shared" ca="1" si="78"/>
        <v>146.65588272139584</v>
      </c>
      <c r="CK35" s="85">
        <f t="shared" ca="1" si="79"/>
        <v>139.93898963278875</v>
      </c>
      <c r="CL35" s="85">
        <f t="shared" ca="1" si="80"/>
        <v>136.32103055708714</v>
      </c>
      <c r="CM35" s="85">
        <f t="shared" ca="1" si="81"/>
        <v>147.72736092334517</v>
      </c>
      <c r="CN35" s="85">
        <f t="shared" ca="1" si="82"/>
        <v>148.04964804081573</v>
      </c>
      <c r="CO35" s="85">
        <f t="shared" ca="1" si="83"/>
        <v>143.44285128064169</v>
      </c>
      <c r="CP35" s="85">
        <f t="shared" ca="1" si="84"/>
        <v>162.22215481989613</v>
      </c>
      <c r="CQ35" s="85">
        <f t="shared" ca="1" si="85"/>
        <v>153.57038973311933</v>
      </c>
      <c r="CR35" s="85">
        <f t="shared" ca="1" si="86"/>
        <v>149.63019595745504</v>
      </c>
      <c r="CS35" s="85">
        <f t="shared" ca="1" si="87"/>
        <v>141.21859772398199</v>
      </c>
      <c r="CT35" s="85">
        <f t="shared" ca="1" si="88"/>
        <v>151.06008878161745</v>
      </c>
      <c r="CU35" s="85">
        <f t="shared" ca="1" si="89"/>
        <v>148.8411887930514</v>
      </c>
      <c r="CV35" s="85">
        <f t="shared" ca="1" si="90"/>
        <v>144.30873983349056</v>
      </c>
      <c r="CW35" s="85">
        <f t="shared" ca="1" si="91"/>
        <v>141.92962094027106</v>
      </c>
    </row>
    <row r="36" spans="1:101" x14ac:dyDescent="0.2">
      <c r="A36" s="115">
        <v>33</v>
      </c>
      <c r="B36" s="85">
        <f t="shared" ca="1" si="2"/>
        <v>147.62938576293905</v>
      </c>
      <c r="C36" s="85">
        <f t="shared" ca="1" si="4"/>
        <v>151.17058534657923</v>
      </c>
      <c r="D36" s="85">
        <f t="shared" ca="1" si="5"/>
        <v>148.57381924716435</v>
      </c>
      <c r="E36" s="85">
        <f t="shared" ca="1" si="6"/>
        <v>146.26412951697361</v>
      </c>
      <c r="F36" s="85">
        <f t="shared" ca="1" si="7"/>
        <v>151.3594464032484</v>
      </c>
      <c r="G36" s="85">
        <f t="shared" ca="1" si="8"/>
        <v>144.61733030104639</v>
      </c>
      <c r="H36" s="85">
        <f t="shared" ca="1" si="9"/>
        <v>145.49175847596132</v>
      </c>
      <c r="I36" s="85">
        <f t="shared" ca="1" si="10"/>
        <v>146.31380971383669</v>
      </c>
      <c r="J36" s="85">
        <f t="shared" ca="1" si="11"/>
        <v>149.08420792438517</v>
      </c>
      <c r="K36" s="85">
        <f t="shared" ca="1" si="12"/>
        <v>137.3735913638825</v>
      </c>
      <c r="L36" s="85">
        <f t="shared" ca="1" si="13"/>
        <v>151.37781355230052</v>
      </c>
      <c r="M36" s="85">
        <f t="shared" ca="1" si="14"/>
        <v>141.62128591768527</v>
      </c>
      <c r="N36" s="85">
        <f t="shared" ca="1" si="15"/>
        <v>158.45907233213151</v>
      </c>
      <c r="O36" s="85">
        <f t="shared" ca="1" si="16"/>
        <v>150.02215972565503</v>
      </c>
      <c r="P36" s="85">
        <f t="shared" ca="1" si="17"/>
        <v>145.15297819033725</v>
      </c>
      <c r="Q36" s="85">
        <f t="shared" ca="1" si="18"/>
        <v>157.93835422824023</v>
      </c>
      <c r="R36" s="85">
        <f t="shared" ca="1" si="19"/>
        <v>145.48018365457972</v>
      </c>
      <c r="S36" s="85">
        <f t="shared" ca="1" si="20"/>
        <v>153.73850307010972</v>
      </c>
      <c r="T36" s="85">
        <f t="shared" ca="1" si="21"/>
        <v>154.96058045318216</v>
      </c>
      <c r="U36" s="85">
        <f t="shared" ca="1" si="22"/>
        <v>139.52669543779686</v>
      </c>
      <c r="V36" s="85">
        <f t="shared" ca="1" si="23"/>
        <v>153.48524070554109</v>
      </c>
      <c r="W36" s="85">
        <f t="shared" ca="1" si="24"/>
        <v>148.83298746693734</v>
      </c>
      <c r="X36" s="85">
        <f t="shared" ca="1" si="25"/>
        <v>145.21794072210321</v>
      </c>
      <c r="Y36" s="85">
        <f t="shared" ca="1" si="26"/>
        <v>145.71520343836784</v>
      </c>
      <c r="Z36" s="85">
        <f t="shared" ca="1" si="27"/>
        <v>151.35335425274207</v>
      </c>
      <c r="AA36" s="85">
        <f t="shared" ca="1" si="28"/>
        <v>135.39364804296969</v>
      </c>
      <c r="AB36" s="85">
        <f t="shared" ca="1" si="29"/>
        <v>149.6866592688778</v>
      </c>
      <c r="AC36" s="85">
        <f t="shared" ca="1" si="30"/>
        <v>147.19702127976376</v>
      </c>
      <c r="AD36" s="85">
        <f t="shared" ca="1" si="31"/>
        <v>159.97643276166241</v>
      </c>
      <c r="AE36" s="85">
        <f t="shared" ca="1" si="32"/>
        <v>160.0629380284764</v>
      </c>
      <c r="AF36" s="85">
        <f t="shared" ca="1" si="33"/>
        <v>151.95073784747748</v>
      </c>
      <c r="AG36" s="85">
        <f t="shared" ca="1" si="34"/>
        <v>152.64981113626069</v>
      </c>
      <c r="AH36" s="85">
        <f t="shared" ca="1" si="35"/>
        <v>150.81042685027873</v>
      </c>
      <c r="AI36" s="85">
        <f t="shared" ca="1" si="36"/>
        <v>154.10262692971588</v>
      </c>
      <c r="AJ36" s="85">
        <f t="shared" ca="1" si="37"/>
        <v>159.41904548907482</v>
      </c>
      <c r="AK36" s="85">
        <f t="shared" ca="1" si="38"/>
        <v>155.27757988383743</v>
      </c>
      <c r="AL36" s="85">
        <f t="shared" ca="1" si="39"/>
        <v>157.62456968812594</v>
      </c>
      <c r="AM36" s="85">
        <f t="shared" ca="1" si="40"/>
        <v>141.17888172401328</v>
      </c>
      <c r="AN36" s="85">
        <f t="shared" ca="1" si="41"/>
        <v>154.8379338398903</v>
      </c>
      <c r="AO36" s="85">
        <f t="shared" ca="1" si="42"/>
        <v>147.1315432330311</v>
      </c>
      <c r="AP36" s="85">
        <f t="shared" ca="1" si="43"/>
        <v>159.75308563545286</v>
      </c>
      <c r="AQ36" s="85">
        <f t="shared" ca="1" si="44"/>
        <v>143.75636338562029</v>
      </c>
      <c r="AR36" s="85">
        <f t="shared" ca="1" si="45"/>
        <v>149.19321445022462</v>
      </c>
      <c r="AS36" s="85">
        <f t="shared" ca="1" si="46"/>
        <v>151.09390250530052</v>
      </c>
      <c r="AT36" s="85">
        <f t="shared" ca="1" si="47"/>
        <v>153.28410776363052</v>
      </c>
      <c r="AU36" s="85">
        <f t="shared" ca="1" si="48"/>
        <v>150.90686966704723</v>
      </c>
      <c r="AV36" s="85">
        <f t="shared" ca="1" si="49"/>
        <v>149.42675365167551</v>
      </c>
      <c r="AW36" s="85">
        <f t="shared" ca="1" si="50"/>
        <v>156.98467335351054</v>
      </c>
      <c r="AX36" s="85">
        <f t="shared" ca="1" si="51"/>
        <v>158.54664587637123</v>
      </c>
      <c r="AY36" s="85">
        <f t="shared" ca="1" si="52"/>
        <v>160.93742913148782</v>
      </c>
      <c r="AZ36" s="85">
        <f t="shared" ca="1" si="53"/>
        <v>141.8953770147194</v>
      </c>
      <c r="BA36" s="85">
        <f t="shared" ca="1" si="54"/>
        <v>156.21329349277781</v>
      </c>
      <c r="BB36" s="85">
        <f t="shared" ca="1" si="55"/>
        <v>145.5861731486502</v>
      </c>
      <c r="BC36" s="85">
        <f t="shared" ca="1" si="56"/>
        <v>153.09159317197683</v>
      </c>
      <c r="BD36" s="85">
        <f t="shared" ca="1" si="57"/>
        <v>151.45928966766465</v>
      </c>
      <c r="BE36" s="85">
        <f t="shared" ca="1" si="58"/>
        <v>146.03384561282863</v>
      </c>
      <c r="BF36" s="85">
        <f t="shared" ca="1" si="59"/>
        <v>151.73150871472271</v>
      </c>
      <c r="BG36" s="85">
        <f t="shared" ca="1" si="60"/>
        <v>147.56352556053795</v>
      </c>
      <c r="BH36" s="85">
        <f t="shared" ca="1" si="61"/>
        <v>152.15990918554468</v>
      </c>
      <c r="BI36" s="85">
        <f t="shared" ca="1" si="62"/>
        <v>150.5474602960474</v>
      </c>
      <c r="BJ36" s="85">
        <f t="shared" ca="1" si="63"/>
        <v>155.13276155750583</v>
      </c>
      <c r="BK36" s="85">
        <f t="shared" ca="1" si="64"/>
        <v>149.48706577849265</v>
      </c>
      <c r="BL36" s="85">
        <f t="shared" ca="1" si="65"/>
        <v>149.02860582334719</v>
      </c>
      <c r="BM36" s="85">
        <f t="shared" ca="1" si="66"/>
        <v>139.44353490332841</v>
      </c>
      <c r="BN36" s="85">
        <f t="shared" ca="1" si="3"/>
        <v>146.49669818535529</v>
      </c>
      <c r="BO36" s="85">
        <f t="shared" ca="1" si="92"/>
        <v>148.30910551981125</v>
      </c>
      <c r="BP36" s="85">
        <f t="shared" ca="1" si="93"/>
        <v>141.15718112851803</v>
      </c>
      <c r="BQ36" s="85">
        <f t="shared" ca="1" si="94"/>
        <v>140.07350500245852</v>
      </c>
      <c r="BR36" s="85">
        <f t="shared" ca="1" si="95"/>
        <v>143.1702615406609</v>
      </c>
      <c r="BS36" s="85">
        <f t="shared" ca="1" si="96"/>
        <v>151.7118619112027</v>
      </c>
      <c r="BT36" s="85">
        <f t="shared" ca="1" si="97"/>
        <v>151.82521940842744</v>
      </c>
      <c r="BU36" s="85">
        <f t="shared" ca="1" si="98"/>
        <v>153.67080725612107</v>
      </c>
      <c r="BV36" s="85">
        <f t="shared" ca="1" si="99"/>
        <v>149.53761661064368</v>
      </c>
      <c r="BW36" s="85">
        <f t="shared" ca="1" si="100"/>
        <v>158.44893439476957</v>
      </c>
      <c r="BX36" s="85">
        <f t="shared" ca="1" si="101"/>
        <v>154.05841064380738</v>
      </c>
      <c r="BY36" s="85">
        <f t="shared" ca="1" si="67"/>
        <v>153.00358699542997</v>
      </c>
      <c r="BZ36" s="85">
        <f t="shared" ca="1" si="68"/>
        <v>155.56192906213502</v>
      </c>
      <c r="CA36" s="85">
        <f t="shared" ca="1" si="69"/>
        <v>149.92361389104715</v>
      </c>
      <c r="CB36" s="85">
        <f t="shared" ca="1" si="70"/>
        <v>151.30448817012078</v>
      </c>
      <c r="CC36" s="85">
        <f t="shared" ca="1" si="71"/>
        <v>151.62837439196787</v>
      </c>
      <c r="CD36" s="85">
        <f t="shared" ca="1" si="72"/>
        <v>152.48619032114061</v>
      </c>
      <c r="CE36" s="85">
        <f t="shared" ca="1" si="73"/>
        <v>140.16848177276347</v>
      </c>
      <c r="CF36" s="85">
        <f t="shared" ca="1" si="74"/>
        <v>149.50201363085844</v>
      </c>
      <c r="CG36" s="85">
        <f t="shared" ca="1" si="75"/>
        <v>145.54248560737935</v>
      </c>
      <c r="CH36" s="85">
        <f t="shared" ca="1" si="76"/>
        <v>158.68105632650713</v>
      </c>
      <c r="CI36" s="85">
        <f t="shared" ca="1" si="77"/>
        <v>149.45056629441081</v>
      </c>
      <c r="CJ36" s="85">
        <f t="shared" ca="1" si="78"/>
        <v>149.70634766325301</v>
      </c>
      <c r="CK36" s="85">
        <f t="shared" ca="1" si="79"/>
        <v>142.06460507240095</v>
      </c>
      <c r="CL36" s="85">
        <f t="shared" ca="1" si="80"/>
        <v>136.49062089693643</v>
      </c>
      <c r="CM36" s="85">
        <f t="shared" ca="1" si="81"/>
        <v>148.80237615654562</v>
      </c>
      <c r="CN36" s="85">
        <f t="shared" ca="1" si="82"/>
        <v>149.10163185977711</v>
      </c>
      <c r="CO36" s="85">
        <f t="shared" ca="1" si="83"/>
        <v>145.21619846946095</v>
      </c>
      <c r="CP36" s="85">
        <f t="shared" ca="1" si="84"/>
        <v>165.74193530156958</v>
      </c>
      <c r="CQ36" s="85">
        <f t="shared" ca="1" si="85"/>
        <v>156.26646649805943</v>
      </c>
      <c r="CR36" s="85">
        <f t="shared" ca="1" si="86"/>
        <v>152.19032149056611</v>
      </c>
      <c r="CS36" s="85">
        <f t="shared" ca="1" si="87"/>
        <v>142.45411773590968</v>
      </c>
      <c r="CT36" s="85">
        <f t="shared" ca="1" si="88"/>
        <v>152.85642071243595</v>
      </c>
      <c r="CU36" s="85">
        <f t="shared" ca="1" si="89"/>
        <v>152.58167578204302</v>
      </c>
      <c r="CV36" s="85">
        <f t="shared" ca="1" si="90"/>
        <v>144.8875879337476</v>
      </c>
      <c r="CW36" s="85">
        <f t="shared" ca="1" si="91"/>
        <v>144.63674689020857</v>
      </c>
    </row>
    <row r="37" spans="1:101" x14ac:dyDescent="0.2">
      <c r="A37" s="115">
        <v>34</v>
      </c>
      <c r="B37" s="85">
        <f t="shared" ca="1" si="2"/>
        <v>148.12094193405676</v>
      </c>
      <c r="C37" s="85">
        <f t="shared" ca="1" si="4"/>
        <v>153.52076904225473</v>
      </c>
      <c r="D37" s="85">
        <f t="shared" ca="1" si="5"/>
        <v>151.2667061194708</v>
      </c>
      <c r="E37" s="85">
        <f t="shared" ca="1" si="6"/>
        <v>149.04246523349977</v>
      </c>
      <c r="F37" s="85">
        <f t="shared" ca="1" si="7"/>
        <v>151.97510509368357</v>
      </c>
      <c r="G37" s="85">
        <f t="shared" ca="1" si="8"/>
        <v>147.16500117579383</v>
      </c>
      <c r="H37" s="85">
        <f t="shared" ca="1" si="9"/>
        <v>146.914859791655</v>
      </c>
      <c r="I37" s="85">
        <f t="shared" ca="1" si="10"/>
        <v>148.40834020629356</v>
      </c>
      <c r="J37" s="85">
        <f t="shared" ca="1" si="11"/>
        <v>151.56256638308321</v>
      </c>
      <c r="K37" s="85">
        <f t="shared" ca="1" si="12"/>
        <v>139.59539889711007</v>
      </c>
      <c r="L37" s="85">
        <f t="shared" ca="1" si="13"/>
        <v>152.93442054424773</v>
      </c>
      <c r="M37" s="85">
        <f t="shared" ca="1" si="14"/>
        <v>143.95740338227398</v>
      </c>
      <c r="N37" s="85">
        <f t="shared" ca="1" si="15"/>
        <v>160.99289223809194</v>
      </c>
      <c r="O37" s="85">
        <f t="shared" ca="1" si="16"/>
        <v>151.48387867148514</v>
      </c>
      <c r="P37" s="85">
        <f t="shared" ca="1" si="17"/>
        <v>148.04548781838258</v>
      </c>
      <c r="Q37" s="85">
        <f t="shared" ca="1" si="18"/>
        <v>159.30263313064421</v>
      </c>
      <c r="R37" s="85">
        <f t="shared" ca="1" si="19"/>
        <v>147.07474694145392</v>
      </c>
      <c r="S37" s="85">
        <f t="shared" ca="1" si="20"/>
        <v>154.86126015566384</v>
      </c>
      <c r="T37" s="85">
        <f t="shared" ca="1" si="21"/>
        <v>158.6670553209712</v>
      </c>
      <c r="U37" s="85">
        <f t="shared" ca="1" si="22"/>
        <v>140.61126622447438</v>
      </c>
      <c r="V37" s="85">
        <f t="shared" ca="1" si="23"/>
        <v>155.41094089636871</v>
      </c>
      <c r="W37" s="85">
        <f t="shared" ca="1" si="24"/>
        <v>152.28999440093577</v>
      </c>
      <c r="X37" s="85">
        <f t="shared" ca="1" si="25"/>
        <v>149.39122153820466</v>
      </c>
      <c r="Y37" s="85">
        <f t="shared" ca="1" si="26"/>
        <v>148.77548233120581</v>
      </c>
      <c r="Z37" s="85">
        <f t="shared" ca="1" si="27"/>
        <v>154.82749689571034</v>
      </c>
      <c r="AA37" s="85">
        <f t="shared" ca="1" si="28"/>
        <v>137.31213171209421</v>
      </c>
      <c r="AB37" s="85">
        <f t="shared" ca="1" si="29"/>
        <v>150.1603511845054</v>
      </c>
      <c r="AC37" s="85">
        <f t="shared" ca="1" si="30"/>
        <v>149.89483431879063</v>
      </c>
      <c r="AD37" s="85">
        <f t="shared" ca="1" si="31"/>
        <v>163.08801280370534</v>
      </c>
      <c r="AE37" s="85">
        <f t="shared" ca="1" si="32"/>
        <v>164.6627808948767</v>
      </c>
      <c r="AF37" s="85">
        <f t="shared" ca="1" si="33"/>
        <v>155.5511671566199</v>
      </c>
      <c r="AG37" s="85">
        <f t="shared" ca="1" si="34"/>
        <v>155.79235578670043</v>
      </c>
      <c r="AH37" s="85">
        <f t="shared" ca="1" si="35"/>
        <v>153.08146907373992</v>
      </c>
      <c r="AI37" s="85">
        <f t="shared" ca="1" si="36"/>
        <v>155.95245513400255</v>
      </c>
      <c r="AJ37" s="85">
        <f t="shared" ca="1" si="37"/>
        <v>160.59210336626521</v>
      </c>
      <c r="AK37" s="85">
        <f t="shared" ca="1" si="38"/>
        <v>156.07304393305802</v>
      </c>
      <c r="AL37" s="85">
        <f t="shared" ca="1" si="39"/>
        <v>160.63457881289116</v>
      </c>
      <c r="AM37" s="85">
        <f t="shared" ca="1" si="40"/>
        <v>142.48716394598361</v>
      </c>
      <c r="AN37" s="85">
        <f t="shared" ca="1" si="41"/>
        <v>156.39684203029717</v>
      </c>
      <c r="AO37" s="85">
        <f t="shared" ca="1" si="42"/>
        <v>148.90172622951985</v>
      </c>
      <c r="AP37" s="85">
        <f t="shared" ca="1" si="43"/>
        <v>161.66720050485787</v>
      </c>
      <c r="AQ37" s="85">
        <f t="shared" ca="1" si="44"/>
        <v>145.1275703346553</v>
      </c>
      <c r="AR37" s="85">
        <f t="shared" ca="1" si="45"/>
        <v>151.61696273207355</v>
      </c>
      <c r="AS37" s="85">
        <f t="shared" ca="1" si="46"/>
        <v>151.32786844485304</v>
      </c>
      <c r="AT37" s="85">
        <f t="shared" ca="1" si="47"/>
        <v>155.04353577202895</v>
      </c>
      <c r="AU37" s="85">
        <f t="shared" ca="1" si="48"/>
        <v>155.29370959079179</v>
      </c>
      <c r="AV37" s="85">
        <f t="shared" ca="1" si="49"/>
        <v>152.21038165314405</v>
      </c>
      <c r="AW37" s="85">
        <f t="shared" ca="1" si="50"/>
        <v>159.25347418759287</v>
      </c>
      <c r="AX37" s="85">
        <f t="shared" ca="1" si="51"/>
        <v>161.2897795582019</v>
      </c>
      <c r="AY37" s="85">
        <f t="shared" ca="1" si="52"/>
        <v>163.68075520437287</v>
      </c>
      <c r="AZ37" s="85">
        <f t="shared" ca="1" si="53"/>
        <v>142.80863851836801</v>
      </c>
      <c r="BA37" s="85">
        <f t="shared" ca="1" si="54"/>
        <v>159.47925409665925</v>
      </c>
      <c r="BB37" s="85">
        <f t="shared" ca="1" si="55"/>
        <v>147.21999502304061</v>
      </c>
      <c r="BC37" s="85">
        <f t="shared" ca="1" si="56"/>
        <v>155.33149802915932</v>
      </c>
      <c r="BD37" s="85">
        <f t="shared" ca="1" si="57"/>
        <v>152.62993279899999</v>
      </c>
      <c r="BE37" s="85">
        <f t="shared" ca="1" si="58"/>
        <v>146.52877088293636</v>
      </c>
      <c r="BF37" s="85">
        <f t="shared" ca="1" si="59"/>
        <v>155.18723727684986</v>
      </c>
      <c r="BG37" s="85">
        <f t="shared" ca="1" si="60"/>
        <v>149.90678854625668</v>
      </c>
      <c r="BH37" s="85">
        <f t="shared" ca="1" si="61"/>
        <v>152.97244343936055</v>
      </c>
      <c r="BI37" s="85">
        <f t="shared" ca="1" si="62"/>
        <v>152.09029579292951</v>
      </c>
      <c r="BJ37" s="85">
        <f t="shared" ca="1" si="63"/>
        <v>159.75011467794394</v>
      </c>
      <c r="BK37" s="85">
        <f t="shared" ca="1" si="64"/>
        <v>151.80588243988871</v>
      </c>
      <c r="BL37" s="85">
        <f t="shared" ca="1" si="65"/>
        <v>152.79804425032333</v>
      </c>
      <c r="BM37" s="85">
        <f t="shared" ca="1" si="66"/>
        <v>142.32502007403571</v>
      </c>
      <c r="BN37" s="85">
        <f t="shared" ca="1" si="3"/>
        <v>147.05119116423307</v>
      </c>
      <c r="BO37" s="85">
        <f t="shared" ca="1" si="92"/>
        <v>151.27804681554468</v>
      </c>
      <c r="BP37" s="85">
        <f t="shared" ca="1" si="93"/>
        <v>144.46813150036957</v>
      </c>
      <c r="BQ37" s="85">
        <f t="shared" ca="1" si="94"/>
        <v>141.36122817580849</v>
      </c>
      <c r="BR37" s="85">
        <f t="shared" ca="1" si="95"/>
        <v>144.538538180633</v>
      </c>
      <c r="BS37" s="85">
        <f t="shared" ca="1" si="96"/>
        <v>155.16059209654358</v>
      </c>
      <c r="BT37" s="85">
        <f t="shared" ca="1" si="97"/>
        <v>153.076926093347</v>
      </c>
      <c r="BU37" s="85">
        <f t="shared" ca="1" si="98"/>
        <v>154.76913608200988</v>
      </c>
      <c r="BV37" s="85">
        <f t="shared" ca="1" si="99"/>
        <v>151.47855670789932</v>
      </c>
      <c r="BW37" s="85">
        <f t="shared" ca="1" si="100"/>
        <v>158.90668322822569</v>
      </c>
      <c r="BX37" s="85">
        <f t="shared" ca="1" si="101"/>
        <v>157.00745902762574</v>
      </c>
      <c r="BY37" s="85">
        <f t="shared" ca="1" si="67"/>
        <v>157.45921667677095</v>
      </c>
      <c r="BZ37" s="85">
        <f t="shared" ca="1" si="68"/>
        <v>156.61673592150055</v>
      </c>
      <c r="CA37" s="85">
        <f t="shared" ca="1" si="69"/>
        <v>153.93207296187157</v>
      </c>
      <c r="CB37" s="85">
        <f t="shared" ca="1" si="70"/>
        <v>153.87363073380652</v>
      </c>
      <c r="CC37" s="85">
        <f t="shared" ca="1" si="71"/>
        <v>154.13299893812982</v>
      </c>
      <c r="CD37" s="85">
        <f t="shared" ca="1" si="72"/>
        <v>153.24976594901543</v>
      </c>
      <c r="CE37" s="85">
        <f t="shared" ca="1" si="73"/>
        <v>141.54178627313988</v>
      </c>
      <c r="CF37" s="85">
        <f t="shared" ca="1" si="74"/>
        <v>150.24245121956741</v>
      </c>
      <c r="CG37" s="85">
        <f t="shared" ca="1" si="75"/>
        <v>147.44881578264648</v>
      </c>
      <c r="CH37" s="85">
        <f t="shared" ca="1" si="76"/>
        <v>161.56616000433064</v>
      </c>
      <c r="CI37" s="85">
        <f t="shared" ca="1" si="77"/>
        <v>152.6096393632485</v>
      </c>
      <c r="CJ37" s="85">
        <f t="shared" ca="1" si="78"/>
        <v>149.98614355798779</v>
      </c>
      <c r="CK37" s="85">
        <f t="shared" ca="1" si="79"/>
        <v>143.58955383501234</v>
      </c>
      <c r="CL37" s="85">
        <f t="shared" ca="1" si="80"/>
        <v>139.22609002066719</v>
      </c>
      <c r="CM37" s="85">
        <f t="shared" ca="1" si="81"/>
        <v>150.72326689764623</v>
      </c>
      <c r="CN37" s="85">
        <f t="shared" ca="1" si="82"/>
        <v>152.97089197598203</v>
      </c>
      <c r="CO37" s="85">
        <f t="shared" ca="1" si="83"/>
        <v>148.55024705368632</v>
      </c>
      <c r="CP37" s="85">
        <f t="shared" ca="1" si="84"/>
        <v>168.38502329922517</v>
      </c>
      <c r="CQ37" s="85">
        <f t="shared" ca="1" si="85"/>
        <v>158.54945314229656</v>
      </c>
      <c r="CR37" s="85">
        <f t="shared" ca="1" si="86"/>
        <v>155.04252444084227</v>
      </c>
      <c r="CS37" s="85">
        <f t="shared" ca="1" si="87"/>
        <v>144.95233027056332</v>
      </c>
      <c r="CT37" s="85">
        <f t="shared" ca="1" si="88"/>
        <v>156.00795472712531</v>
      </c>
      <c r="CU37" s="85">
        <f t="shared" ca="1" si="89"/>
        <v>155.93167187467236</v>
      </c>
      <c r="CV37" s="85">
        <f t="shared" ca="1" si="90"/>
        <v>146.55493327414192</v>
      </c>
      <c r="CW37" s="85">
        <f t="shared" ca="1" si="91"/>
        <v>148.41320655726034</v>
      </c>
    </row>
    <row r="38" spans="1:101" x14ac:dyDescent="0.2">
      <c r="A38" s="115">
        <v>35</v>
      </c>
      <c r="B38" s="85">
        <f t="shared" ca="1" si="2"/>
        <v>151.15906332505062</v>
      </c>
      <c r="C38" s="85">
        <f t="shared" ca="1" si="4"/>
        <v>155.83237146488031</v>
      </c>
      <c r="D38" s="85">
        <f t="shared" ca="1" si="5"/>
        <v>153.1166588196844</v>
      </c>
      <c r="E38" s="85">
        <f t="shared" ca="1" si="6"/>
        <v>151.48172748443892</v>
      </c>
      <c r="F38" s="85">
        <f t="shared" ca="1" si="7"/>
        <v>152.48948009254755</v>
      </c>
      <c r="G38" s="85">
        <f t="shared" ca="1" si="8"/>
        <v>147.84413720767094</v>
      </c>
      <c r="H38" s="85">
        <f t="shared" ca="1" si="9"/>
        <v>147.85291060523616</v>
      </c>
      <c r="I38" s="85">
        <f t="shared" ca="1" si="10"/>
        <v>150.7717879338723</v>
      </c>
      <c r="J38" s="85">
        <f t="shared" ca="1" si="11"/>
        <v>152.37353193762507</v>
      </c>
      <c r="K38" s="85">
        <f t="shared" ca="1" si="12"/>
        <v>141.4897066211708</v>
      </c>
      <c r="L38" s="85">
        <f t="shared" ca="1" si="13"/>
        <v>155.6345333525328</v>
      </c>
      <c r="M38" s="85">
        <f t="shared" ca="1" si="14"/>
        <v>147.28963169969217</v>
      </c>
      <c r="N38" s="85">
        <f t="shared" ca="1" si="15"/>
        <v>162.101242958602</v>
      </c>
      <c r="O38" s="85">
        <f t="shared" ca="1" si="16"/>
        <v>152.31022507320691</v>
      </c>
      <c r="P38" s="85">
        <f t="shared" ca="1" si="17"/>
        <v>149.0075070373363</v>
      </c>
      <c r="Q38" s="85">
        <f t="shared" ca="1" si="18"/>
        <v>161.05134950370976</v>
      </c>
      <c r="R38" s="85">
        <f t="shared" ca="1" si="19"/>
        <v>150.16735071783717</v>
      </c>
      <c r="S38" s="85">
        <f t="shared" ca="1" si="20"/>
        <v>157.655032996464</v>
      </c>
      <c r="T38" s="85">
        <f t="shared" ca="1" si="21"/>
        <v>160.16296080079854</v>
      </c>
      <c r="U38" s="85">
        <f t="shared" ca="1" si="22"/>
        <v>141.75244559700735</v>
      </c>
      <c r="V38" s="85">
        <f t="shared" ca="1" si="23"/>
        <v>159.95866328129492</v>
      </c>
      <c r="W38" s="85">
        <f t="shared" ca="1" si="24"/>
        <v>155.5659208129228</v>
      </c>
      <c r="X38" s="85">
        <f t="shared" ca="1" si="25"/>
        <v>151.11789684445321</v>
      </c>
      <c r="Y38" s="85">
        <f t="shared" ca="1" si="26"/>
        <v>151.65121830758778</v>
      </c>
      <c r="Z38" s="85">
        <f t="shared" ca="1" si="27"/>
        <v>156.1426701882711</v>
      </c>
      <c r="AA38" s="85">
        <f t="shared" ca="1" si="28"/>
        <v>138.67333888259816</v>
      </c>
      <c r="AB38" s="85">
        <f t="shared" ca="1" si="29"/>
        <v>153.26964013534837</v>
      </c>
      <c r="AC38" s="85">
        <f t="shared" ca="1" si="30"/>
        <v>152.86324765605787</v>
      </c>
      <c r="AD38" s="85">
        <f t="shared" ca="1" si="31"/>
        <v>164.06857844629309</v>
      </c>
      <c r="AE38" s="85">
        <f t="shared" ca="1" si="32"/>
        <v>165.46281012497221</v>
      </c>
      <c r="AF38" s="85">
        <f t="shared" ca="1" si="33"/>
        <v>157.53247587205448</v>
      </c>
      <c r="AG38" s="85">
        <f t="shared" ca="1" si="34"/>
        <v>158.09578302504093</v>
      </c>
      <c r="AH38" s="85">
        <f t="shared" ca="1" si="35"/>
        <v>153.52648316461296</v>
      </c>
      <c r="AI38" s="85">
        <f t="shared" ca="1" si="36"/>
        <v>157.98108068036132</v>
      </c>
      <c r="AJ38" s="85">
        <f t="shared" ca="1" si="37"/>
        <v>163.93341760879321</v>
      </c>
      <c r="AK38" s="85">
        <f t="shared" ca="1" si="38"/>
        <v>159.59965893507763</v>
      </c>
      <c r="AL38" s="85">
        <f t="shared" ca="1" si="39"/>
        <v>160.30588906901033</v>
      </c>
      <c r="AM38" s="85">
        <f t="shared" ca="1" si="40"/>
        <v>146.53348686074528</v>
      </c>
      <c r="AN38" s="85">
        <f t="shared" ca="1" si="41"/>
        <v>158.87906297744036</v>
      </c>
      <c r="AO38" s="85">
        <f t="shared" ca="1" si="42"/>
        <v>151.79808405416176</v>
      </c>
      <c r="AP38" s="85">
        <f t="shared" ca="1" si="43"/>
        <v>164.06644520644318</v>
      </c>
      <c r="AQ38" s="85">
        <f t="shared" ca="1" si="44"/>
        <v>145.23542518248894</v>
      </c>
      <c r="AR38" s="85">
        <f t="shared" ca="1" si="45"/>
        <v>156.16975926532862</v>
      </c>
      <c r="AS38" s="85">
        <f t="shared" ca="1" si="46"/>
        <v>153.60675133121222</v>
      </c>
      <c r="AT38" s="85">
        <f t="shared" ca="1" si="47"/>
        <v>155.97206848137475</v>
      </c>
      <c r="AU38" s="85">
        <f t="shared" ca="1" si="48"/>
        <v>158.01780477111501</v>
      </c>
      <c r="AV38" s="85">
        <f t="shared" ca="1" si="49"/>
        <v>153.95509449903557</v>
      </c>
      <c r="AW38" s="85">
        <f t="shared" ca="1" si="50"/>
        <v>162.06533168494278</v>
      </c>
      <c r="AX38" s="85">
        <f t="shared" ca="1" si="51"/>
        <v>163.86746652328753</v>
      </c>
      <c r="AY38" s="85">
        <f t="shared" ca="1" si="52"/>
        <v>166.52893378979388</v>
      </c>
      <c r="AZ38" s="85">
        <f t="shared" ca="1" si="53"/>
        <v>145.90148772922106</v>
      </c>
      <c r="BA38" s="85">
        <f t="shared" ca="1" si="54"/>
        <v>161.31022508773287</v>
      </c>
      <c r="BB38" s="85">
        <f t="shared" ca="1" si="55"/>
        <v>148.21766525311278</v>
      </c>
      <c r="BC38" s="85">
        <f t="shared" ca="1" si="56"/>
        <v>157.04546452893317</v>
      </c>
      <c r="BD38" s="85">
        <f t="shared" ca="1" si="57"/>
        <v>154.32601092951674</v>
      </c>
      <c r="BE38" s="85">
        <f t="shared" ca="1" si="58"/>
        <v>148.87384597651931</v>
      </c>
      <c r="BF38" s="85">
        <f t="shared" ca="1" si="59"/>
        <v>157.13639287721594</v>
      </c>
      <c r="BG38" s="85">
        <f t="shared" ca="1" si="60"/>
        <v>149.80604664235238</v>
      </c>
      <c r="BH38" s="85">
        <f t="shared" ca="1" si="61"/>
        <v>153.67841375323931</v>
      </c>
      <c r="BI38" s="85">
        <f t="shared" ca="1" si="62"/>
        <v>153.2967374393503</v>
      </c>
      <c r="BJ38" s="85">
        <f t="shared" ca="1" si="63"/>
        <v>162.26010262500074</v>
      </c>
      <c r="BK38" s="85">
        <f t="shared" ca="1" si="64"/>
        <v>155.49528635900327</v>
      </c>
      <c r="BL38" s="85">
        <f t="shared" ca="1" si="65"/>
        <v>155.84446497921437</v>
      </c>
      <c r="BM38" s="85">
        <f t="shared" ca="1" si="66"/>
        <v>144.2780706380519</v>
      </c>
      <c r="BN38" s="85">
        <f t="shared" ca="1" si="3"/>
        <v>147.23296315788673</v>
      </c>
      <c r="BO38" s="85">
        <f t="shared" ca="1" si="92"/>
        <v>153.55851983529558</v>
      </c>
      <c r="BP38" s="85">
        <f t="shared" ca="1" si="93"/>
        <v>144.60696484788295</v>
      </c>
      <c r="BQ38" s="85">
        <f t="shared" ca="1" si="94"/>
        <v>144.04577854478811</v>
      </c>
      <c r="BR38" s="85">
        <f t="shared" ca="1" si="95"/>
        <v>147.8122584044161</v>
      </c>
      <c r="BS38" s="85">
        <f t="shared" ca="1" si="96"/>
        <v>156.83798813176398</v>
      </c>
      <c r="BT38" s="85">
        <f t="shared" ca="1" si="97"/>
        <v>156.52562918141967</v>
      </c>
      <c r="BU38" s="85">
        <f t="shared" ca="1" si="98"/>
        <v>157.38952545058075</v>
      </c>
      <c r="BV38" s="85">
        <f t="shared" ca="1" si="99"/>
        <v>154.20120485648985</v>
      </c>
      <c r="BW38" s="85">
        <f t="shared" ca="1" si="100"/>
        <v>160.03074809703537</v>
      </c>
      <c r="BX38" s="85">
        <f t="shared" ca="1" si="101"/>
        <v>160.79478463287239</v>
      </c>
      <c r="BY38" s="85">
        <f t="shared" ca="1" si="67"/>
        <v>158.92206690699763</v>
      </c>
      <c r="BZ38" s="85">
        <f t="shared" ca="1" si="68"/>
        <v>159.79043552237081</v>
      </c>
      <c r="CA38" s="85">
        <f t="shared" ca="1" si="69"/>
        <v>155.14282529035293</v>
      </c>
      <c r="CB38" s="85">
        <f t="shared" ca="1" si="70"/>
        <v>156.34370174281977</v>
      </c>
      <c r="CC38" s="85">
        <f t="shared" ca="1" si="71"/>
        <v>157.03843378440294</v>
      </c>
      <c r="CD38" s="85">
        <f t="shared" ca="1" si="72"/>
        <v>155.87054121883676</v>
      </c>
      <c r="CE38" s="85">
        <f t="shared" ca="1" si="73"/>
        <v>142.90473272381254</v>
      </c>
      <c r="CF38" s="85">
        <f t="shared" ca="1" si="74"/>
        <v>150.89610725303726</v>
      </c>
      <c r="CG38" s="85">
        <f t="shared" ca="1" si="75"/>
        <v>149.3313074693869</v>
      </c>
      <c r="CH38" s="85">
        <f t="shared" ca="1" si="76"/>
        <v>162.8391396652566</v>
      </c>
      <c r="CI38" s="85">
        <f t="shared" ca="1" si="77"/>
        <v>156.73444945183795</v>
      </c>
      <c r="CJ38" s="85">
        <f t="shared" ca="1" si="78"/>
        <v>150.3549344833653</v>
      </c>
      <c r="CK38" s="85">
        <f t="shared" ca="1" si="79"/>
        <v>144.35738662729651</v>
      </c>
      <c r="CL38" s="85">
        <f t="shared" ca="1" si="80"/>
        <v>140.19844208555475</v>
      </c>
      <c r="CM38" s="85">
        <f t="shared" ca="1" si="81"/>
        <v>153.44199709731211</v>
      </c>
      <c r="CN38" s="85">
        <f t="shared" ca="1" si="82"/>
        <v>155.00233582778074</v>
      </c>
      <c r="CO38" s="85">
        <f t="shared" ca="1" si="83"/>
        <v>150.24260053678918</v>
      </c>
      <c r="CP38" s="85">
        <f t="shared" ca="1" si="84"/>
        <v>171.2287594116016</v>
      </c>
      <c r="CQ38" s="85">
        <f t="shared" ca="1" si="85"/>
        <v>159.2615903600726</v>
      </c>
      <c r="CR38" s="85">
        <f t="shared" ca="1" si="86"/>
        <v>158.09852709777192</v>
      </c>
      <c r="CS38" s="85">
        <f t="shared" ca="1" si="87"/>
        <v>144.92773518619489</v>
      </c>
      <c r="CT38" s="85">
        <f t="shared" ca="1" si="88"/>
        <v>158.74980790071592</v>
      </c>
      <c r="CU38" s="85">
        <f t="shared" ca="1" si="89"/>
        <v>158.7368876314614</v>
      </c>
      <c r="CV38" s="85">
        <f t="shared" ca="1" si="90"/>
        <v>149.74561739782703</v>
      </c>
      <c r="CW38" s="85">
        <f t="shared" ca="1" si="91"/>
        <v>149.68708540430404</v>
      </c>
    </row>
    <row r="39" spans="1:101" x14ac:dyDescent="0.2">
      <c r="A39" s="115">
        <v>36</v>
      </c>
      <c r="B39" s="85">
        <f t="shared" ca="1" si="2"/>
        <v>152.86781960991644</v>
      </c>
      <c r="C39" s="85">
        <f t="shared" ca="1" si="4"/>
        <v>157.7813094390566</v>
      </c>
      <c r="D39" s="85">
        <f t="shared" ca="1" si="5"/>
        <v>155.67424722486118</v>
      </c>
      <c r="E39" s="85">
        <f t="shared" ca="1" si="6"/>
        <v>154.4136531074877</v>
      </c>
      <c r="F39" s="85">
        <f t="shared" ca="1" si="7"/>
        <v>152.34167776141859</v>
      </c>
      <c r="G39" s="85">
        <f t="shared" ca="1" si="8"/>
        <v>151.24559155158028</v>
      </c>
      <c r="H39" s="85">
        <f t="shared" ca="1" si="9"/>
        <v>150.74116121277879</v>
      </c>
      <c r="I39" s="85">
        <f t="shared" ca="1" si="10"/>
        <v>152.49448931613918</v>
      </c>
      <c r="J39" s="85">
        <f t="shared" ca="1" si="11"/>
        <v>153.35654784820753</v>
      </c>
      <c r="K39" s="85">
        <f t="shared" ca="1" si="12"/>
        <v>144.10739973735645</v>
      </c>
      <c r="L39" s="85">
        <f t="shared" ca="1" si="13"/>
        <v>156.69378421565617</v>
      </c>
      <c r="M39" s="85">
        <f t="shared" ca="1" si="14"/>
        <v>148.65951586840006</v>
      </c>
      <c r="N39" s="85">
        <f t="shared" ca="1" si="15"/>
        <v>165.02890185741606</v>
      </c>
      <c r="O39" s="85">
        <f t="shared" ca="1" si="16"/>
        <v>154.70922195214831</v>
      </c>
      <c r="P39" s="85">
        <f t="shared" ca="1" si="17"/>
        <v>149.797438321127</v>
      </c>
      <c r="Q39" s="85">
        <f t="shared" ca="1" si="18"/>
        <v>164.89552762052301</v>
      </c>
      <c r="R39" s="85">
        <f t="shared" ca="1" si="19"/>
        <v>152.40255189019075</v>
      </c>
      <c r="S39" s="85">
        <f t="shared" ca="1" si="20"/>
        <v>158.81518772676179</v>
      </c>
      <c r="T39" s="85">
        <f t="shared" ca="1" si="21"/>
        <v>162.98970669582363</v>
      </c>
      <c r="U39" s="85">
        <f t="shared" ca="1" si="22"/>
        <v>143.7425606317679</v>
      </c>
      <c r="V39" s="85">
        <f t="shared" ca="1" si="23"/>
        <v>161.05922440733465</v>
      </c>
      <c r="W39" s="85">
        <f t="shared" ca="1" si="24"/>
        <v>155.91412366796368</v>
      </c>
      <c r="X39" s="85">
        <f t="shared" ca="1" si="25"/>
        <v>154.74924069321878</v>
      </c>
      <c r="Y39" s="85">
        <f t="shared" ca="1" si="26"/>
        <v>153.28659907684565</v>
      </c>
      <c r="Z39" s="85">
        <f t="shared" ca="1" si="27"/>
        <v>159.26447113442825</v>
      </c>
      <c r="AA39" s="85">
        <f t="shared" ca="1" si="28"/>
        <v>139.34300567285533</v>
      </c>
      <c r="AB39" s="85">
        <f t="shared" ca="1" si="29"/>
        <v>155.88042327966718</v>
      </c>
      <c r="AC39" s="85">
        <f t="shared" ca="1" si="30"/>
        <v>154.27190096902703</v>
      </c>
      <c r="AD39" s="85">
        <f t="shared" ca="1" si="31"/>
        <v>165.62225752768296</v>
      </c>
      <c r="AE39" s="85">
        <f t="shared" ca="1" si="32"/>
        <v>170.91966109810974</v>
      </c>
      <c r="AF39" s="85">
        <f t="shared" ca="1" si="33"/>
        <v>159.24537088686247</v>
      </c>
      <c r="AG39" s="85">
        <f t="shared" ca="1" si="34"/>
        <v>161.45524403745603</v>
      </c>
      <c r="AH39" s="85">
        <f t="shared" ca="1" si="35"/>
        <v>154.21423525749475</v>
      </c>
      <c r="AI39" s="85">
        <f t="shared" ca="1" si="36"/>
        <v>159.05532916335412</v>
      </c>
      <c r="AJ39" s="85">
        <f t="shared" ca="1" si="37"/>
        <v>166.19091678991592</v>
      </c>
      <c r="AK39" s="85">
        <f t="shared" ca="1" si="38"/>
        <v>161.74168429214453</v>
      </c>
      <c r="AL39" s="85">
        <f t="shared" ca="1" si="39"/>
        <v>162.05532234712237</v>
      </c>
      <c r="AM39" s="85">
        <f t="shared" ca="1" si="40"/>
        <v>148.44915313105574</v>
      </c>
      <c r="AN39" s="85">
        <f t="shared" ca="1" si="41"/>
        <v>160.67090967350171</v>
      </c>
      <c r="AO39" s="85">
        <f t="shared" ca="1" si="42"/>
        <v>154.96419971136498</v>
      </c>
      <c r="AP39" s="85">
        <f t="shared" ca="1" si="43"/>
        <v>168.21662464362876</v>
      </c>
      <c r="AQ39" s="85">
        <f t="shared" ca="1" si="44"/>
        <v>145.93643053647185</v>
      </c>
      <c r="AR39" s="85">
        <f t="shared" ca="1" si="45"/>
        <v>160.24666522865076</v>
      </c>
      <c r="AS39" s="85">
        <f t="shared" ca="1" si="46"/>
        <v>155.26160681513693</v>
      </c>
      <c r="AT39" s="85">
        <f t="shared" ca="1" si="47"/>
        <v>158.33372230797804</v>
      </c>
      <c r="AU39" s="85">
        <f t="shared" ca="1" si="48"/>
        <v>159.96190957771151</v>
      </c>
      <c r="AV39" s="85">
        <f t="shared" ca="1" si="49"/>
        <v>155.82331140687535</v>
      </c>
      <c r="AW39" s="85">
        <f t="shared" ca="1" si="50"/>
        <v>164.9536952840599</v>
      </c>
      <c r="AX39" s="85">
        <f t="shared" ca="1" si="51"/>
        <v>166.3929323689907</v>
      </c>
      <c r="AY39" s="85">
        <f t="shared" ca="1" si="52"/>
        <v>168.00309927904291</v>
      </c>
      <c r="AZ39" s="85">
        <f t="shared" ca="1" si="53"/>
        <v>148.766315350356</v>
      </c>
      <c r="BA39" s="85">
        <f t="shared" ca="1" si="54"/>
        <v>163.52543886104573</v>
      </c>
      <c r="BB39" s="85">
        <f t="shared" ca="1" si="55"/>
        <v>150.27967782562465</v>
      </c>
      <c r="BC39" s="85">
        <f t="shared" ca="1" si="56"/>
        <v>159.34220022214967</v>
      </c>
      <c r="BD39" s="85">
        <f t="shared" ca="1" si="57"/>
        <v>157.21049496475484</v>
      </c>
      <c r="BE39" s="85">
        <f t="shared" ca="1" si="58"/>
        <v>153.04919071637789</v>
      </c>
      <c r="BF39" s="85">
        <f t="shared" ca="1" si="59"/>
        <v>159.49427696915478</v>
      </c>
      <c r="BG39" s="85">
        <f t="shared" ca="1" si="60"/>
        <v>149.36443396764432</v>
      </c>
      <c r="BH39" s="85">
        <f t="shared" ca="1" si="61"/>
        <v>156.84371866723214</v>
      </c>
      <c r="BI39" s="85">
        <f t="shared" ca="1" si="62"/>
        <v>153.45611082938859</v>
      </c>
      <c r="BJ39" s="85">
        <f t="shared" ca="1" si="63"/>
        <v>164.72970267399637</v>
      </c>
      <c r="BK39" s="85">
        <f t="shared" ca="1" si="64"/>
        <v>157.2898841859967</v>
      </c>
      <c r="BL39" s="85">
        <f t="shared" ca="1" si="65"/>
        <v>159.20655643466688</v>
      </c>
      <c r="BM39" s="85">
        <f t="shared" ca="1" si="66"/>
        <v>146.70831905613343</v>
      </c>
      <c r="BN39" s="85">
        <f t="shared" ca="1" si="3"/>
        <v>149.52278500970615</v>
      </c>
      <c r="BO39" s="85">
        <f t="shared" ca="1" si="92"/>
        <v>155.59902184427156</v>
      </c>
      <c r="BP39" s="85">
        <f t="shared" ca="1" si="93"/>
        <v>147.03600064259396</v>
      </c>
      <c r="BQ39" s="85">
        <f t="shared" ca="1" si="94"/>
        <v>146.02247133876085</v>
      </c>
      <c r="BR39" s="85">
        <f t="shared" ca="1" si="95"/>
        <v>147.70381101453771</v>
      </c>
      <c r="BS39" s="85">
        <f t="shared" ca="1" si="96"/>
        <v>158.55621621564751</v>
      </c>
      <c r="BT39" s="85">
        <f t="shared" ca="1" si="97"/>
        <v>158.88627548056755</v>
      </c>
      <c r="BU39" s="85">
        <f t="shared" ca="1" si="98"/>
        <v>159.69269591032597</v>
      </c>
      <c r="BV39" s="85">
        <f t="shared" ca="1" si="99"/>
        <v>155.44886726999093</v>
      </c>
      <c r="BW39" s="85">
        <f t="shared" ca="1" si="100"/>
        <v>162.11987495292541</v>
      </c>
      <c r="BX39" s="85">
        <f t="shared" ca="1" si="101"/>
        <v>161.81493398771147</v>
      </c>
      <c r="BY39" s="85">
        <f t="shared" ca="1" si="67"/>
        <v>159.31961819192267</v>
      </c>
      <c r="BZ39" s="85">
        <f t="shared" ca="1" si="68"/>
        <v>163.08268379999012</v>
      </c>
      <c r="CA39" s="85">
        <f t="shared" ca="1" si="69"/>
        <v>156.9159570344757</v>
      </c>
      <c r="CB39" s="85">
        <f t="shared" ca="1" si="70"/>
        <v>156.77054140334766</v>
      </c>
      <c r="CC39" s="85">
        <f t="shared" ca="1" si="71"/>
        <v>159.77754693347887</v>
      </c>
      <c r="CD39" s="85">
        <f t="shared" ca="1" si="72"/>
        <v>156.9372843429089</v>
      </c>
      <c r="CE39" s="85">
        <f t="shared" ca="1" si="73"/>
        <v>145.62957405510173</v>
      </c>
      <c r="CF39" s="85">
        <f t="shared" ca="1" si="74"/>
        <v>153.14971574424632</v>
      </c>
      <c r="CG39" s="85">
        <f t="shared" ca="1" si="75"/>
        <v>150.04650811225602</v>
      </c>
      <c r="CH39" s="85">
        <f t="shared" ca="1" si="76"/>
        <v>165.14439382109276</v>
      </c>
      <c r="CI39" s="85">
        <f t="shared" ca="1" si="77"/>
        <v>158.04639971988104</v>
      </c>
      <c r="CJ39" s="85">
        <f t="shared" ca="1" si="78"/>
        <v>152.05360090584401</v>
      </c>
      <c r="CK39" s="85">
        <f t="shared" ca="1" si="79"/>
        <v>145.62268818395461</v>
      </c>
      <c r="CL39" s="85">
        <f t="shared" ca="1" si="80"/>
        <v>141.35255525002725</v>
      </c>
      <c r="CM39" s="85">
        <f t="shared" ca="1" si="81"/>
        <v>155.35832952170827</v>
      </c>
      <c r="CN39" s="85">
        <f t="shared" ca="1" si="82"/>
        <v>158.07814800382903</v>
      </c>
      <c r="CO39" s="85">
        <f t="shared" ca="1" si="83"/>
        <v>152.67677333411794</v>
      </c>
      <c r="CP39" s="85">
        <f t="shared" ca="1" si="84"/>
        <v>173.00565316475962</v>
      </c>
      <c r="CQ39" s="85">
        <f t="shared" ca="1" si="85"/>
        <v>163.35118873834219</v>
      </c>
      <c r="CR39" s="85">
        <f t="shared" ca="1" si="86"/>
        <v>160.28783378817386</v>
      </c>
      <c r="CS39" s="85">
        <f t="shared" ca="1" si="87"/>
        <v>147.72767975847631</v>
      </c>
      <c r="CT39" s="85">
        <f t="shared" ca="1" si="88"/>
        <v>159.62190374299357</v>
      </c>
      <c r="CU39" s="85">
        <f t="shared" ca="1" si="89"/>
        <v>161.6974438835833</v>
      </c>
      <c r="CV39" s="85">
        <f t="shared" ca="1" si="90"/>
        <v>151.1391424240179</v>
      </c>
      <c r="CW39" s="85">
        <f t="shared" ca="1" si="91"/>
        <v>151.91161904088611</v>
      </c>
    </row>
    <row r="40" spans="1:101" x14ac:dyDescent="0.2">
      <c r="A40" s="115">
        <v>37</v>
      </c>
      <c r="B40" s="85">
        <f t="shared" ca="1" si="2"/>
        <v>153.08783685859524</v>
      </c>
      <c r="C40" s="85">
        <f t="shared" ca="1" si="4"/>
        <v>160.06448909394524</v>
      </c>
      <c r="D40" s="85">
        <f t="shared" ca="1" si="5"/>
        <v>156.50150985327173</v>
      </c>
      <c r="E40" s="85">
        <f t="shared" ca="1" si="6"/>
        <v>156.93472956713165</v>
      </c>
      <c r="F40" s="85">
        <f t="shared" ca="1" si="7"/>
        <v>155.51360792827128</v>
      </c>
      <c r="G40" s="85">
        <f t="shared" ca="1" si="8"/>
        <v>153.38690809166783</v>
      </c>
      <c r="H40" s="85">
        <f t="shared" ca="1" si="9"/>
        <v>152.40828470028649</v>
      </c>
      <c r="I40" s="85">
        <f t="shared" ca="1" si="10"/>
        <v>156.05758328556252</v>
      </c>
      <c r="J40" s="85">
        <f t="shared" ca="1" si="11"/>
        <v>154.73076247284786</v>
      </c>
      <c r="K40" s="85">
        <f t="shared" ca="1" si="12"/>
        <v>144.95228979535568</v>
      </c>
      <c r="L40" s="85">
        <f t="shared" ca="1" si="13"/>
        <v>159.94177608778841</v>
      </c>
      <c r="M40" s="85">
        <f t="shared" ca="1" si="14"/>
        <v>148.86072704325468</v>
      </c>
      <c r="N40" s="85">
        <f t="shared" ca="1" si="15"/>
        <v>166.52971783065314</v>
      </c>
      <c r="O40" s="85">
        <f t="shared" ca="1" si="16"/>
        <v>156.29542895311653</v>
      </c>
      <c r="P40" s="85">
        <f t="shared" ca="1" si="17"/>
        <v>151.53212851496349</v>
      </c>
      <c r="Q40" s="85">
        <f t="shared" ca="1" si="18"/>
        <v>168.17544950425153</v>
      </c>
      <c r="R40" s="85">
        <f t="shared" ca="1" si="19"/>
        <v>154.51771585199359</v>
      </c>
      <c r="S40" s="85">
        <f t="shared" ca="1" si="20"/>
        <v>162.02224545433558</v>
      </c>
      <c r="T40" s="85">
        <f t="shared" ca="1" si="21"/>
        <v>165.8317697404826</v>
      </c>
      <c r="U40" s="85">
        <f t="shared" ca="1" si="22"/>
        <v>146.44528007685781</v>
      </c>
      <c r="V40" s="85">
        <f t="shared" ca="1" si="23"/>
        <v>164.222079841415</v>
      </c>
      <c r="W40" s="85">
        <f t="shared" ca="1" si="24"/>
        <v>158.86600448215523</v>
      </c>
      <c r="X40" s="85">
        <f t="shared" ca="1" si="25"/>
        <v>155.99870973017275</v>
      </c>
      <c r="Y40" s="85">
        <f t="shared" ca="1" si="26"/>
        <v>153.65957333144613</v>
      </c>
      <c r="Z40" s="85">
        <f t="shared" ca="1" si="27"/>
        <v>162.16343071424163</v>
      </c>
      <c r="AA40" s="85">
        <f t="shared" ca="1" si="28"/>
        <v>141.55912000462615</v>
      </c>
      <c r="AB40" s="85">
        <f t="shared" ca="1" si="29"/>
        <v>160.07053100838814</v>
      </c>
      <c r="AC40" s="85">
        <f t="shared" ca="1" si="30"/>
        <v>155.94975225218471</v>
      </c>
      <c r="AD40" s="85">
        <f t="shared" ca="1" si="31"/>
        <v>168.31334832970043</v>
      </c>
      <c r="AE40" s="85">
        <f t="shared" ca="1" si="32"/>
        <v>172.6853199233023</v>
      </c>
      <c r="AF40" s="85">
        <f t="shared" ca="1" si="33"/>
        <v>160.01637615642807</v>
      </c>
      <c r="AG40" s="85">
        <f t="shared" ca="1" si="34"/>
        <v>164.57130972374409</v>
      </c>
      <c r="AH40" s="85">
        <f t="shared" ca="1" si="35"/>
        <v>155.81552093546767</v>
      </c>
      <c r="AI40" s="85">
        <f t="shared" ca="1" si="36"/>
        <v>160.52707239032085</v>
      </c>
      <c r="AJ40" s="85">
        <f t="shared" ca="1" si="37"/>
        <v>168.43083308565011</v>
      </c>
      <c r="AK40" s="85">
        <f t="shared" ca="1" si="38"/>
        <v>162.4934981891337</v>
      </c>
      <c r="AL40" s="85">
        <f t="shared" ca="1" si="39"/>
        <v>163.93556690757953</v>
      </c>
      <c r="AM40" s="85">
        <f t="shared" ca="1" si="40"/>
        <v>150.91373773574608</v>
      </c>
      <c r="AN40" s="85">
        <f t="shared" ca="1" si="41"/>
        <v>161.61692361390206</v>
      </c>
      <c r="AO40" s="85">
        <f t="shared" ca="1" si="42"/>
        <v>156.30768681921424</v>
      </c>
      <c r="AP40" s="85">
        <f t="shared" ca="1" si="43"/>
        <v>171.30396106089097</v>
      </c>
      <c r="AQ40" s="85">
        <f t="shared" ca="1" si="44"/>
        <v>147.48967332445491</v>
      </c>
      <c r="AR40" s="85">
        <f t="shared" ca="1" si="45"/>
        <v>163.13113788019172</v>
      </c>
      <c r="AS40" s="85">
        <f t="shared" ca="1" si="46"/>
        <v>157.12342102629543</v>
      </c>
      <c r="AT40" s="85">
        <f t="shared" ca="1" si="47"/>
        <v>162.14036760321849</v>
      </c>
      <c r="AU40" s="85">
        <f t="shared" ca="1" si="48"/>
        <v>160.51472747164811</v>
      </c>
      <c r="AV40" s="85">
        <f t="shared" ca="1" si="49"/>
        <v>158.40875947189954</v>
      </c>
      <c r="AW40" s="85">
        <f t="shared" ca="1" si="50"/>
        <v>167.06518835983701</v>
      </c>
      <c r="AX40" s="85">
        <f t="shared" ca="1" si="51"/>
        <v>170.59458891887093</v>
      </c>
      <c r="AY40" s="85">
        <f t="shared" ca="1" si="52"/>
        <v>169.54392134371736</v>
      </c>
      <c r="AZ40" s="85">
        <f t="shared" ca="1" si="53"/>
        <v>150.45567757728321</v>
      </c>
      <c r="BA40" s="85">
        <f t="shared" ca="1" si="54"/>
        <v>165.99622662999985</v>
      </c>
      <c r="BB40" s="85">
        <f t="shared" ca="1" si="55"/>
        <v>152.25329636791002</v>
      </c>
      <c r="BC40" s="85">
        <f t="shared" ca="1" si="56"/>
        <v>161.52049128927666</v>
      </c>
      <c r="BD40" s="85">
        <f t="shared" ca="1" si="57"/>
        <v>161.09679431612938</v>
      </c>
      <c r="BE40" s="85">
        <f t="shared" ca="1" si="58"/>
        <v>155.89816993774571</v>
      </c>
      <c r="BF40" s="85">
        <f t="shared" ca="1" si="59"/>
        <v>160.97879149747556</v>
      </c>
      <c r="BG40" s="85">
        <f t="shared" ca="1" si="60"/>
        <v>151.00323896303783</v>
      </c>
      <c r="BH40" s="85">
        <f t="shared" ca="1" si="61"/>
        <v>158.19283124397219</v>
      </c>
      <c r="BI40" s="85">
        <f t="shared" ca="1" si="62"/>
        <v>158.39064631161747</v>
      </c>
      <c r="BJ40" s="85">
        <f t="shared" ca="1" si="63"/>
        <v>168.54545806012291</v>
      </c>
      <c r="BK40" s="85">
        <f t="shared" ca="1" si="64"/>
        <v>159.13107983730501</v>
      </c>
      <c r="BL40" s="85">
        <f t="shared" ca="1" si="65"/>
        <v>159.74685535492105</v>
      </c>
      <c r="BM40" s="85">
        <f t="shared" ca="1" si="66"/>
        <v>147.86342667518093</v>
      </c>
      <c r="BN40" s="85">
        <f t="shared" ca="1" si="3"/>
        <v>150.15281913407085</v>
      </c>
      <c r="BO40" s="85">
        <f t="shared" ca="1" si="92"/>
        <v>157.9627107512483</v>
      </c>
      <c r="BP40" s="85">
        <f t="shared" ca="1" si="93"/>
        <v>147.81540436936405</v>
      </c>
      <c r="BQ40" s="85">
        <f t="shared" ca="1" si="94"/>
        <v>149.02127936177348</v>
      </c>
      <c r="BR40" s="85">
        <f t="shared" ca="1" si="95"/>
        <v>150.29409748979984</v>
      </c>
      <c r="BS40" s="85">
        <f t="shared" ca="1" si="96"/>
        <v>159.28207968729913</v>
      </c>
      <c r="BT40" s="85">
        <f t="shared" ca="1" si="97"/>
        <v>163.55949720844856</v>
      </c>
      <c r="BU40" s="85">
        <f t="shared" ca="1" si="98"/>
        <v>162.13065741678298</v>
      </c>
      <c r="BV40" s="85">
        <f t="shared" ca="1" si="99"/>
        <v>158.61270940072026</v>
      </c>
      <c r="BW40" s="85">
        <f t="shared" ca="1" si="100"/>
        <v>164.67781474235585</v>
      </c>
      <c r="BX40" s="85">
        <f t="shared" ca="1" si="101"/>
        <v>164.05220208867587</v>
      </c>
      <c r="BY40" s="85">
        <f t="shared" ca="1" si="67"/>
        <v>162.21269172751829</v>
      </c>
      <c r="BZ40" s="85">
        <f t="shared" ca="1" si="68"/>
        <v>165.35524617036609</v>
      </c>
      <c r="CA40" s="85">
        <f t="shared" ca="1" si="69"/>
        <v>157.91452071700508</v>
      </c>
      <c r="CB40" s="85">
        <f t="shared" ca="1" si="70"/>
        <v>158.84561845912117</v>
      </c>
      <c r="CC40" s="85">
        <f t="shared" ca="1" si="71"/>
        <v>160.96189562398146</v>
      </c>
      <c r="CD40" s="85">
        <f t="shared" ca="1" si="72"/>
        <v>159.49070409913807</v>
      </c>
      <c r="CE40" s="85">
        <f t="shared" ca="1" si="73"/>
        <v>147.0379145203884</v>
      </c>
      <c r="CF40" s="85">
        <f t="shared" ca="1" si="74"/>
        <v>155.48799535789036</v>
      </c>
      <c r="CG40" s="85">
        <f t="shared" ca="1" si="75"/>
        <v>153.34246123687035</v>
      </c>
      <c r="CH40" s="85">
        <f t="shared" ca="1" si="76"/>
        <v>166.74967936168053</v>
      </c>
      <c r="CI40" s="85">
        <f t="shared" ca="1" si="77"/>
        <v>161.35298114904964</v>
      </c>
      <c r="CJ40" s="85">
        <f t="shared" ca="1" si="78"/>
        <v>153.08787938954737</v>
      </c>
      <c r="CK40" s="85">
        <f t="shared" ca="1" si="79"/>
        <v>149.41900038629063</v>
      </c>
      <c r="CL40" s="85">
        <f t="shared" ca="1" si="80"/>
        <v>142.66775387100995</v>
      </c>
      <c r="CM40" s="85">
        <f t="shared" ca="1" si="81"/>
        <v>156.79889280045529</v>
      </c>
      <c r="CN40" s="85">
        <f t="shared" ca="1" si="82"/>
        <v>159.22401763045096</v>
      </c>
      <c r="CO40" s="85">
        <f t="shared" ca="1" si="83"/>
        <v>153.63042313246811</v>
      </c>
      <c r="CP40" s="85">
        <f t="shared" ca="1" si="84"/>
        <v>175.477415424811</v>
      </c>
      <c r="CQ40" s="85">
        <f t="shared" ca="1" si="85"/>
        <v>167.29529764241462</v>
      </c>
      <c r="CR40" s="85">
        <f t="shared" ca="1" si="86"/>
        <v>163.67630582500627</v>
      </c>
      <c r="CS40" s="85">
        <f t="shared" ca="1" si="87"/>
        <v>150.34272530377791</v>
      </c>
      <c r="CT40" s="85">
        <f t="shared" ca="1" si="88"/>
        <v>162.05579707790358</v>
      </c>
      <c r="CU40" s="85">
        <f t="shared" ca="1" si="89"/>
        <v>163.20329937628884</v>
      </c>
      <c r="CV40" s="85">
        <f t="shared" ca="1" si="90"/>
        <v>152.53705906775389</v>
      </c>
      <c r="CW40" s="85">
        <f t="shared" ca="1" si="91"/>
        <v>153.28696413073089</v>
      </c>
    </row>
    <row r="41" spans="1:101" x14ac:dyDescent="0.2">
      <c r="A41" s="115">
        <v>38</v>
      </c>
      <c r="B41" s="85">
        <f t="shared" ca="1" si="2"/>
        <v>154.48180867079478</v>
      </c>
      <c r="C41" s="85">
        <f t="shared" ca="1" si="4"/>
        <v>162.37913671150719</v>
      </c>
      <c r="D41" s="85">
        <f t="shared" ca="1" si="5"/>
        <v>158.05247067840719</v>
      </c>
      <c r="E41" s="85">
        <f t="shared" ca="1" si="6"/>
        <v>157.11600860206286</v>
      </c>
      <c r="F41" s="85">
        <f t="shared" ca="1" si="7"/>
        <v>156.95026306397926</v>
      </c>
      <c r="G41" s="85">
        <f t="shared" ca="1" si="8"/>
        <v>156.26855920259422</v>
      </c>
      <c r="H41" s="85">
        <f t="shared" ca="1" si="9"/>
        <v>156.21064222192118</v>
      </c>
      <c r="I41" s="85">
        <f t="shared" ca="1" si="10"/>
        <v>158.46018521964962</v>
      </c>
      <c r="J41" s="85">
        <f t="shared" ca="1" si="11"/>
        <v>157.80039065396741</v>
      </c>
      <c r="K41" s="85">
        <f t="shared" ca="1" si="12"/>
        <v>147.65015653197506</v>
      </c>
      <c r="L41" s="85">
        <f t="shared" ca="1" si="13"/>
        <v>161.24179878250811</v>
      </c>
      <c r="M41" s="85">
        <f t="shared" ca="1" si="14"/>
        <v>152.20978360393789</v>
      </c>
      <c r="N41" s="85">
        <f t="shared" ca="1" si="15"/>
        <v>169.02946274810287</v>
      </c>
      <c r="O41" s="85">
        <f t="shared" ca="1" si="16"/>
        <v>160.22010523856864</v>
      </c>
      <c r="P41" s="85">
        <f t="shared" ca="1" si="17"/>
        <v>153.88146843834403</v>
      </c>
      <c r="Q41" s="85">
        <f t="shared" ca="1" si="18"/>
        <v>170.89722326495786</v>
      </c>
      <c r="R41" s="85">
        <f t="shared" ca="1" si="19"/>
        <v>158.1603043957372</v>
      </c>
      <c r="S41" s="85">
        <f t="shared" ca="1" si="20"/>
        <v>164.35361463919844</v>
      </c>
      <c r="T41" s="85">
        <f t="shared" ca="1" si="21"/>
        <v>166.39451515170492</v>
      </c>
      <c r="U41" s="85">
        <f t="shared" ca="1" si="22"/>
        <v>148.52782903661512</v>
      </c>
      <c r="V41" s="85">
        <f t="shared" ca="1" si="23"/>
        <v>167.84522878636645</v>
      </c>
      <c r="W41" s="85">
        <f t="shared" ca="1" si="24"/>
        <v>159.14045286620606</v>
      </c>
      <c r="X41" s="85">
        <f t="shared" ca="1" si="25"/>
        <v>159.28945447945969</v>
      </c>
      <c r="Y41" s="85">
        <f t="shared" ca="1" si="26"/>
        <v>155.26184673350443</v>
      </c>
      <c r="Z41" s="85">
        <f t="shared" ca="1" si="27"/>
        <v>162.39008142749708</v>
      </c>
      <c r="AA41" s="85">
        <f t="shared" ca="1" si="28"/>
        <v>144.72253673175894</v>
      </c>
      <c r="AB41" s="85">
        <f t="shared" ca="1" si="29"/>
        <v>162.58214437784974</v>
      </c>
      <c r="AC41" s="85">
        <f t="shared" ca="1" si="30"/>
        <v>158.03217925589576</v>
      </c>
      <c r="AD41" s="85">
        <f t="shared" ca="1" si="31"/>
        <v>170.02171149816772</v>
      </c>
      <c r="AE41" s="85">
        <f t="shared" ca="1" si="32"/>
        <v>174.11528427707802</v>
      </c>
      <c r="AF41" s="85">
        <f t="shared" ca="1" si="33"/>
        <v>162.03167134366967</v>
      </c>
      <c r="AG41" s="85">
        <f t="shared" ca="1" si="34"/>
        <v>164.68758982615617</v>
      </c>
      <c r="AH41" s="85">
        <f t="shared" ca="1" si="35"/>
        <v>158.66081323163112</v>
      </c>
      <c r="AI41" s="85">
        <f t="shared" ca="1" si="36"/>
        <v>161.31584291509253</v>
      </c>
      <c r="AJ41" s="85">
        <f t="shared" ca="1" si="37"/>
        <v>170.76637717036903</v>
      </c>
      <c r="AK41" s="85">
        <f t="shared" ca="1" si="38"/>
        <v>163.07249141703718</v>
      </c>
      <c r="AL41" s="85">
        <f t="shared" ca="1" si="39"/>
        <v>166.01388891805286</v>
      </c>
      <c r="AM41" s="85">
        <f t="shared" ca="1" si="40"/>
        <v>153.19019382514949</v>
      </c>
      <c r="AN41" s="85">
        <f t="shared" ca="1" si="41"/>
        <v>164.10546565689683</v>
      </c>
      <c r="AO41" s="85">
        <f t="shared" ca="1" si="42"/>
        <v>158.77670441791682</v>
      </c>
      <c r="AP41" s="85">
        <f t="shared" ca="1" si="43"/>
        <v>172.268518281062</v>
      </c>
      <c r="AQ41" s="85">
        <f t="shared" ca="1" si="44"/>
        <v>149.66812591500209</v>
      </c>
      <c r="AR41" s="85">
        <f t="shared" ca="1" si="45"/>
        <v>165.37926919103458</v>
      </c>
      <c r="AS41" s="85">
        <f t="shared" ca="1" si="46"/>
        <v>158.14252719838447</v>
      </c>
      <c r="AT41" s="85">
        <f t="shared" ca="1" si="47"/>
        <v>163.46407582526967</v>
      </c>
      <c r="AU41" s="85">
        <f t="shared" ca="1" si="48"/>
        <v>163.54620670564967</v>
      </c>
      <c r="AV41" s="85">
        <f t="shared" ca="1" si="49"/>
        <v>161.81128943089107</v>
      </c>
      <c r="AW41" s="85">
        <f t="shared" ca="1" si="50"/>
        <v>168.5169664038373</v>
      </c>
      <c r="AX41" s="85">
        <f t="shared" ca="1" si="51"/>
        <v>173.90128971823185</v>
      </c>
      <c r="AY41" s="85">
        <f t="shared" ca="1" si="52"/>
        <v>172.72023587384456</v>
      </c>
      <c r="AZ41" s="85">
        <f t="shared" ca="1" si="53"/>
        <v>152.11954044988579</v>
      </c>
      <c r="BA41" s="85">
        <f t="shared" ca="1" si="54"/>
        <v>170.29768989122985</v>
      </c>
      <c r="BB41" s="85">
        <f t="shared" ca="1" si="55"/>
        <v>152.9234761194669</v>
      </c>
      <c r="BC41" s="85">
        <f t="shared" ca="1" si="56"/>
        <v>163.49123613483309</v>
      </c>
      <c r="BD41" s="85">
        <f t="shared" ca="1" si="57"/>
        <v>164.4603333344827</v>
      </c>
      <c r="BE41" s="85">
        <f t="shared" ca="1" si="58"/>
        <v>160.25416716707338</v>
      </c>
      <c r="BF41" s="85">
        <f t="shared" ca="1" si="59"/>
        <v>163.92190505127991</v>
      </c>
      <c r="BG41" s="85">
        <f t="shared" ca="1" si="60"/>
        <v>152.38556736224663</v>
      </c>
      <c r="BH41" s="85">
        <f t="shared" ca="1" si="61"/>
        <v>160.79306166381849</v>
      </c>
      <c r="BI41" s="85">
        <f t="shared" ca="1" si="62"/>
        <v>161.40969905380268</v>
      </c>
      <c r="BJ41" s="85">
        <f t="shared" ca="1" si="63"/>
        <v>170.62836267779042</v>
      </c>
      <c r="BK41" s="85">
        <f t="shared" ca="1" si="64"/>
        <v>160.56327279484805</v>
      </c>
      <c r="BL41" s="85">
        <f t="shared" ca="1" si="65"/>
        <v>162.50689003050681</v>
      </c>
      <c r="BM41" s="85">
        <f t="shared" ca="1" si="66"/>
        <v>151.08430324240661</v>
      </c>
      <c r="BN41" s="85">
        <f t="shared" ca="1" si="3"/>
        <v>155.09889113801714</v>
      </c>
      <c r="BO41" s="85">
        <f t="shared" ca="1" si="92"/>
        <v>161.19686393845362</v>
      </c>
      <c r="BP41" s="85">
        <f t="shared" ca="1" si="93"/>
        <v>151.29094706522005</v>
      </c>
      <c r="BQ41" s="85">
        <f t="shared" ca="1" si="94"/>
        <v>151.2784265932176</v>
      </c>
      <c r="BR41" s="85">
        <f t="shared" ca="1" si="95"/>
        <v>152.64593315710036</v>
      </c>
      <c r="BS41" s="85">
        <f t="shared" ca="1" si="96"/>
        <v>161.10903263266636</v>
      </c>
      <c r="BT41" s="85">
        <f t="shared" ca="1" si="97"/>
        <v>164.24394241253418</v>
      </c>
      <c r="BU41" s="85">
        <f t="shared" ca="1" si="98"/>
        <v>164.64479272872265</v>
      </c>
      <c r="BV41" s="85">
        <f t="shared" ca="1" si="99"/>
        <v>161.0326784915934</v>
      </c>
      <c r="BW41" s="85">
        <f t="shared" ca="1" si="100"/>
        <v>167.09972266337184</v>
      </c>
      <c r="BX41" s="85">
        <f t="shared" ca="1" si="101"/>
        <v>166.90794622116661</v>
      </c>
      <c r="BY41" s="85">
        <f t="shared" ca="1" si="67"/>
        <v>165.17095666949149</v>
      </c>
      <c r="BZ41" s="85">
        <f t="shared" ca="1" si="68"/>
        <v>169.12714747399613</v>
      </c>
      <c r="CA41" s="85">
        <f t="shared" ca="1" si="69"/>
        <v>159.87574159226762</v>
      </c>
      <c r="CB41" s="85">
        <f t="shared" ca="1" si="70"/>
        <v>160.5227818158431</v>
      </c>
      <c r="CC41" s="85">
        <f t="shared" ca="1" si="71"/>
        <v>163.39280004284984</v>
      </c>
      <c r="CD41" s="85">
        <f t="shared" ca="1" si="72"/>
        <v>161.52272676812819</v>
      </c>
      <c r="CE41" s="85">
        <f t="shared" ca="1" si="73"/>
        <v>148.62269555495729</v>
      </c>
      <c r="CF41" s="85">
        <f t="shared" ca="1" si="74"/>
        <v>158.22794191767272</v>
      </c>
      <c r="CG41" s="85">
        <f t="shared" ca="1" si="75"/>
        <v>155.37453365207239</v>
      </c>
      <c r="CH41" s="85">
        <f t="shared" ca="1" si="76"/>
        <v>168.76722183505504</v>
      </c>
      <c r="CI41" s="85">
        <f t="shared" ca="1" si="77"/>
        <v>160.92480371069573</v>
      </c>
      <c r="CJ41" s="85">
        <f t="shared" ca="1" si="78"/>
        <v>154.2251575461232</v>
      </c>
      <c r="CK41" s="85">
        <f t="shared" ca="1" si="79"/>
        <v>152.39464179410493</v>
      </c>
      <c r="CL41" s="85">
        <f t="shared" ca="1" si="80"/>
        <v>144.57933866530061</v>
      </c>
      <c r="CM41" s="85">
        <f t="shared" ca="1" si="81"/>
        <v>159.35809795867337</v>
      </c>
      <c r="CN41" s="85">
        <f t="shared" ca="1" si="82"/>
        <v>161.21394366123488</v>
      </c>
      <c r="CO41" s="85">
        <f t="shared" ca="1" si="83"/>
        <v>153.93573121382164</v>
      </c>
      <c r="CP41" s="85">
        <f t="shared" ca="1" si="84"/>
        <v>178.26515634001552</v>
      </c>
      <c r="CQ41" s="85">
        <f t="shared" ca="1" si="85"/>
        <v>169.99702098434662</v>
      </c>
      <c r="CR41" s="85">
        <f t="shared" ca="1" si="86"/>
        <v>164.5325216062808</v>
      </c>
      <c r="CS41" s="85">
        <f t="shared" ca="1" si="87"/>
        <v>151.95512506881386</v>
      </c>
      <c r="CT41" s="85">
        <f t="shared" ca="1" si="88"/>
        <v>163.9197995050601</v>
      </c>
      <c r="CU41" s="85">
        <f t="shared" ca="1" si="89"/>
        <v>166.62937238485617</v>
      </c>
      <c r="CV41" s="85">
        <f t="shared" ca="1" si="90"/>
        <v>153.86596817631343</v>
      </c>
      <c r="CW41" s="85">
        <f t="shared" ca="1" si="91"/>
        <v>155.65423707658823</v>
      </c>
    </row>
    <row r="42" spans="1:101" x14ac:dyDescent="0.2">
      <c r="A42" s="115">
        <v>39</v>
      </c>
      <c r="B42" s="85">
        <f t="shared" ca="1" si="2"/>
        <v>157.30141494705816</v>
      </c>
      <c r="C42" s="85">
        <f t="shared" ca="1" si="4"/>
        <v>163.54130616524336</v>
      </c>
      <c r="D42" s="85">
        <f t="shared" ca="1" si="5"/>
        <v>161.49048893887411</v>
      </c>
      <c r="E42" s="85">
        <f t="shared" ca="1" si="6"/>
        <v>156.87717241976173</v>
      </c>
      <c r="F42" s="85">
        <f t="shared" ca="1" si="7"/>
        <v>161.79461006341612</v>
      </c>
      <c r="G42" s="85">
        <f t="shared" ca="1" si="8"/>
        <v>158.93641195132577</v>
      </c>
      <c r="H42" s="85">
        <f t="shared" ca="1" si="9"/>
        <v>158.36099917168747</v>
      </c>
      <c r="I42" s="85">
        <f t="shared" ca="1" si="10"/>
        <v>158.29620319345401</v>
      </c>
      <c r="J42" s="85">
        <f t="shared" ca="1" si="11"/>
        <v>157.4706918377473</v>
      </c>
      <c r="K42" s="85">
        <f t="shared" ca="1" si="12"/>
        <v>149.85031332451842</v>
      </c>
      <c r="L42" s="85">
        <f t="shared" ca="1" si="13"/>
        <v>163.98958259865864</v>
      </c>
      <c r="M42" s="85">
        <f t="shared" ca="1" si="14"/>
        <v>152.64528959092863</v>
      </c>
      <c r="N42" s="85">
        <f t="shared" ca="1" si="15"/>
        <v>168.3203103924711</v>
      </c>
      <c r="O42" s="85">
        <f t="shared" ca="1" si="16"/>
        <v>161.23607894173736</v>
      </c>
      <c r="P42" s="85">
        <f t="shared" ca="1" si="17"/>
        <v>155.96261459079949</v>
      </c>
      <c r="Q42" s="85">
        <f t="shared" ca="1" si="18"/>
        <v>171.86526346514052</v>
      </c>
      <c r="R42" s="85">
        <f t="shared" ca="1" si="19"/>
        <v>161.65127400702008</v>
      </c>
      <c r="S42" s="85">
        <f t="shared" ca="1" si="20"/>
        <v>167.34845182763587</v>
      </c>
      <c r="T42" s="85">
        <f t="shared" ca="1" si="21"/>
        <v>168.57620701445265</v>
      </c>
      <c r="U42" s="85">
        <f t="shared" ca="1" si="22"/>
        <v>149.90411851658959</v>
      </c>
      <c r="V42" s="85">
        <f t="shared" ca="1" si="23"/>
        <v>169.76760147942608</v>
      </c>
      <c r="W42" s="85">
        <f t="shared" ca="1" si="24"/>
        <v>161.15567163768728</v>
      </c>
      <c r="X42" s="85">
        <f t="shared" ca="1" si="25"/>
        <v>163.08960672475638</v>
      </c>
      <c r="Y42" s="85">
        <f t="shared" ca="1" si="26"/>
        <v>157.80855838990232</v>
      </c>
      <c r="Z42" s="85">
        <f t="shared" ca="1" si="27"/>
        <v>166.86472586144257</v>
      </c>
      <c r="AA42" s="85">
        <f t="shared" ca="1" si="28"/>
        <v>146.96869181122938</v>
      </c>
      <c r="AB42" s="85">
        <f t="shared" ca="1" si="29"/>
        <v>166.13437611266068</v>
      </c>
      <c r="AC42" s="85">
        <f t="shared" ca="1" si="30"/>
        <v>160.30401860515806</v>
      </c>
      <c r="AD42" s="85">
        <f t="shared" ca="1" si="31"/>
        <v>172.32387138920529</v>
      </c>
      <c r="AE42" s="85">
        <f t="shared" ca="1" si="32"/>
        <v>175.86907245111345</v>
      </c>
      <c r="AF42" s="85">
        <f t="shared" ca="1" si="33"/>
        <v>167.11923942091258</v>
      </c>
      <c r="AG42" s="85">
        <f t="shared" ca="1" si="34"/>
        <v>167.03086320873209</v>
      </c>
      <c r="AH42" s="85">
        <f t="shared" ca="1" si="35"/>
        <v>160.82582461911718</v>
      </c>
      <c r="AI42" s="85">
        <f t="shared" ca="1" si="36"/>
        <v>161.0763795034982</v>
      </c>
      <c r="AJ42" s="85">
        <f t="shared" ca="1" si="37"/>
        <v>174.0033991894139</v>
      </c>
      <c r="AK42" s="85">
        <f t="shared" ca="1" si="38"/>
        <v>165.51475087519106</v>
      </c>
      <c r="AL42" s="85">
        <f t="shared" ca="1" si="39"/>
        <v>167.7427451036902</v>
      </c>
      <c r="AM42" s="85">
        <f t="shared" ca="1" si="40"/>
        <v>154.94815116665802</v>
      </c>
      <c r="AN42" s="85">
        <f t="shared" ca="1" si="41"/>
        <v>166.26895937465679</v>
      </c>
      <c r="AO42" s="85">
        <f t="shared" ca="1" si="42"/>
        <v>159.11537465770479</v>
      </c>
      <c r="AP42" s="85">
        <f t="shared" ca="1" si="43"/>
        <v>173.82456496270697</v>
      </c>
      <c r="AQ42" s="85">
        <f t="shared" ca="1" si="44"/>
        <v>152.20303008675035</v>
      </c>
      <c r="AR42" s="85">
        <f t="shared" ca="1" si="45"/>
        <v>165.84352756726938</v>
      </c>
      <c r="AS42" s="85">
        <f t="shared" ca="1" si="46"/>
        <v>158.11951715561239</v>
      </c>
      <c r="AT42" s="85">
        <f t="shared" ca="1" si="47"/>
        <v>166.32450604264272</v>
      </c>
      <c r="AU42" s="85">
        <f t="shared" ca="1" si="48"/>
        <v>164.90571334689042</v>
      </c>
      <c r="AV42" s="85">
        <f t="shared" ca="1" si="49"/>
        <v>164.84002843537331</v>
      </c>
      <c r="AW42" s="85">
        <f t="shared" ca="1" si="50"/>
        <v>169.71321630523772</v>
      </c>
      <c r="AX42" s="85">
        <f t="shared" ca="1" si="51"/>
        <v>177.15861348485706</v>
      </c>
      <c r="AY42" s="85">
        <f t="shared" ca="1" si="52"/>
        <v>176.64558476942869</v>
      </c>
      <c r="AZ42" s="85">
        <f t="shared" ca="1" si="53"/>
        <v>154.73311128049821</v>
      </c>
      <c r="BA42" s="85">
        <f t="shared" ca="1" si="54"/>
        <v>174.06599364480581</v>
      </c>
      <c r="BB42" s="85">
        <f t="shared" ca="1" si="55"/>
        <v>153.84629261084365</v>
      </c>
      <c r="BC42" s="85">
        <f t="shared" ca="1" si="56"/>
        <v>165.60020407588004</v>
      </c>
      <c r="BD42" s="85">
        <f t="shared" ca="1" si="57"/>
        <v>165.85008426447092</v>
      </c>
      <c r="BE42" s="85">
        <f t="shared" ca="1" si="58"/>
        <v>163.53013021833823</v>
      </c>
      <c r="BF42" s="85">
        <f t="shared" ca="1" si="59"/>
        <v>168.1588317083812</v>
      </c>
      <c r="BG42" s="85">
        <f t="shared" ca="1" si="60"/>
        <v>154.49825401279193</v>
      </c>
      <c r="BH42" s="85">
        <f t="shared" ca="1" si="61"/>
        <v>163.31702688678877</v>
      </c>
      <c r="BI42" s="85">
        <f t="shared" ca="1" si="62"/>
        <v>162.64972315822345</v>
      </c>
      <c r="BJ42" s="85">
        <f t="shared" ca="1" si="63"/>
        <v>172.80167432088896</v>
      </c>
      <c r="BK42" s="85">
        <f t="shared" ca="1" si="64"/>
        <v>162.96710932283207</v>
      </c>
      <c r="BL42" s="85">
        <f t="shared" ca="1" si="65"/>
        <v>164.66051740158878</v>
      </c>
      <c r="BM42" s="85">
        <f t="shared" ca="1" si="66"/>
        <v>152.32954182427102</v>
      </c>
      <c r="BN42" s="85">
        <f t="shared" ca="1" si="3"/>
        <v>157.10224225822051</v>
      </c>
      <c r="BO42" s="85">
        <f t="shared" ca="1" si="92"/>
        <v>163.90308403292173</v>
      </c>
      <c r="BP42" s="85">
        <f t="shared" ca="1" si="93"/>
        <v>155.86727870725329</v>
      </c>
      <c r="BQ42" s="85">
        <f t="shared" ca="1" si="94"/>
        <v>154.35637334585107</v>
      </c>
      <c r="BR42" s="85">
        <f t="shared" ca="1" si="95"/>
        <v>155.57562255568561</v>
      </c>
      <c r="BS42" s="85">
        <f t="shared" ca="1" si="96"/>
        <v>164.20503783618079</v>
      </c>
      <c r="BT42" s="85">
        <f t="shared" ca="1" si="97"/>
        <v>166.35492299250066</v>
      </c>
      <c r="BU42" s="85">
        <f t="shared" ca="1" si="98"/>
        <v>169.31125123052436</v>
      </c>
      <c r="BV42" s="85">
        <f t="shared" ca="1" si="99"/>
        <v>163.5347920283522</v>
      </c>
      <c r="BW42" s="85">
        <f t="shared" ca="1" si="100"/>
        <v>169.91348792960113</v>
      </c>
      <c r="BX42" s="85">
        <f t="shared" ca="1" si="101"/>
        <v>168.74915667273956</v>
      </c>
      <c r="BY42" s="85">
        <f t="shared" ca="1" si="67"/>
        <v>168.05310705722519</v>
      </c>
      <c r="BZ42" s="85">
        <f t="shared" ca="1" si="68"/>
        <v>170.39164043290415</v>
      </c>
      <c r="CA42" s="85">
        <f t="shared" ca="1" si="69"/>
        <v>161.85266648385559</v>
      </c>
      <c r="CB42" s="85">
        <f t="shared" ca="1" si="70"/>
        <v>162.73239433270049</v>
      </c>
      <c r="CC42" s="85">
        <f t="shared" ca="1" si="71"/>
        <v>167.20049982516656</v>
      </c>
      <c r="CD42" s="85">
        <f t="shared" ca="1" si="72"/>
        <v>164.15450211559832</v>
      </c>
      <c r="CE42" s="85">
        <f t="shared" ca="1" si="73"/>
        <v>151.72067254702131</v>
      </c>
      <c r="CF42" s="85">
        <f t="shared" ca="1" si="74"/>
        <v>161.05746710697332</v>
      </c>
      <c r="CG42" s="85">
        <f t="shared" ca="1" si="75"/>
        <v>157.47204279331436</v>
      </c>
      <c r="CH42" s="85">
        <f t="shared" ca="1" si="76"/>
        <v>172.12993902563494</v>
      </c>
      <c r="CI42" s="85">
        <f t="shared" ca="1" si="77"/>
        <v>161.33265908929837</v>
      </c>
      <c r="CJ42" s="85">
        <f t="shared" ca="1" si="78"/>
        <v>155.76367779410921</v>
      </c>
      <c r="CK42" s="85">
        <f t="shared" ca="1" si="79"/>
        <v>152.91426635061705</v>
      </c>
      <c r="CL42" s="85">
        <f t="shared" ca="1" si="80"/>
        <v>147.11917808324944</v>
      </c>
      <c r="CM42" s="85">
        <f t="shared" ca="1" si="81"/>
        <v>162.36831725964103</v>
      </c>
      <c r="CN42" s="85">
        <f t="shared" ca="1" si="82"/>
        <v>162.60534842731596</v>
      </c>
      <c r="CO42" s="85">
        <f t="shared" ca="1" si="83"/>
        <v>156.04749478035268</v>
      </c>
      <c r="CP42" s="85">
        <f t="shared" ca="1" si="84"/>
        <v>180.91183583467418</v>
      </c>
      <c r="CQ42" s="85">
        <f t="shared" ca="1" si="85"/>
        <v>170.31587443830711</v>
      </c>
      <c r="CR42" s="85">
        <f t="shared" ca="1" si="86"/>
        <v>168.4518546386015</v>
      </c>
      <c r="CS42" s="85">
        <f t="shared" ca="1" si="87"/>
        <v>154.86829693048782</v>
      </c>
      <c r="CT42" s="85">
        <f t="shared" ca="1" si="88"/>
        <v>165.78026861991603</v>
      </c>
      <c r="CU42" s="85">
        <f t="shared" ca="1" si="89"/>
        <v>168.03009529860185</v>
      </c>
      <c r="CV42" s="85">
        <f t="shared" ca="1" si="90"/>
        <v>154.7081017861762</v>
      </c>
      <c r="CW42" s="85">
        <f t="shared" ca="1" si="91"/>
        <v>159.62725796405513</v>
      </c>
    </row>
    <row r="43" spans="1:101" x14ac:dyDescent="0.2">
      <c r="A43" s="115">
        <v>40</v>
      </c>
      <c r="B43" s="85">
        <f t="shared" ca="1" si="2"/>
        <v>157.9932925918028</v>
      </c>
      <c r="C43" s="85">
        <f t="shared" ca="1" si="4"/>
        <v>164.27239843478625</v>
      </c>
      <c r="D43" s="85">
        <f t="shared" ca="1" si="5"/>
        <v>164.09199689895485</v>
      </c>
      <c r="E43" s="85">
        <f t="shared" ca="1" si="6"/>
        <v>160.57630807849807</v>
      </c>
      <c r="F43" s="85">
        <f t="shared" ca="1" si="7"/>
        <v>163.77848114394413</v>
      </c>
      <c r="G43" s="85">
        <f t="shared" ca="1" si="8"/>
        <v>162.31754696426529</v>
      </c>
      <c r="H43" s="85">
        <f t="shared" ca="1" si="9"/>
        <v>160.96355587242127</v>
      </c>
      <c r="I43" s="85">
        <f t="shared" ca="1" si="10"/>
        <v>160.18316460897856</v>
      </c>
      <c r="J43" s="85">
        <f t="shared" ca="1" si="11"/>
        <v>158.44186737528545</v>
      </c>
      <c r="K43" s="85">
        <f t="shared" ca="1" si="12"/>
        <v>153.1416489841134</v>
      </c>
      <c r="L43" s="85">
        <f t="shared" ca="1" si="13"/>
        <v>167.71444202916936</v>
      </c>
      <c r="M43" s="85">
        <f t="shared" ca="1" si="14"/>
        <v>153.57598736017704</v>
      </c>
      <c r="N43" s="85">
        <f t="shared" ca="1" si="15"/>
        <v>169.50934446524218</v>
      </c>
      <c r="O43" s="85">
        <f t="shared" ca="1" si="16"/>
        <v>163.92711235222853</v>
      </c>
      <c r="P43" s="85">
        <f t="shared" ca="1" si="17"/>
        <v>158.73357366082794</v>
      </c>
      <c r="Q43" s="85">
        <f t="shared" ca="1" si="18"/>
        <v>175.29971960490164</v>
      </c>
      <c r="R43" s="85">
        <f t="shared" ca="1" si="19"/>
        <v>160.94205773330421</v>
      </c>
      <c r="S43" s="85">
        <f t="shared" ca="1" si="20"/>
        <v>170.67951591891847</v>
      </c>
      <c r="T43" s="85">
        <f t="shared" ca="1" si="21"/>
        <v>171.68477391774744</v>
      </c>
      <c r="U43" s="85">
        <f t="shared" ca="1" si="22"/>
        <v>153.22282019520932</v>
      </c>
      <c r="V43" s="85">
        <f t="shared" ca="1" si="23"/>
        <v>171.56297351375622</v>
      </c>
      <c r="W43" s="85">
        <f t="shared" ca="1" si="24"/>
        <v>164.32080298248366</v>
      </c>
      <c r="X43" s="85">
        <f t="shared" ca="1" si="25"/>
        <v>166.9467444001061</v>
      </c>
      <c r="Y43" s="85">
        <f t="shared" ca="1" si="26"/>
        <v>159.1949084179351</v>
      </c>
      <c r="Z43" s="85">
        <f t="shared" ca="1" si="27"/>
        <v>167.83161375326665</v>
      </c>
      <c r="AA43" s="85">
        <f t="shared" ca="1" si="28"/>
        <v>147.75851174351268</v>
      </c>
      <c r="AB43" s="85">
        <f t="shared" ca="1" si="29"/>
        <v>168.90591208287734</v>
      </c>
      <c r="AC43" s="85">
        <f t="shared" ca="1" si="30"/>
        <v>161.57919208061168</v>
      </c>
      <c r="AD43" s="85">
        <f t="shared" ca="1" si="31"/>
        <v>172.04520451011331</v>
      </c>
      <c r="AE43" s="85">
        <f t="shared" ca="1" si="32"/>
        <v>178.70859143879392</v>
      </c>
      <c r="AF43" s="85">
        <f t="shared" ca="1" si="33"/>
        <v>170.45659724851618</v>
      </c>
      <c r="AG43" s="85">
        <f t="shared" ca="1" si="34"/>
        <v>167.85646030551214</v>
      </c>
      <c r="AH43" s="85">
        <f t="shared" ca="1" si="35"/>
        <v>164.99060898897329</v>
      </c>
      <c r="AI43" s="85">
        <f t="shared" ca="1" si="36"/>
        <v>165.12974743014072</v>
      </c>
      <c r="AJ43" s="85">
        <f t="shared" ca="1" si="37"/>
        <v>175.50767081607165</v>
      </c>
      <c r="AK43" s="85">
        <f t="shared" ca="1" si="38"/>
        <v>166.89830673422864</v>
      </c>
      <c r="AL43" s="85">
        <f t="shared" ca="1" si="39"/>
        <v>170.18175999356041</v>
      </c>
      <c r="AM43" s="85">
        <f t="shared" ca="1" si="40"/>
        <v>156.81086643450107</v>
      </c>
      <c r="AN43" s="85">
        <f t="shared" ca="1" si="41"/>
        <v>167.98017836377028</v>
      </c>
      <c r="AO43" s="85">
        <f t="shared" ca="1" si="42"/>
        <v>162.68755957492195</v>
      </c>
      <c r="AP43" s="85">
        <f t="shared" ca="1" si="43"/>
        <v>176.14145125094547</v>
      </c>
      <c r="AQ43" s="85">
        <f t="shared" ca="1" si="44"/>
        <v>155.84520789828625</v>
      </c>
      <c r="AR43" s="85">
        <f t="shared" ca="1" si="45"/>
        <v>169.15418116288137</v>
      </c>
      <c r="AS43" s="85">
        <f t="shared" ca="1" si="46"/>
        <v>159.7681579659118</v>
      </c>
      <c r="AT43" s="85">
        <f t="shared" ca="1" si="47"/>
        <v>169.30804300675683</v>
      </c>
      <c r="AU43" s="85">
        <f t="shared" ca="1" si="48"/>
        <v>168.04532159416263</v>
      </c>
      <c r="AV43" s="85">
        <f t="shared" ca="1" si="49"/>
        <v>167.6978468802688</v>
      </c>
      <c r="AW43" s="85">
        <f t="shared" ca="1" si="50"/>
        <v>172.16761331743425</v>
      </c>
      <c r="AX43" s="85">
        <f t="shared" ca="1" si="51"/>
        <v>179.33951023718095</v>
      </c>
      <c r="AY43" s="85">
        <f t="shared" ca="1" si="52"/>
        <v>178.43725743239369</v>
      </c>
      <c r="AZ43" s="85">
        <f t="shared" ca="1" si="53"/>
        <v>156.50198645228608</v>
      </c>
      <c r="BA43" s="85">
        <f t="shared" ca="1" si="54"/>
        <v>175.49477204490168</v>
      </c>
      <c r="BB43" s="85">
        <f t="shared" ca="1" si="55"/>
        <v>155.535368160655</v>
      </c>
      <c r="BC43" s="85">
        <f t="shared" ca="1" si="56"/>
        <v>168.22252561360261</v>
      </c>
      <c r="BD43" s="85">
        <f t="shared" ca="1" si="57"/>
        <v>169.30350928910028</v>
      </c>
      <c r="BE43" s="85">
        <f t="shared" ca="1" si="58"/>
        <v>163.79439128457312</v>
      </c>
      <c r="BF43" s="85">
        <f t="shared" ca="1" si="59"/>
        <v>169.66175660391897</v>
      </c>
      <c r="BG43" s="85">
        <f t="shared" ca="1" si="60"/>
        <v>157.03056032626327</v>
      </c>
      <c r="BH43" s="85">
        <f t="shared" ca="1" si="61"/>
        <v>165.69523547009143</v>
      </c>
      <c r="BI43" s="85">
        <f t="shared" ca="1" si="62"/>
        <v>165.42193580280536</v>
      </c>
      <c r="BJ43" s="85">
        <f t="shared" ca="1" si="63"/>
        <v>173.81792846146593</v>
      </c>
      <c r="BK43" s="85">
        <f t="shared" ca="1" si="64"/>
        <v>167.1227464980353</v>
      </c>
      <c r="BL43" s="85">
        <f t="shared" ca="1" si="65"/>
        <v>165.57437160815616</v>
      </c>
      <c r="BM43" s="85">
        <f t="shared" ca="1" si="66"/>
        <v>153.05196050167967</v>
      </c>
      <c r="BN43" s="85">
        <f t="shared" ca="1" si="3"/>
        <v>158.58256099087617</v>
      </c>
      <c r="BO43" s="85">
        <f t="shared" ca="1" si="92"/>
        <v>163.75482399819032</v>
      </c>
      <c r="BP43" s="85">
        <f t="shared" ca="1" si="93"/>
        <v>157.48130258829582</v>
      </c>
      <c r="BQ43" s="85">
        <f t="shared" ca="1" si="94"/>
        <v>156.65164929986511</v>
      </c>
      <c r="BR43" s="85">
        <f t="shared" ca="1" si="95"/>
        <v>156.27306374309737</v>
      </c>
      <c r="BS43" s="85">
        <f t="shared" ca="1" si="96"/>
        <v>167.32161544293007</v>
      </c>
      <c r="BT43" s="85">
        <f t="shared" ca="1" si="97"/>
        <v>170.99795347576449</v>
      </c>
      <c r="BU43" s="85">
        <f t="shared" ca="1" si="98"/>
        <v>172.85104403123637</v>
      </c>
      <c r="BV43" s="85">
        <f t="shared" ca="1" si="99"/>
        <v>165.66966512465393</v>
      </c>
      <c r="BW43" s="85">
        <f t="shared" ca="1" si="100"/>
        <v>170.38294850530423</v>
      </c>
      <c r="BX43" s="85">
        <f t="shared" ca="1" si="101"/>
        <v>171.67332941457275</v>
      </c>
      <c r="BY43" s="85">
        <f t="shared" ca="1" si="67"/>
        <v>169.96139158812838</v>
      </c>
      <c r="BZ43" s="85">
        <f t="shared" ca="1" si="68"/>
        <v>173.71202082711278</v>
      </c>
      <c r="CA43" s="85">
        <f t="shared" ca="1" si="69"/>
        <v>163.58927066771562</v>
      </c>
      <c r="CB43" s="85">
        <f t="shared" ca="1" si="70"/>
        <v>166.10314416628739</v>
      </c>
      <c r="CC43" s="85">
        <f t="shared" ca="1" si="71"/>
        <v>171.89233639619874</v>
      </c>
      <c r="CD43" s="85">
        <f t="shared" ca="1" si="72"/>
        <v>166.09858242135178</v>
      </c>
      <c r="CE43" s="85">
        <f t="shared" ca="1" si="73"/>
        <v>154.56722852163134</v>
      </c>
      <c r="CF43" s="85">
        <f t="shared" ca="1" si="74"/>
        <v>164.95970549578755</v>
      </c>
      <c r="CG43" s="85">
        <f t="shared" ca="1" si="75"/>
        <v>159.83156685434665</v>
      </c>
      <c r="CH43" s="85">
        <f t="shared" ca="1" si="76"/>
        <v>174.73825895521551</v>
      </c>
      <c r="CI43" s="85">
        <f t="shared" ca="1" si="77"/>
        <v>165.36146506307605</v>
      </c>
      <c r="CJ43" s="85">
        <f t="shared" ca="1" si="78"/>
        <v>157.24770066497996</v>
      </c>
      <c r="CK43" s="85">
        <f t="shared" ca="1" si="79"/>
        <v>156.38382249864935</v>
      </c>
      <c r="CL43" s="85">
        <f t="shared" ca="1" si="80"/>
        <v>149.73250816308726</v>
      </c>
      <c r="CM43" s="85">
        <f t="shared" ca="1" si="81"/>
        <v>164.96774725115259</v>
      </c>
      <c r="CN43" s="85">
        <f t="shared" ca="1" si="82"/>
        <v>166.50837114839686</v>
      </c>
      <c r="CO43" s="85">
        <f t="shared" ca="1" si="83"/>
        <v>157.63699624445718</v>
      </c>
      <c r="CP43" s="85">
        <f t="shared" ca="1" si="84"/>
        <v>184.05232437997452</v>
      </c>
      <c r="CQ43" s="85">
        <f t="shared" ca="1" si="85"/>
        <v>171.70188436944832</v>
      </c>
      <c r="CR43" s="85">
        <f t="shared" ca="1" si="86"/>
        <v>169.63329038945957</v>
      </c>
      <c r="CS43" s="85">
        <f t="shared" ca="1" si="87"/>
        <v>158.05573706053849</v>
      </c>
      <c r="CT43" s="85">
        <f t="shared" ca="1" si="88"/>
        <v>166.50755294602376</v>
      </c>
      <c r="CU43" s="85">
        <f t="shared" ca="1" si="89"/>
        <v>171.35603657159928</v>
      </c>
      <c r="CV43" s="85">
        <f t="shared" ca="1" si="90"/>
        <v>159.08054031717742</v>
      </c>
      <c r="CW43" s="85">
        <f t="shared" ca="1" si="91"/>
        <v>163.30506119088881</v>
      </c>
    </row>
    <row r="44" spans="1:101" x14ac:dyDescent="0.2">
      <c r="A44" s="115">
        <v>41</v>
      </c>
      <c r="B44" s="85">
        <f t="shared" ca="1" si="2"/>
        <v>160.56952351484117</v>
      </c>
      <c r="C44" s="85">
        <f t="shared" ca="1" si="4"/>
        <v>166.13946220515848</v>
      </c>
      <c r="D44" s="85">
        <f t="shared" ca="1" si="5"/>
        <v>165.76523915332754</v>
      </c>
      <c r="E44" s="85">
        <f t="shared" ca="1" si="6"/>
        <v>161.53490463744905</v>
      </c>
      <c r="F44" s="85">
        <f t="shared" ca="1" si="7"/>
        <v>167.53891199301523</v>
      </c>
      <c r="G44" s="85">
        <f t="shared" ca="1" si="8"/>
        <v>163.53742580301156</v>
      </c>
      <c r="H44" s="85">
        <f t="shared" ca="1" si="9"/>
        <v>162.83600303707763</v>
      </c>
      <c r="I44" s="85">
        <f t="shared" ca="1" si="10"/>
        <v>162.83815458435413</v>
      </c>
      <c r="J44" s="85">
        <f t="shared" ca="1" si="11"/>
        <v>159.16467147149521</v>
      </c>
      <c r="K44" s="85">
        <f t="shared" ca="1" si="12"/>
        <v>153.89735351289332</v>
      </c>
      <c r="L44" s="85">
        <f t="shared" ca="1" si="13"/>
        <v>172.11592567526694</v>
      </c>
      <c r="M44" s="85">
        <f t="shared" ca="1" si="14"/>
        <v>154.8762153944445</v>
      </c>
      <c r="N44" s="85">
        <f t="shared" ca="1" si="15"/>
        <v>171.08413206647208</v>
      </c>
      <c r="O44" s="85">
        <f t="shared" ca="1" si="16"/>
        <v>166.84225301017875</v>
      </c>
      <c r="P44" s="85">
        <f t="shared" ca="1" si="17"/>
        <v>160.95264944593751</v>
      </c>
      <c r="Q44" s="85">
        <f t="shared" ca="1" si="18"/>
        <v>179.35978294296592</v>
      </c>
      <c r="R44" s="85">
        <f t="shared" ca="1" si="19"/>
        <v>163.54810901964262</v>
      </c>
      <c r="S44" s="85">
        <f t="shared" ca="1" si="20"/>
        <v>169.98588032678114</v>
      </c>
      <c r="T44" s="85">
        <f t="shared" ca="1" si="21"/>
        <v>174.27186145928439</v>
      </c>
      <c r="U44" s="85">
        <f t="shared" ca="1" si="22"/>
        <v>153.78595942988591</v>
      </c>
      <c r="V44" s="85">
        <f t="shared" ca="1" si="23"/>
        <v>175.48302823748162</v>
      </c>
      <c r="W44" s="85">
        <f t="shared" ca="1" si="24"/>
        <v>166.29225341509269</v>
      </c>
      <c r="X44" s="85">
        <f t="shared" ca="1" si="25"/>
        <v>169.79456118493155</v>
      </c>
      <c r="Y44" s="85">
        <f t="shared" ca="1" si="26"/>
        <v>160.88203716240835</v>
      </c>
      <c r="Z44" s="85">
        <f t="shared" ca="1" si="27"/>
        <v>167.01585080563092</v>
      </c>
      <c r="AA44" s="85">
        <f t="shared" ca="1" si="28"/>
        <v>149.79679806164651</v>
      </c>
      <c r="AB44" s="85">
        <f t="shared" ca="1" si="29"/>
        <v>173.4054055263255</v>
      </c>
      <c r="AC44" s="85">
        <f t="shared" ca="1" si="30"/>
        <v>161.73087745724425</v>
      </c>
      <c r="AD44" s="85">
        <f t="shared" ca="1" si="31"/>
        <v>176.07954045717432</v>
      </c>
      <c r="AE44" s="85">
        <f t="shared" ca="1" si="32"/>
        <v>180.87306137600098</v>
      </c>
      <c r="AF44" s="85">
        <f t="shared" ca="1" si="33"/>
        <v>172.80746018574851</v>
      </c>
      <c r="AG44" s="85">
        <f t="shared" ca="1" si="34"/>
        <v>169.53920372632658</v>
      </c>
      <c r="AH44" s="85">
        <f t="shared" ca="1" si="35"/>
        <v>166.27405188795888</v>
      </c>
      <c r="AI44" s="85">
        <f t="shared" ca="1" si="36"/>
        <v>167.89038228553196</v>
      </c>
      <c r="AJ44" s="85">
        <f t="shared" ca="1" si="37"/>
        <v>177.15975850735626</v>
      </c>
      <c r="AK44" s="85">
        <f t="shared" ca="1" si="38"/>
        <v>169.28182912232509</v>
      </c>
      <c r="AL44" s="85">
        <f t="shared" ca="1" si="39"/>
        <v>173.62453462065665</v>
      </c>
      <c r="AM44" s="85">
        <f t="shared" ca="1" si="40"/>
        <v>159.48622431634286</v>
      </c>
      <c r="AN44" s="85">
        <f t="shared" ca="1" si="41"/>
        <v>170.34296694029322</v>
      </c>
      <c r="AO44" s="85">
        <f t="shared" ca="1" si="42"/>
        <v>165.47570277515914</v>
      </c>
      <c r="AP44" s="85">
        <f t="shared" ca="1" si="43"/>
        <v>180.66654005381</v>
      </c>
      <c r="AQ44" s="85">
        <f t="shared" ca="1" si="44"/>
        <v>157.87927025316782</v>
      </c>
      <c r="AR44" s="85">
        <f t="shared" ca="1" si="45"/>
        <v>171.41491620537457</v>
      </c>
      <c r="AS44" s="85">
        <f t="shared" ca="1" si="46"/>
        <v>162.13104985739895</v>
      </c>
      <c r="AT44" s="85">
        <f t="shared" ca="1" si="47"/>
        <v>170.39766147459741</v>
      </c>
      <c r="AU44" s="85">
        <f t="shared" ca="1" si="48"/>
        <v>168.12498362896338</v>
      </c>
      <c r="AV44" s="85">
        <f t="shared" ca="1" si="49"/>
        <v>172.9617983333813</v>
      </c>
      <c r="AW44" s="85">
        <f t="shared" ca="1" si="50"/>
        <v>173.53191482927892</v>
      </c>
      <c r="AX44" s="85">
        <f t="shared" ca="1" si="51"/>
        <v>181.42047743051859</v>
      </c>
      <c r="AY44" s="85">
        <f t="shared" ca="1" si="52"/>
        <v>182.11653194794479</v>
      </c>
      <c r="AZ44" s="85">
        <f t="shared" ca="1" si="53"/>
        <v>157.40761455614171</v>
      </c>
      <c r="BA44" s="85">
        <f t="shared" ca="1" si="54"/>
        <v>176.89073614925667</v>
      </c>
      <c r="BB44" s="85">
        <f t="shared" ca="1" si="55"/>
        <v>157.04348365486189</v>
      </c>
      <c r="BC44" s="85">
        <f t="shared" ca="1" si="56"/>
        <v>171.4800198224703</v>
      </c>
      <c r="BD44" s="85">
        <f t="shared" ca="1" si="57"/>
        <v>172.16788507129172</v>
      </c>
      <c r="BE44" s="85">
        <f t="shared" ca="1" si="58"/>
        <v>164.6955292925731</v>
      </c>
      <c r="BF44" s="85">
        <f t="shared" ca="1" si="59"/>
        <v>169.41764510393568</v>
      </c>
      <c r="BG44" s="85">
        <f t="shared" ca="1" si="60"/>
        <v>159.68662387802331</v>
      </c>
      <c r="BH44" s="85">
        <f t="shared" ca="1" si="61"/>
        <v>169.77907501892278</v>
      </c>
      <c r="BI44" s="85">
        <f t="shared" ca="1" si="62"/>
        <v>166.96545928081659</v>
      </c>
      <c r="BJ44" s="85">
        <f t="shared" ca="1" si="63"/>
        <v>175.67404611389119</v>
      </c>
      <c r="BK44" s="85">
        <f t="shared" ca="1" si="64"/>
        <v>167.44008234212785</v>
      </c>
      <c r="BL44" s="85">
        <f t="shared" ca="1" si="65"/>
        <v>168.77354917189604</v>
      </c>
      <c r="BM44" s="85">
        <f t="shared" ca="1" si="66"/>
        <v>156.36858791459841</v>
      </c>
      <c r="BN44" s="85">
        <f t="shared" ca="1" si="3"/>
        <v>161.07313256227579</v>
      </c>
      <c r="BO44" s="85">
        <f t="shared" ca="1" si="92"/>
        <v>164.83923636743191</v>
      </c>
      <c r="BP44" s="85">
        <f t="shared" ca="1" si="93"/>
        <v>157.73835338725689</v>
      </c>
      <c r="BQ44" s="85">
        <f t="shared" ca="1" si="94"/>
        <v>158.73626821442795</v>
      </c>
      <c r="BR44" s="85">
        <f t="shared" ca="1" si="95"/>
        <v>158.8086203725392</v>
      </c>
      <c r="BS44" s="85">
        <f t="shared" ca="1" si="96"/>
        <v>169.65881784796781</v>
      </c>
      <c r="BT44" s="85">
        <f t="shared" ca="1" si="97"/>
        <v>173.87459526075472</v>
      </c>
      <c r="BU44" s="85">
        <f t="shared" ca="1" si="98"/>
        <v>174.58780444377513</v>
      </c>
      <c r="BV44" s="85">
        <f t="shared" ca="1" si="99"/>
        <v>167.5142284286851</v>
      </c>
      <c r="BW44" s="85">
        <f t="shared" ca="1" si="100"/>
        <v>174.45804163455117</v>
      </c>
      <c r="BX44" s="85">
        <f t="shared" ca="1" si="101"/>
        <v>174.26632217291879</v>
      </c>
      <c r="BY44" s="85">
        <f t="shared" ca="1" si="67"/>
        <v>173.11163203602536</v>
      </c>
      <c r="BZ44" s="85">
        <f t="shared" ca="1" si="68"/>
        <v>175.64325625198592</v>
      </c>
      <c r="CA44" s="85">
        <f t="shared" ca="1" si="69"/>
        <v>164.43586267507166</v>
      </c>
      <c r="CB44" s="85">
        <f t="shared" ca="1" si="70"/>
        <v>168.39597731405368</v>
      </c>
      <c r="CC44" s="85">
        <f t="shared" ca="1" si="71"/>
        <v>173.70334419853239</v>
      </c>
      <c r="CD44" s="85">
        <f t="shared" ca="1" si="72"/>
        <v>169.32819608366</v>
      </c>
      <c r="CE44" s="85">
        <f t="shared" ca="1" si="73"/>
        <v>156.7093081059549</v>
      </c>
      <c r="CF44" s="85">
        <f t="shared" ca="1" si="74"/>
        <v>167.42579293917507</v>
      </c>
      <c r="CG44" s="85">
        <f t="shared" ca="1" si="75"/>
        <v>163.22817229614697</v>
      </c>
      <c r="CH44" s="85">
        <f t="shared" ca="1" si="76"/>
        <v>176.28005038162215</v>
      </c>
      <c r="CI44" s="85">
        <f t="shared" ca="1" si="77"/>
        <v>166.69680232106933</v>
      </c>
      <c r="CJ44" s="85">
        <f t="shared" ca="1" si="78"/>
        <v>159.49607445019799</v>
      </c>
      <c r="CK44" s="85">
        <f t="shared" ca="1" si="79"/>
        <v>156.2237498036267</v>
      </c>
      <c r="CL44" s="85">
        <f t="shared" ca="1" si="80"/>
        <v>152.14183313326654</v>
      </c>
      <c r="CM44" s="85">
        <f t="shared" ca="1" si="81"/>
        <v>168.18393806444277</v>
      </c>
      <c r="CN44" s="85">
        <f t="shared" ca="1" si="82"/>
        <v>167.90952539413084</v>
      </c>
      <c r="CO44" s="85">
        <f t="shared" ca="1" si="83"/>
        <v>160.4328906680534</v>
      </c>
      <c r="CP44" s="85">
        <f t="shared" ca="1" si="84"/>
        <v>188.6422261677163</v>
      </c>
      <c r="CQ44" s="85">
        <f t="shared" ca="1" si="85"/>
        <v>175.11415466344042</v>
      </c>
      <c r="CR44" s="85">
        <f t="shared" ca="1" si="86"/>
        <v>172.99981709905262</v>
      </c>
      <c r="CS44" s="85">
        <f t="shared" ca="1" si="87"/>
        <v>159.76533404560149</v>
      </c>
      <c r="CT44" s="85">
        <f t="shared" ca="1" si="88"/>
        <v>169.71411781844088</v>
      </c>
      <c r="CU44" s="85">
        <f t="shared" ca="1" si="89"/>
        <v>176.02524994527786</v>
      </c>
      <c r="CV44" s="85">
        <f t="shared" ca="1" si="90"/>
        <v>161.82874293994016</v>
      </c>
      <c r="CW44" s="85">
        <f t="shared" ca="1" si="91"/>
        <v>163.41841106939376</v>
      </c>
    </row>
    <row r="45" spans="1:101" x14ac:dyDescent="0.2">
      <c r="A45" s="115">
        <v>42</v>
      </c>
      <c r="B45" s="85">
        <f t="shared" ca="1" si="2"/>
        <v>162.51220531028878</v>
      </c>
      <c r="C45" s="85">
        <f t="shared" ca="1" si="4"/>
        <v>168.05343300418247</v>
      </c>
      <c r="D45" s="85">
        <f t="shared" ca="1" si="5"/>
        <v>167.75370248131307</v>
      </c>
      <c r="E45" s="85">
        <f t="shared" ca="1" si="6"/>
        <v>164.8378231089379</v>
      </c>
      <c r="F45" s="85">
        <f t="shared" ca="1" si="7"/>
        <v>171.14360686324247</v>
      </c>
      <c r="G45" s="85">
        <f t="shared" ca="1" si="8"/>
        <v>165.67648820880956</v>
      </c>
      <c r="H45" s="85">
        <f t="shared" ca="1" si="9"/>
        <v>163.80815903150528</v>
      </c>
      <c r="I45" s="85">
        <f t="shared" ca="1" si="10"/>
        <v>164.89743320911873</v>
      </c>
      <c r="J45" s="85">
        <f t="shared" ca="1" si="11"/>
        <v>162.51072802798069</v>
      </c>
      <c r="K45" s="85">
        <f t="shared" ca="1" si="12"/>
        <v>155.26920616170781</v>
      </c>
      <c r="L45" s="85">
        <f t="shared" ca="1" si="13"/>
        <v>174.58258923140826</v>
      </c>
      <c r="M45" s="85">
        <f t="shared" ca="1" si="14"/>
        <v>157.36387493219243</v>
      </c>
      <c r="N45" s="85">
        <f t="shared" ca="1" si="15"/>
        <v>173.90191501624878</v>
      </c>
      <c r="O45" s="85">
        <f t="shared" ca="1" si="16"/>
        <v>171.01745360069148</v>
      </c>
      <c r="P45" s="85">
        <f t="shared" ca="1" si="17"/>
        <v>163.48276184594806</v>
      </c>
      <c r="Q45" s="85">
        <f t="shared" ca="1" si="18"/>
        <v>182.91332311973753</v>
      </c>
      <c r="R45" s="85">
        <f t="shared" ca="1" si="19"/>
        <v>165.11508322641873</v>
      </c>
      <c r="S45" s="85">
        <f t="shared" ca="1" si="20"/>
        <v>169.84290132804304</v>
      </c>
      <c r="T45" s="85">
        <f t="shared" ca="1" si="21"/>
        <v>176.34224554204616</v>
      </c>
      <c r="U45" s="85">
        <f t="shared" ca="1" si="22"/>
        <v>154.29681846090165</v>
      </c>
      <c r="V45" s="85">
        <f t="shared" ca="1" si="23"/>
        <v>177.63860366851418</v>
      </c>
      <c r="W45" s="85">
        <f t="shared" ca="1" si="24"/>
        <v>169.01636619667664</v>
      </c>
      <c r="X45" s="85">
        <f t="shared" ca="1" si="25"/>
        <v>173.23388809169668</v>
      </c>
      <c r="Y45" s="85">
        <f t="shared" ca="1" si="26"/>
        <v>162.65885481955632</v>
      </c>
      <c r="Z45" s="85">
        <f t="shared" ca="1" si="27"/>
        <v>167.54823376934158</v>
      </c>
      <c r="AA45" s="85">
        <f t="shared" ca="1" si="28"/>
        <v>151.99873780749715</v>
      </c>
      <c r="AB45" s="85">
        <f t="shared" ca="1" si="29"/>
        <v>177.30618352108181</v>
      </c>
      <c r="AC45" s="85">
        <f t="shared" ca="1" si="30"/>
        <v>164.79990339960179</v>
      </c>
      <c r="AD45" s="85">
        <f t="shared" ca="1" si="31"/>
        <v>179.74312140949593</v>
      </c>
      <c r="AE45" s="85">
        <f t="shared" ca="1" si="32"/>
        <v>184.30851371413419</v>
      </c>
      <c r="AF45" s="85">
        <f t="shared" ca="1" si="33"/>
        <v>175.81667055340901</v>
      </c>
      <c r="AG45" s="85">
        <f t="shared" ca="1" si="34"/>
        <v>170.35060105411375</v>
      </c>
      <c r="AH45" s="85">
        <f t="shared" ca="1" si="35"/>
        <v>169.04303103411905</v>
      </c>
      <c r="AI45" s="85">
        <f t="shared" ca="1" si="36"/>
        <v>170.99500854509824</v>
      </c>
      <c r="AJ45" s="85">
        <f t="shared" ca="1" si="37"/>
        <v>178.28121848076668</v>
      </c>
      <c r="AK45" s="85">
        <f t="shared" ca="1" si="38"/>
        <v>172.87407228779509</v>
      </c>
      <c r="AL45" s="85">
        <f t="shared" ca="1" si="39"/>
        <v>176.25875298356118</v>
      </c>
      <c r="AM45" s="85">
        <f t="shared" ca="1" si="40"/>
        <v>162.23811104664819</v>
      </c>
      <c r="AN45" s="85">
        <f t="shared" ca="1" si="41"/>
        <v>173.61343422642548</v>
      </c>
      <c r="AO45" s="85">
        <f t="shared" ca="1" si="42"/>
        <v>166.3738860846538</v>
      </c>
      <c r="AP45" s="85">
        <f t="shared" ca="1" si="43"/>
        <v>186.7027743529114</v>
      </c>
      <c r="AQ45" s="85">
        <f t="shared" ca="1" si="44"/>
        <v>160.50303367916791</v>
      </c>
      <c r="AR45" s="85">
        <f t="shared" ca="1" si="45"/>
        <v>174.2955376810466</v>
      </c>
      <c r="AS45" s="85">
        <f t="shared" ca="1" si="46"/>
        <v>164.28792805460211</v>
      </c>
      <c r="AT45" s="85">
        <f t="shared" ca="1" si="47"/>
        <v>174.8708182193854</v>
      </c>
      <c r="AU45" s="85">
        <f t="shared" ca="1" si="48"/>
        <v>171.44680662231647</v>
      </c>
      <c r="AV45" s="85">
        <f t="shared" ca="1" si="49"/>
        <v>176.30705200188683</v>
      </c>
      <c r="AW45" s="85">
        <f t="shared" ca="1" si="50"/>
        <v>172.29208068546288</v>
      </c>
      <c r="AX45" s="85">
        <f t="shared" ca="1" si="51"/>
        <v>185.95900309778347</v>
      </c>
      <c r="AY45" s="85">
        <f t="shared" ca="1" si="52"/>
        <v>182.19485307495938</v>
      </c>
      <c r="AZ45" s="85">
        <f t="shared" ca="1" si="53"/>
        <v>159.82062640431459</v>
      </c>
      <c r="BA45" s="85">
        <f t="shared" ca="1" si="54"/>
        <v>181.52834777180553</v>
      </c>
      <c r="BB45" s="85">
        <f t="shared" ca="1" si="55"/>
        <v>158.04895644565963</v>
      </c>
      <c r="BC45" s="85">
        <f t="shared" ca="1" si="56"/>
        <v>173.44053468222123</v>
      </c>
      <c r="BD45" s="85">
        <f t="shared" ca="1" si="57"/>
        <v>173.63446454443354</v>
      </c>
      <c r="BE45" s="85">
        <f t="shared" ca="1" si="58"/>
        <v>167.79272755286081</v>
      </c>
      <c r="BF45" s="85">
        <f t="shared" ca="1" si="59"/>
        <v>171.9185683023108</v>
      </c>
      <c r="BG45" s="85">
        <f t="shared" ca="1" si="60"/>
        <v>163.96161338019658</v>
      </c>
      <c r="BH45" s="85">
        <f t="shared" ca="1" si="61"/>
        <v>173.43197620935334</v>
      </c>
      <c r="BI45" s="85">
        <f t="shared" ca="1" si="62"/>
        <v>171.21089690418529</v>
      </c>
      <c r="BJ45" s="85">
        <f t="shared" ca="1" si="63"/>
        <v>178.48962968625037</v>
      </c>
      <c r="BK45" s="85">
        <f t="shared" ca="1" si="64"/>
        <v>171.46890067188843</v>
      </c>
      <c r="BL45" s="85">
        <f t="shared" ca="1" si="65"/>
        <v>172.86804637536792</v>
      </c>
      <c r="BM45" s="85">
        <f t="shared" ca="1" si="66"/>
        <v>158.06819091048047</v>
      </c>
      <c r="BN45" s="85">
        <f t="shared" ca="1" si="3"/>
        <v>163.9273951990983</v>
      </c>
      <c r="BO45" s="85">
        <f t="shared" ca="1" si="92"/>
        <v>165.88613486002956</v>
      </c>
      <c r="BP45" s="85">
        <f t="shared" ca="1" si="93"/>
        <v>159.28982843524363</v>
      </c>
      <c r="BQ45" s="85">
        <f t="shared" ca="1" si="94"/>
        <v>161.87726407090426</v>
      </c>
      <c r="BR45" s="85">
        <f t="shared" ca="1" si="95"/>
        <v>161.58894496209828</v>
      </c>
      <c r="BS45" s="85">
        <f t="shared" ca="1" si="96"/>
        <v>172.40132655808148</v>
      </c>
      <c r="BT45" s="85">
        <f t="shared" ca="1" si="97"/>
        <v>174.3824097316697</v>
      </c>
      <c r="BU45" s="85">
        <f t="shared" ca="1" si="98"/>
        <v>178.03321475684083</v>
      </c>
      <c r="BV45" s="85">
        <f t="shared" ca="1" si="99"/>
        <v>168.70634904337115</v>
      </c>
      <c r="BW45" s="85">
        <f t="shared" ca="1" si="100"/>
        <v>175.51379276691915</v>
      </c>
      <c r="BX45" s="85">
        <f t="shared" ca="1" si="101"/>
        <v>175.79656799562338</v>
      </c>
      <c r="BY45" s="85">
        <f t="shared" ca="1" si="67"/>
        <v>178.20018140724892</v>
      </c>
      <c r="BZ45" s="85">
        <f t="shared" ca="1" si="68"/>
        <v>180.48545264439565</v>
      </c>
      <c r="CA45" s="85">
        <f t="shared" ca="1" si="69"/>
        <v>166.29752810238321</v>
      </c>
      <c r="CB45" s="85">
        <f t="shared" ca="1" si="70"/>
        <v>171.37832191272901</v>
      </c>
      <c r="CC45" s="85">
        <f t="shared" ca="1" si="71"/>
        <v>175.61979405532605</v>
      </c>
      <c r="CD45" s="85">
        <f t="shared" ca="1" si="72"/>
        <v>172.10882275542943</v>
      </c>
      <c r="CE45" s="85">
        <f t="shared" ca="1" si="73"/>
        <v>158.55681951464138</v>
      </c>
      <c r="CF45" s="85">
        <f t="shared" ca="1" si="74"/>
        <v>171.37342784793989</v>
      </c>
      <c r="CG45" s="85">
        <f t="shared" ca="1" si="75"/>
        <v>163.22179189125055</v>
      </c>
      <c r="CH45" s="85">
        <f t="shared" ca="1" si="76"/>
        <v>179.25435634518664</v>
      </c>
      <c r="CI45" s="85">
        <f t="shared" ca="1" si="77"/>
        <v>168.63529788829919</v>
      </c>
      <c r="CJ45" s="85">
        <f t="shared" ca="1" si="78"/>
        <v>160.52172681269749</v>
      </c>
      <c r="CK45" s="85">
        <f t="shared" ca="1" si="79"/>
        <v>159.16079500458918</v>
      </c>
      <c r="CL45" s="85">
        <f t="shared" ca="1" si="80"/>
        <v>154.89431059249358</v>
      </c>
      <c r="CM45" s="85">
        <f t="shared" ca="1" si="81"/>
        <v>168.71784586572787</v>
      </c>
      <c r="CN45" s="85">
        <f t="shared" ca="1" si="82"/>
        <v>168.46050443258119</v>
      </c>
      <c r="CO45" s="85">
        <f t="shared" ca="1" si="83"/>
        <v>162.82355911409292</v>
      </c>
      <c r="CP45" s="85">
        <f t="shared" ca="1" si="84"/>
        <v>189.80295898659563</v>
      </c>
      <c r="CQ45" s="85">
        <f t="shared" ca="1" si="85"/>
        <v>175.40274458401936</v>
      </c>
      <c r="CR45" s="85">
        <f t="shared" ca="1" si="86"/>
        <v>175.52574023598382</v>
      </c>
      <c r="CS45" s="85">
        <f t="shared" ca="1" si="87"/>
        <v>162.74407807465755</v>
      </c>
      <c r="CT45" s="85">
        <f t="shared" ca="1" si="88"/>
        <v>171.16959626257164</v>
      </c>
      <c r="CU45" s="85">
        <f t="shared" ca="1" si="89"/>
        <v>178.68947725465247</v>
      </c>
      <c r="CV45" s="85">
        <f t="shared" ca="1" si="90"/>
        <v>163.61974457859108</v>
      </c>
      <c r="CW45" s="85">
        <f t="shared" ca="1" si="91"/>
        <v>163.24272224921415</v>
      </c>
    </row>
    <row r="46" spans="1:101" x14ac:dyDescent="0.2">
      <c r="A46" s="115">
        <v>43</v>
      </c>
      <c r="B46" s="85">
        <f t="shared" ca="1" si="2"/>
        <v>163.19494796340101</v>
      </c>
      <c r="C46" s="85">
        <f t="shared" ca="1" si="4"/>
        <v>169.64753362332598</v>
      </c>
      <c r="D46" s="85">
        <f t="shared" ca="1" si="5"/>
        <v>169.64542939084475</v>
      </c>
      <c r="E46" s="85">
        <f t="shared" ca="1" si="6"/>
        <v>166.02248098508463</v>
      </c>
      <c r="F46" s="85">
        <f t="shared" ca="1" si="7"/>
        <v>175.30476489101176</v>
      </c>
      <c r="G46" s="85">
        <f t="shared" ca="1" si="8"/>
        <v>166.92685529751111</v>
      </c>
      <c r="H46" s="85">
        <f t="shared" ca="1" si="9"/>
        <v>165.55459164814701</v>
      </c>
      <c r="I46" s="85">
        <f t="shared" ca="1" si="10"/>
        <v>169.15166619532002</v>
      </c>
      <c r="J46" s="85">
        <f t="shared" ca="1" si="11"/>
        <v>163.72698690524638</v>
      </c>
      <c r="K46" s="85">
        <f t="shared" ca="1" si="12"/>
        <v>156.05962713199486</v>
      </c>
      <c r="L46" s="85">
        <f t="shared" ca="1" si="13"/>
        <v>174.1200419302688</v>
      </c>
      <c r="M46" s="85">
        <f t="shared" ca="1" si="14"/>
        <v>160.42215801517733</v>
      </c>
      <c r="N46" s="85">
        <f t="shared" ca="1" si="15"/>
        <v>177.50822999757634</v>
      </c>
      <c r="O46" s="85">
        <f t="shared" ca="1" si="16"/>
        <v>170.67411079662892</v>
      </c>
      <c r="P46" s="85">
        <f t="shared" ca="1" si="17"/>
        <v>164.53755444788823</v>
      </c>
      <c r="Q46" s="85">
        <f t="shared" ca="1" si="18"/>
        <v>183.28875352557102</v>
      </c>
      <c r="R46" s="85">
        <f t="shared" ca="1" si="19"/>
        <v>167.87733413814027</v>
      </c>
      <c r="S46" s="85">
        <f t="shared" ca="1" si="20"/>
        <v>172.1092945290618</v>
      </c>
      <c r="T46" s="85">
        <f t="shared" ca="1" si="21"/>
        <v>180.65684358757753</v>
      </c>
      <c r="U46" s="85">
        <f t="shared" ca="1" si="22"/>
        <v>155.26823305510302</v>
      </c>
      <c r="V46" s="85">
        <f t="shared" ca="1" si="23"/>
        <v>178.66612408926733</v>
      </c>
      <c r="W46" s="85">
        <f t="shared" ca="1" si="24"/>
        <v>171.73683414608348</v>
      </c>
      <c r="X46" s="85">
        <f t="shared" ca="1" si="25"/>
        <v>174.59988667008318</v>
      </c>
      <c r="Y46" s="85">
        <f t="shared" ca="1" si="26"/>
        <v>164.87089816655356</v>
      </c>
      <c r="Z46" s="85">
        <f t="shared" ca="1" si="27"/>
        <v>170.11211278797626</v>
      </c>
      <c r="AA46" s="85">
        <f t="shared" ca="1" si="28"/>
        <v>153.38820698829105</v>
      </c>
      <c r="AB46" s="85">
        <f t="shared" ca="1" si="29"/>
        <v>179.43114267367923</v>
      </c>
      <c r="AC46" s="85">
        <f t="shared" ca="1" si="30"/>
        <v>168.21569217451938</v>
      </c>
      <c r="AD46" s="85">
        <f t="shared" ca="1" si="31"/>
        <v>182.70875846421342</v>
      </c>
      <c r="AE46" s="85">
        <f t="shared" ca="1" si="32"/>
        <v>187.78046952512068</v>
      </c>
      <c r="AF46" s="85">
        <f t="shared" ca="1" si="33"/>
        <v>177.68843557405646</v>
      </c>
      <c r="AG46" s="85">
        <f t="shared" ca="1" si="34"/>
        <v>173.8396710726532</v>
      </c>
      <c r="AH46" s="85">
        <f t="shared" ca="1" si="35"/>
        <v>171.72372029554202</v>
      </c>
      <c r="AI46" s="85">
        <f t="shared" ca="1" si="36"/>
        <v>172.30078829948494</v>
      </c>
      <c r="AJ46" s="85">
        <f t="shared" ca="1" si="37"/>
        <v>181.54842009432707</v>
      </c>
      <c r="AK46" s="85">
        <f t="shared" ca="1" si="38"/>
        <v>173.56133468837413</v>
      </c>
      <c r="AL46" s="85">
        <f t="shared" ca="1" si="39"/>
        <v>177.9745513394011</v>
      </c>
      <c r="AM46" s="85">
        <f t="shared" ca="1" si="40"/>
        <v>164.24840834910049</v>
      </c>
      <c r="AN46" s="85">
        <f t="shared" ca="1" si="41"/>
        <v>176.2306280035834</v>
      </c>
      <c r="AO46" s="85">
        <f t="shared" ca="1" si="42"/>
        <v>169.83473410780769</v>
      </c>
      <c r="AP46" s="85">
        <f t="shared" ca="1" si="43"/>
        <v>188.89997285366411</v>
      </c>
      <c r="AQ46" s="85">
        <f t="shared" ca="1" si="44"/>
        <v>162.49948732844774</v>
      </c>
      <c r="AR46" s="85">
        <f t="shared" ca="1" si="45"/>
        <v>176.06269686659772</v>
      </c>
      <c r="AS46" s="85">
        <f t="shared" ca="1" si="46"/>
        <v>167.47661742615281</v>
      </c>
      <c r="AT46" s="85">
        <f t="shared" ca="1" si="47"/>
        <v>178.10484556343641</v>
      </c>
      <c r="AU46" s="85">
        <f t="shared" ca="1" si="48"/>
        <v>174.60194203257024</v>
      </c>
      <c r="AV46" s="85">
        <f t="shared" ca="1" si="49"/>
        <v>180.28469553105197</v>
      </c>
      <c r="AW46" s="85">
        <f t="shared" ca="1" si="50"/>
        <v>175.19688238049872</v>
      </c>
      <c r="AX46" s="85">
        <f t="shared" ca="1" si="51"/>
        <v>188.49997419994281</v>
      </c>
      <c r="AY46" s="85">
        <f t="shared" ca="1" si="52"/>
        <v>183.88573684347716</v>
      </c>
      <c r="AZ46" s="85">
        <f t="shared" ca="1" si="53"/>
        <v>162.19213739719135</v>
      </c>
      <c r="BA46" s="85">
        <f t="shared" ca="1" si="54"/>
        <v>182.55294395242572</v>
      </c>
      <c r="BB46" s="85">
        <f t="shared" ca="1" si="55"/>
        <v>159.77710786518614</v>
      </c>
      <c r="BC46" s="85">
        <f t="shared" ca="1" si="56"/>
        <v>175.43167227541653</v>
      </c>
      <c r="BD46" s="85">
        <f t="shared" ca="1" si="57"/>
        <v>175.92819326181072</v>
      </c>
      <c r="BE46" s="85">
        <f t="shared" ca="1" si="58"/>
        <v>167.16529103333559</v>
      </c>
      <c r="BF46" s="85">
        <f t="shared" ca="1" si="59"/>
        <v>174.18404494184202</v>
      </c>
      <c r="BG46" s="85">
        <f t="shared" ca="1" si="60"/>
        <v>166.55686932278155</v>
      </c>
      <c r="BH46" s="85">
        <f t="shared" ca="1" si="61"/>
        <v>174.26113807063641</v>
      </c>
      <c r="BI46" s="85">
        <f t="shared" ca="1" si="62"/>
        <v>171.91923362345176</v>
      </c>
      <c r="BJ46" s="85">
        <f t="shared" ca="1" si="63"/>
        <v>181.88002637606053</v>
      </c>
      <c r="BK46" s="85">
        <f t="shared" ca="1" si="64"/>
        <v>172.29723242664369</v>
      </c>
      <c r="BL46" s="85">
        <f t="shared" ca="1" si="65"/>
        <v>176.39669025830082</v>
      </c>
      <c r="BM46" s="85">
        <f t="shared" ca="1" si="66"/>
        <v>159.23570783187006</v>
      </c>
      <c r="BN46" s="85">
        <f t="shared" ca="1" si="3"/>
        <v>166.28238484030493</v>
      </c>
      <c r="BO46" s="85">
        <f t="shared" ca="1" si="92"/>
        <v>171.16977774772988</v>
      </c>
      <c r="BP46" s="85">
        <f t="shared" ca="1" si="93"/>
        <v>161.8687538001557</v>
      </c>
      <c r="BQ46" s="85">
        <f t="shared" ca="1" si="94"/>
        <v>164.71834162232918</v>
      </c>
      <c r="BR46" s="85">
        <f t="shared" ca="1" si="95"/>
        <v>162.97949938283313</v>
      </c>
      <c r="BS46" s="85">
        <f t="shared" ca="1" si="96"/>
        <v>175.33490679552503</v>
      </c>
      <c r="BT46" s="85">
        <f t="shared" ca="1" si="97"/>
        <v>175.8536814042252</v>
      </c>
      <c r="BU46" s="85">
        <f t="shared" ca="1" si="98"/>
        <v>179.36302264578578</v>
      </c>
      <c r="BV46" s="85">
        <f t="shared" ca="1" si="99"/>
        <v>172.14941864970675</v>
      </c>
      <c r="BW46" s="85">
        <f t="shared" ca="1" si="100"/>
        <v>180.28039254508704</v>
      </c>
      <c r="BX46" s="85">
        <f t="shared" ca="1" si="101"/>
        <v>179.00555136716127</v>
      </c>
      <c r="BY46" s="85">
        <f t="shared" ca="1" si="67"/>
        <v>179.59494139254639</v>
      </c>
      <c r="BZ46" s="85">
        <f t="shared" ca="1" si="68"/>
        <v>184.00341887323495</v>
      </c>
      <c r="CA46" s="85">
        <f t="shared" ca="1" si="69"/>
        <v>170.38571635693881</v>
      </c>
      <c r="CB46" s="85">
        <f t="shared" ca="1" si="70"/>
        <v>171.89193181778015</v>
      </c>
      <c r="CC46" s="85">
        <f t="shared" ca="1" si="71"/>
        <v>178.01430574424302</v>
      </c>
      <c r="CD46" s="85">
        <f t="shared" ca="1" si="72"/>
        <v>173.67100260506979</v>
      </c>
      <c r="CE46" s="85">
        <f t="shared" ca="1" si="73"/>
        <v>161.59941065993453</v>
      </c>
      <c r="CF46" s="85">
        <f t="shared" ca="1" si="74"/>
        <v>174.64092082895971</v>
      </c>
      <c r="CG46" s="85">
        <f t="shared" ca="1" si="75"/>
        <v>164.38340723441453</v>
      </c>
      <c r="CH46" s="85">
        <f t="shared" ca="1" si="76"/>
        <v>182.41033950475102</v>
      </c>
      <c r="CI46" s="85">
        <f t="shared" ca="1" si="77"/>
        <v>171.59851732331592</v>
      </c>
      <c r="CJ46" s="85">
        <f t="shared" ca="1" si="78"/>
        <v>161.11987368882313</v>
      </c>
      <c r="CK46" s="85">
        <f t="shared" ca="1" si="79"/>
        <v>159.38874072308514</v>
      </c>
      <c r="CL46" s="85">
        <f t="shared" ca="1" si="80"/>
        <v>158.58416389342429</v>
      </c>
      <c r="CM46" s="85">
        <f t="shared" ca="1" si="81"/>
        <v>172.05447720574972</v>
      </c>
      <c r="CN46" s="85">
        <f t="shared" ca="1" si="82"/>
        <v>168.72574029243037</v>
      </c>
      <c r="CO46" s="85">
        <f t="shared" ca="1" si="83"/>
        <v>163.21340508725842</v>
      </c>
      <c r="CP46" s="85">
        <f t="shared" ca="1" si="84"/>
        <v>193.50787272541834</v>
      </c>
      <c r="CQ46" s="85">
        <f t="shared" ca="1" si="85"/>
        <v>180.98744455171723</v>
      </c>
      <c r="CR46" s="85">
        <f t="shared" ca="1" si="86"/>
        <v>177.05123173660297</v>
      </c>
      <c r="CS46" s="85">
        <f t="shared" ca="1" si="87"/>
        <v>164.16891740924001</v>
      </c>
      <c r="CT46" s="85">
        <f t="shared" ca="1" si="88"/>
        <v>174.66450823709292</v>
      </c>
      <c r="CU46" s="85">
        <f t="shared" ca="1" si="89"/>
        <v>182.84021973359117</v>
      </c>
      <c r="CV46" s="85">
        <f t="shared" ca="1" si="90"/>
        <v>167.69743246381913</v>
      </c>
      <c r="CW46" s="85">
        <f t="shared" ca="1" si="91"/>
        <v>167.1920506082341</v>
      </c>
    </row>
    <row r="47" spans="1:101" x14ac:dyDescent="0.2">
      <c r="A47" s="115">
        <v>44</v>
      </c>
      <c r="B47" s="85">
        <f t="shared" ca="1" si="2"/>
        <v>166.45072014955494</v>
      </c>
      <c r="C47" s="85">
        <f t="shared" ca="1" si="4"/>
        <v>171.91326148831533</v>
      </c>
      <c r="D47" s="85">
        <f t="shared" ca="1" si="5"/>
        <v>175.26418800293322</v>
      </c>
      <c r="E47" s="85">
        <f t="shared" ca="1" si="6"/>
        <v>167.57902477602073</v>
      </c>
      <c r="F47" s="85">
        <f t="shared" ca="1" si="7"/>
        <v>177.06644318285416</v>
      </c>
      <c r="G47" s="85">
        <f t="shared" ca="1" si="8"/>
        <v>170.36217195961703</v>
      </c>
      <c r="H47" s="85">
        <f t="shared" ca="1" si="9"/>
        <v>167.10031620044325</v>
      </c>
      <c r="I47" s="85">
        <f t="shared" ca="1" si="10"/>
        <v>168.47124085509543</v>
      </c>
      <c r="J47" s="85">
        <f t="shared" ca="1" si="11"/>
        <v>165.59213539485643</v>
      </c>
      <c r="K47" s="85">
        <f t="shared" ca="1" si="12"/>
        <v>156.77069225519227</v>
      </c>
      <c r="L47" s="85">
        <f t="shared" ca="1" si="13"/>
        <v>177.25243509066223</v>
      </c>
      <c r="M47" s="85">
        <f t="shared" ca="1" si="14"/>
        <v>162.09515442433056</v>
      </c>
      <c r="N47" s="85">
        <f t="shared" ca="1" si="15"/>
        <v>179.1626544279296</v>
      </c>
      <c r="O47" s="85">
        <f t="shared" ca="1" si="16"/>
        <v>172.38334765756514</v>
      </c>
      <c r="P47" s="85">
        <f t="shared" ca="1" si="17"/>
        <v>167.22007150799283</v>
      </c>
      <c r="Q47" s="85">
        <f t="shared" ca="1" si="18"/>
        <v>185.39666601582218</v>
      </c>
      <c r="R47" s="85">
        <f t="shared" ca="1" si="19"/>
        <v>168.34349845133397</v>
      </c>
      <c r="S47" s="85">
        <f t="shared" ca="1" si="20"/>
        <v>173.73644652458165</v>
      </c>
      <c r="T47" s="85">
        <f t="shared" ca="1" si="21"/>
        <v>182.32604298861651</v>
      </c>
      <c r="U47" s="85">
        <f t="shared" ca="1" si="22"/>
        <v>157.80495175898358</v>
      </c>
      <c r="V47" s="85">
        <f t="shared" ca="1" si="23"/>
        <v>183.23878414582663</v>
      </c>
      <c r="W47" s="85">
        <f t="shared" ca="1" si="24"/>
        <v>174.38199290309069</v>
      </c>
      <c r="X47" s="85">
        <f t="shared" ca="1" si="25"/>
        <v>176.65237441208066</v>
      </c>
      <c r="Y47" s="85">
        <f t="shared" ca="1" si="26"/>
        <v>167.5322314506285</v>
      </c>
      <c r="Z47" s="85">
        <f t="shared" ca="1" si="27"/>
        <v>171.53002885118889</v>
      </c>
      <c r="AA47" s="85">
        <f t="shared" ca="1" si="28"/>
        <v>156.20624809613454</v>
      </c>
      <c r="AB47" s="85">
        <f t="shared" ca="1" si="29"/>
        <v>180.97151532725533</v>
      </c>
      <c r="AC47" s="85">
        <f t="shared" ca="1" si="30"/>
        <v>167.67591551373584</v>
      </c>
      <c r="AD47" s="85">
        <f t="shared" ca="1" si="31"/>
        <v>185.71770413601431</v>
      </c>
      <c r="AE47" s="85">
        <f t="shared" ca="1" si="32"/>
        <v>189.25872205314224</v>
      </c>
      <c r="AF47" s="85">
        <f t="shared" ca="1" si="33"/>
        <v>180.65170000665884</v>
      </c>
      <c r="AG47" s="85">
        <f t="shared" ca="1" si="34"/>
        <v>176.70182777442767</v>
      </c>
      <c r="AH47" s="85">
        <f t="shared" ca="1" si="35"/>
        <v>174.92034041203908</v>
      </c>
      <c r="AI47" s="85">
        <f t="shared" ca="1" si="36"/>
        <v>174.52776385732921</v>
      </c>
      <c r="AJ47" s="85">
        <f t="shared" ca="1" si="37"/>
        <v>183.81061005630855</v>
      </c>
      <c r="AK47" s="85">
        <f t="shared" ca="1" si="38"/>
        <v>174.07000322367583</v>
      </c>
      <c r="AL47" s="85">
        <f t="shared" ca="1" si="39"/>
        <v>180.00071671784207</v>
      </c>
      <c r="AM47" s="85">
        <f t="shared" ca="1" si="40"/>
        <v>164.90369739452461</v>
      </c>
      <c r="AN47" s="85">
        <f t="shared" ca="1" si="41"/>
        <v>176.8913461380354</v>
      </c>
      <c r="AO47" s="85">
        <f t="shared" ca="1" si="42"/>
        <v>171.97239253293347</v>
      </c>
      <c r="AP47" s="85">
        <f t="shared" ca="1" si="43"/>
        <v>187.79113742301482</v>
      </c>
      <c r="AQ47" s="85">
        <f t="shared" ca="1" si="44"/>
        <v>165.57867919716008</v>
      </c>
      <c r="AR47" s="85">
        <f t="shared" ca="1" si="45"/>
        <v>177.87504849199613</v>
      </c>
      <c r="AS47" s="85">
        <f t="shared" ca="1" si="46"/>
        <v>170.67387479457989</v>
      </c>
      <c r="AT47" s="85">
        <f t="shared" ca="1" si="47"/>
        <v>182.43803835514726</v>
      </c>
      <c r="AU47" s="85">
        <f t="shared" ca="1" si="48"/>
        <v>176.3562285712361</v>
      </c>
      <c r="AV47" s="85">
        <f t="shared" ca="1" si="49"/>
        <v>183.78158392488456</v>
      </c>
      <c r="AW47" s="85">
        <f t="shared" ca="1" si="50"/>
        <v>178.37663623983858</v>
      </c>
      <c r="AX47" s="85">
        <f t="shared" ca="1" si="51"/>
        <v>190.02317853803183</v>
      </c>
      <c r="AY47" s="85">
        <f t="shared" ca="1" si="52"/>
        <v>186.03807234091838</v>
      </c>
      <c r="AZ47" s="85">
        <f t="shared" ca="1" si="53"/>
        <v>165.36334845009407</v>
      </c>
      <c r="BA47" s="85">
        <f t="shared" ca="1" si="54"/>
        <v>183.91020770783391</v>
      </c>
      <c r="BB47" s="85">
        <f t="shared" ca="1" si="55"/>
        <v>161.30334220488098</v>
      </c>
      <c r="BC47" s="85">
        <f t="shared" ca="1" si="56"/>
        <v>176.65974400590639</v>
      </c>
      <c r="BD47" s="85">
        <f t="shared" ca="1" si="57"/>
        <v>177.77265358171965</v>
      </c>
      <c r="BE47" s="85">
        <f t="shared" ca="1" si="58"/>
        <v>168.28751174214662</v>
      </c>
      <c r="BF47" s="85">
        <f t="shared" ca="1" si="59"/>
        <v>177.22354186859033</v>
      </c>
      <c r="BG47" s="85">
        <f t="shared" ca="1" si="60"/>
        <v>169.01138899932752</v>
      </c>
      <c r="BH47" s="85">
        <f t="shared" ca="1" si="61"/>
        <v>177.13326647767673</v>
      </c>
      <c r="BI47" s="85">
        <f t="shared" ca="1" si="62"/>
        <v>174.25079419702666</v>
      </c>
      <c r="BJ47" s="85">
        <f t="shared" ca="1" si="63"/>
        <v>185.76532967045497</v>
      </c>
      <c r="BK47" s="85">
        <f t="shared" ca="1" si="64"/>
        <v>174.05813132868954</v>
      </c>
      <c r="BL47" s="85">
        <f t="shared" ca="1" si="65"/>
        <v>177.87021126885949</v>
      </c>
      <c r="BM47" s="85">
        <f t="shared" ca="1" si="66"/>
        <v>163.24966876304802</v>
      </c>
      <c r="BN47" s="85">
        <f t="shared" ca="1" si="3"/>
        <v>168.44962119785765</v>
      </c>
      <c r="BO47" s="85">
        <f t="shared" ca="1" si="92"/>
        <v>174.78467164756302</v>
      </c>
      <c r="BP47" s="85">
        <f t="shared" ca="1" si="93"/>
        <v>162.62170571803387</v>
      </c>
      <c r="BQ47" s="85">
        <f t="shared" ca="1" si="94"/>
        <v>169.26568774032424</v>
      </c>
      <c r="BR47" s="85">
        <f t="shared" ca="1" si="95"/>
        <v>164.78657655784053</v>
      </c>
      <c r="BS47" s="85">
        <f t="shared" ca="1" si="96"/>
        <v>177.26487520161967</v>
      </c>
      <c r="BT47" s="85">
        <f t="shared" ca="1" si="97"/>
        <v>179.20742618738973</v>
      </c>
      <c r="BU47" s="85">
        <f t="shared" ca="1" si="98"/>
        <v>182.51238388910048</v>
      </c>
      <c r="BV47" s="85">
        <f t="shared" ca="1" si="99"/>
        <v>174.01742529999206</v>
      </c>
      <c r="BW47" s="85">
        <f t="shared" ca="1" si="100"/>
        <v>181.01776483425928</v>
      </c>
      <c r="BX47" s="85">
        <f t="shared" ca="1" si="101"/>
        <v>179.60247171315399</v>
      </c>
      <c r="BY47" s="85">
        <f t="shared" ca="1" si="67"/>
        <v>179.76937735228248</v>
      </c>
      <c r="BZ47" s="85">
        <f t="shared" ca="1" si="68"/>
        <v>186.73842675340106</v>
      </c>
      <c r="CA47" s="85">
        <f t="shared" ca="1" si="69"/>
        <v>173.88867331501197</v>
      </c>
      <c r="CB47" s="85">
        <f t="shared" ca="1" si="70"/>
        <v>174.38753683272159</v>
      </c>
      <c r="CC47" s="85">
        <f t="shared" ca="1" si="71"/>
        <v>179.90514825194856</v>
      </c>
      <c r="CD47" s="85">
        <f t="shared" ca="1" si="72"/>
        <v>174.52396700716258</v>
      </c>
      <c r="CE47" s="85">
        <f t="shared" ca="1" si="73"/>
        <v>164.57165315647839</v>
      </c>
      <c r="CF47" s="85">
        <f t="shared" ca="1" si="74"/>
        <v>177.28907565701479</v>
      </c>
      <c r="CG47" s="85">
        <f t="shared" ca="1" si="75"/>
        <v>167.26272833053972</v>
      </c>
      <c r="CH47" s="85">
        <f t="shared" ca="1" si="76"/>
        <v>186.28494859492545</v>
      </c>
      <c r="CI47" s="85">
        <f t="shared" ca="1" si="77"/>
        <v>173.15464489370842</v>
      </c>
      <c r="CJ47" s="85">
        <f t="shared" ca="1" si="78"/>
        <v>163.38076852377961</v>
      </c>
      <c r="CK47" s="85">
        <f t="shared" ca="1" si="79"/>
        <v>163.26276276909229</v>
      </c>
      <c r="CL47" s="85">
        <f t="shared" ca="1" si="80"/>
        <v>161.23241743134071</v>
      </c>
      <c r="CM47" s="85">
        <f t="shared" ca="1" si="81"/>
        <v>174.57706501960746</v>
      </c>
      <c r="CN47" s="85">
        <f t="shared" ca="1" si="82"/>
        <v>170.55285527434344</v>
      </c>
      <c r="CO47" s="85">
        <f t="shared" ca="1" si="83"/>
        <v>165.70040689424425</v>
      </c>
      <c r="CP47" s="85">
        <f t="shared" ca="1" si="84"/>
        <v>195.62335111861492</v>
      </c>
      <c r="CQ47" s="85">
        <f t="shared" ca="1" si="85"/>
        <v>184.41891690503789</v>
      </c>
      <c r="CR47" s="85">
        <f t="shared" ca="1" si="86"/>
        <v>177.6750456082932</v>
      </c>
      <c r="CS47" s="85">
        <f t="shared" ca="1" si="87"/>
        <v>167.85981484631736</v>
      </c>
      <c r="CT47" s="85">
        <f t="shared" ca="1" si="88"/>
        <v>176.0686319887221</v>
      </c>
      <c r="CU47" s="85">
        <f t="shared" ca="1" si="89"/>
        <v>186.76120546544522</v>
      </c>
      <c r="CV47" s="85">
        <f t="shared" ca="1" si="90"/>
        <v>170.22708224601587</v>
      </c>
      <c r="CW47" s="85">
        <f t="shared" ca="1" si="91"/>
        <v>169.19162352822292</v>
      </c>
    </row>
    <row r="48" spans="1:101" x14ac:dyDescent="0.2">
      <c r="A48" s="115">
        <v>45</v>
      </c>
      <c r="B48" s="85">
        <f t="shared" ca="1" si="2"/>
        <v>168.82996993411913</v>
      </c>
      <c r="C48" s="85">
        <f t="shared" ca="1" si="4"/>
        <v>173.68967669068672</v>
      </c>
      <c r="D48" s="85">
        <f t="shared" ca="1" si="5"/>
        <v>176.50650387189373</v>
      </c>
      <c r="E48" s="85">
        <f t="shared" ca="1" si="6"/>
        <v>172.5529321540306</v>
      </c>
      <c r="F48" s="85">
        <f t="shared" ca="1" si="7"/>
        <v>177.63375503623109</v>
      </c>
      <c r="G48" s="85">
        <f t="shared" ca="1" si="8"/>
        <v>171.60896989513441</v>
      </c>
      <c r="H48" s="85">
        <f t="shared" ca="1" si="9"/>
        <v>169.73891347072225</v>
      </c>
      <c r="I48" s="85">
        <f t="shared" ca="1" si="10"/>
        <v>170.49162937943683</v>
      </c>
      <c r="J48" s="85">
        <f t="shared" ca="1" si="11"/>
        <v>167.6082209478059</v>
      </c>
      <c r="K48" s="85">
        <f t="shared" ca="1" si="12"/>
        <v>158.49938801750824</v>
      </c>
      <c r="L48" s="85">
        <f t="shared" ca="1" si="13"/>
        <v>180.36459021980454</v>
      </c>
      <c r="M48" s="85">
        <f t="shared" ca="1" si="14"/>
        <v>164.10100682374954</v>
      </c>
      <c r="N48" s="85">
        <f t="shared" ca="1" si="15"/>
        <v>180.25700411097486</v>
      </c>
      <c r="O48" s="85">
        <f t="shared" ca="1" si="16"/>
        <v>175.92454916012517</v>
      </c>
      <c r="P48" s="85">
        <f t="shared" ca="1" si="17"/>
        <v>170.47828043609005</v>
      </c>
      <c r="Q48" s="85">
        <f t="shared" ca="1" si="18"/>
        <v>187.9588428056264</v>
      </c>
      <c r="R48" s="85">
        <f t="shared" ca="1" si="19"/>
        <v>171.0992782336846</v>
      </c>
      <c r="S48" s="85">
        <f t="shared" ca="1" si="20"/>
        <v>177.57976544408405</v>
      </c>
      <c r="T48" s="85">
        <f t="shared" ca="1" si="21"/>
        <v>184.12065370090733</v>
      </c>
      <c r="U48" s="85">
        <f t="shared" ca="1" si="22"/>
        <v>158.51702617176832</v>
      </c>
      <c r="V48" s="85">
        <f t="shared" ca="1" si="23"/>
        <v>185.1893147414745</v>
      </c>
      <c r="W48" s="85">
        <f t="shared" ca="1" si="24"/>
        <v>177.17557857185651</v>
      </c>
      <c r="X48" s="85">
        <f t="shared" ca="1" si="25"/>
        <v>179.06779402940813</v>
      </c>
      <c r="Y48" s="85">
        <f t="shared" ca="1" si="26"/>
        <v>168.82598880463115</v>
      </c>
      <c r="Z48" s="85">
        <f t="shared" ca="1" si="27"/>
        <v>174.48661107624505</v>
      </c>
      <c r="AA48" s="85">
        <f t="shared" ca="1" si="28"/>
        <v>158.74486884841554</v>
      </c>
      <c r="AB48" s="85">
        <f t="shared" ca="1" si="29"/>
        <v>182.73098039141613</v>
      </c>
      <c r="AC48" s="85">
        <f t="shared" ca="1" si="30"/>
        <v>171.03969123247228</v>
      </c>
      <c r="AD48" s="85">
        <f t="shared" ca="1" si="31"/>
        <v>187.70208972033473</v>
      </c>
      <c r="AE48" s="85">
        <f t="shared" ca="1" si="32"/>
        <v>191.74854887714477</v>
      </c>
      <c r="AF48" s="85">
        <f t="shared" ca="1" si="33"/>
        <v>181.79454363254882</v>
      </c>
      <c r="AG48" s="85">
        <f t="shared" ca="1" si="34"/>
        <v>177.52811333370383</v>
      </c>
      <c r="AH48" s="85">
        <f t="shared" ca="1" si="35"/>
        <v>177.5038951757235</v>
      </c>
      <c r="AI48" s="85">
        <f t="shared" ca="1" si="36"/>
        <v>178.83864415759859</v>
      </c>
      <c r="AJ48" s="85">
        <f t="shared" ca="1" si="37"/>
        <v>187.25793153385024</v>
      </c>
      <c r="AK48" s="85">
        <f t="shared" ca="1" si="38"/>
        <v>175.71010755105473</v>
      </c>
      <c r="AL48" s="85">
        <f t="shared" ca="1" si="39"/>
        <v>181.29044756619336</v>
      </c>
      <c r="AM48" s="85">
        <f t="shared" ca="1" si="40"/>
        <v>169.00298653636671</v>
      </c>
      <c r="AN48" s="85">
        <f t="shared" ca="1" si="41"/>
        <v>180.64655931359326</v>
      </c>
      <c r="AO48" s="85">
        <f t="shared" ca="1" si="42"/>
        <v>174.81913352238902</v>
      </c>
      <c r="AP48" s="85">
        <f t="shared" ca="1" si="43"/>
        <v>190.32505970988379</v>
      </c>
      <c r="AQ48" s="85">
        <f t="shared" ca="1" si="44"/>
        <v>168.55156250681645</v>
      </c>
      <c r="AR48" s="85">
        <f t="shared" ca="1" si="45"/>
        <v>180.79750615714627</v>
      </c>
      <c r="AS48" s="85">
        <f t="shared" ca="1" si="46"/>
        <v>169.80116175372154</v>
      </c>
      <c r="AT48" s="85">
        <f t="shared" ca="1" si="47"/>
        <v>184.10803712218873</v>
      </c>
      <c r="AU48" s="85">
        <f t="shared" ca="1" si="48"/>
        <v>176.89906127325114</v>
      </c>
      <c r="AV48" s="85">
        <f t="shared" ca="1" si="49"/>
        <v>187.21009710452526</v>
      </c>
      <c r="AW48" s="85">
        <f t="shared" ca="1" si="50"/>
        <v>177.35829838208178</v>
      </c>
      <c r="AX48" s="85">
        <f t="shared" ca="1" si="51"/>
        <v>193.90554088544289</v>
      </c>
      <c r="AY48" s="85">
        <f t="shared" ca="1" si="52"/>
        <v>188.73967901551532</v>
      </c>
      <c r="AZ48" s="85">
        <f t="shared" ca="1" si="53"/>
        <v>167.55140130856125</v>
      </c>
      <c r="BA48" s="85">
        <f t="shared" ca="1" si="54"/>
        <v>187.58615185291097</v>
      </c>
      <c r="BB48" s="85">
        <f t="shared" ca="1" si="55"/>
        <v>163.74504248795603</v>
      </c>
      <c r="BC48" s="85">
        <f t="shared" ca="1" si="56"/>
        <v>178.87748066270572</v>
      </c>
      <c r="BD48" s="85">
        <f t="shared" ca="1" si="57"/>
        <v>179.25079630678232</v>
      </c>
      <c r="BE48" s="85">
        <f t="shared" ca="1" si="58"/>
        <v>170.14643763071734</v>
      </c>
      <c r="BF48" s="85">
        <f t="shared" ca="1" si="59"/>
        <v>179.28041398925595</v>
      </c>
      <c r="BG48" s="85">
        <f t="shared" ca="1" si="60"/>
        <v>171.27475990231537</v>
      </c>
      <c r="BH48" s="85">
        <f t="shared" ca="1" si="61"/>
        <v>180.84266562373023</v>
      </c>
      <c r="BI48" s="85">
        <f t="shared" ca="1" si="62"/>
        <v>176.96026898357101</v>
      </c>
      <c r="BJ48" s="85">
        <f t="shared" ca="1" si="63"/>
        <v>189.32004551361192</v>
      </c>
      <c r="BK48" s="85">
        <f t="shared" ca="1" si="64"/>
        <v>175.60499738044481</v>
      </c>
      <c r="BL48" s="85">
        <f t="shared" ca="1" si="65"/>
        <v>180.47867803937768</v>
      </c>
      <c r="BM48" s="85">
        <f t="shared" ca="1" si="66"/>
        <v>166.40884649060459</v>
      </c>
      <c r="BN48" s="85">
        <f t="shared" ca="1" si="3"/>
        <v>169.46677829665268</v>
      </c>
      <c r="BO48" s="85">
        <f t="shared" ca="1" si="92"/>
        <v>177.19346257547974</v>
      </c>
      <c r="BP48" s="85">
        <f t="shared" ca="1" si="93"/>
        <v>163.73398656708778</v>
      </c>
      <c r="BQ48" s="85">
        <f t="shared" ca="1" si="94"/>
        <v>170.96523604727898</v>
      </c>
      <c r="BR48" s="85">
        <f t="shared" ca="1" si="95"/>
        <v>166.86538194003921</v>
      </c>
      <c r="BS48" s="85">
        <f t="shared" ca="1" si="96"/>
        <v>178.28459922385665</v>
      </c>
      <c r="BT48" s="85">
        <f t="shared" ca="1" si="97"/>
        <v>181.51191217494573</v>
      </c>
      <c r="BU48" s="85">
        <f t="shared" ca="1" si="98"/>
        <v>185.44111224018218</v>
      </c>
      <c r="BV48" s="85">
        <f t="shared" ca="1" si="99"/>
        <v>173.75520066243945</v>
      </c>
      <c r="BW48" s="85">
        <f t="shared" ca="1" si="100"/>
        <v>183.40474396055828</v>
      </c>
      <c r="BX48" s="85">
        <f t="shared" ca="1" si="101"/>
        <v>181.42648172108275</v>
      </c>
      <c r="BY48" s="85">
        <f t="shared" ca="1" si="67"/>
        <v>180.96877136518296</v>
      </c>
      <c r="BZ48" s="85">
        <f t="shared" ca="1" si="68"/>
        <v>188.30853037344656</v>
      </c>
      <c r="CA48" s="85">
        <f t="shared" ca="1" si="69"/>
        <v>176.40757199942891</v>
      </c>
      <c r="CB48" s="85">
        <f t="shared" ca="1" si="70"/>
        <v>175.58345785492077</v>
      </c>
      <c r="CC48" s="85">
        <f t="shared" ca="1" si="71"/>
        <v>180.80364569125553</v>
      </c>
      <c r="CD48" s="85">
        <f t="shared" ca="1" si="72"/>
        <v>176.93480531831563</v>
      </c>
      <c r="CE48" s="85">
        <f t="shared" ca="1" si="73"/>
        <v>167.83460659762139</v>
      </c>
      <c r="CF48" s="85">
        <f t="shared" ca="1" si="74"/>
        <v>180.76560293118015</v>
      </c>
      <c r="CG48" s="85">
        <f t="shared" ca="1" si="75"/>
        <v>168.4551884843988</v>
      </c>
      <c r="CH48" s="85">
        <f t="shared" ca="1" si="76"/>
        <v>188.41417280219059</v>
      </c>
      <c r="CI48" s="85">
        <f t="shared" ca="1" si="77"/>
        <v>173.47546617753537</v>
      </c>
      <c r="CJ48" s="85">
        <f t="shared" ca="1" si="78"/>
        <v>167.33088822413222</v>
      </c>
      <c r="CK48" s="85">
        <f t="shared" ca="1" si="79"/>
        <v>165.5268360330958</v>
      </c>
      <c r="CL48" s="85">
        <f t="shared" ca="1" si="80"/>
        <v>162.83416328858036</v>
      </c>
      <c r="CM48" s="85">
        <f t="shared" ca="1" si="81"/>
        <v>176.11375333131249</v>
      </c>
      <c r="CN48" s="85">
        <f t="shared" ca="1" si="82"/>
        <v>172.68561093556966</v>
      </c>
      <c r="CO48" s="85">
        <f t="shared" ca="1" si="83"/>
        <v>169.08802694869468</v>
      </c>
      <c r="CP48" s="85">
        <f t="shared" ca="1" si="84"/>
        <v>197.45353270773174</v>
      </c>
      <c r="CQ48" s="85">
        <f t="shared" ca="1" si="85"/>
        <v>185.84058148712236</v>
      </c>
      <c r="CR48" s="85">
        <f t="shared" ca="1" si="86"/>
        <v>181.91420708835284</v>
      </c>
      <c r="CS48" s="85">
        <f t="shared" ca="1" si="87"/>
        <v>170.5531804988708</v>
      </c>
      <c r="CT48" s="85">
        <f t="shared" ca="1" si="88"/>
        <v>176.85971058562885</v>
      </c>
      <c r="CU48" s="85">
        <f t="shared" ca="1" si="89"/>
        <v>189.38676033900651</v>
      </c>
      <c r="CV48" s="85">
        <f t="shared" ca="1" si="90"/>
        <v>172.25675018314053</v>
      </c>
      <c r="CW48" s="85">
        <f t="shared" ca="1" si="91"/>
        <v>171.89993512213144</v>
      </c>
    </row>
    <row r="49" spans="1:101" x14ac:dyDescent="0.2">
      <c r="A49" s="115">
        <v>46</v>
      </c>
      <c r="B49" s="85">
        <f t="shared" ca="1" si="2"/>
        <v>171.51756285187619</v>
      </c>
      <c r="C49" s="85">
        <f t="shared" ca="1" si="4"/>
        <v>175.24491906008922</v>
      </c>
      <c r="D49" s="85">
        <f t="shared" ca="1" si="5"/>
        <v>179.58578665366738</v>
      </c>
      <c r="E49" s="85">
        <f t="shared" ca="1" si="6"/>
        <v>174.3264454505746</v>
      </c>
      <c r="F49" s="85">
        <f t="shared" ca="1" si="7"/>
        <v>179.09935371004178</v>
      </c>
      <c r="G49" s="85">
        <f t="shared" ca="1" si="8"/>
        <v>172.65191513514387</v>
      </c>
      <c r="H49" s="85">
        <f t="shared" ca="1" si="9"/>
        <v>170.57300691200552</v>
      </c>
      <c r="I49" s="85">
        <f t="shared" ca="1" si="10"/>
        <v>171.82138709325775</v>
      </c>
      <c r="J49" s="85">
        <f t="shared" ca="1" si="11"/>
        <v>167.62141179672287</v>
      </c>
      <c r="K49" s="85">
        <f t="shared" ca="1" si="12"/>
        <v>162.16988367212986</v>
      </c>
      <c r="L49" s="85">
        <f t="shared" ca="1" si="13"/>
        <v>181.9393081494641</v>
      </c>
      <c r="M49" s="85">
        <f t="shared" ca="1" si="14"/>
        <v>165.4460781237762</v>
      </c>
      <c r="N49" s="85">
        <f t="shared" ca="1" si="15"/>
        <v>183.97915664460228</v>
      </c>
      <c r="O49" s="85">
        <f t="shared" ca="1" si="16"/>
        <v>177.70640999783996</v>
      </c>
      <c r="P49" s="85">
        <f t="shared" ca="1" si="17"/>
        <v>173.0435130070411</v>
      </c>
      <c r="Q49" s="85">
        <f t="shared" ca="1" si="18"/>
        <v>191.87034477110305</v>
      </c>
      <c r="R49" s="85">
        <f t="shared" ca="1" si="19"/>
        <v>174.51777632583224</v>
      </c>
      <c r="S49" s="85">
        <f t="shared" ca="1" si="20"/>
        <v>177.57613849369298</v>
      </c>
      <c r="T49" s="85">
        <f t="shared" ca="1" si="21"/>
        <v>184.50544639934054</v>
      </c>
      <c r="U49" s="85">
        <f t="shared" ca="1" si="22"/>
        <v>160.47786896596918</v>
      </c>
      <c r="V49" s="85">
        <f t="shared" ca="1" si="23"/>
        <v>187.00556767959813</v>
      </c>
      <c r="W49" s="85">
        <f t="shared" ca="1" si="24"/>
        <v>179.81058547876361</v>
      </c>
      <c r="X49" s="85">
        <f t="shared" ca="1" si="25"/>
        <v>179.28700445810929</v>
      </c>
      <c r="Y49" s="85">
        <f t="shared" ca="1" si="26"/>
        <v>171.03885547507031</v>
      </c>
      <c r="Z49" s="85">
        <f t="shared" ca="1" si="27"/>
        <v>174.24766130947356</v>
      </c>
      <c r="AA49" s="85">
        <f t="shared" ca="1" si="28"/>
        <v>160.07248159264819</v>
      </c>
      <c r="AB49" s="85">
        <f t="shared" ca="1" si="29"/>
        <v>185.51576505593175</v>
      </c>
      <c r="AC49" s="85">
        <f t="shared" ca="1" si="30"/>
        <v>174.68248287037196</v>
      </c>
      <c r="AD49" s="85">
        <f t="shared" ca="1" si="31"/>
        <v>189.16262761389117</v>
      </c>
      <c r="AE49" s="85">
        <f t="shared" ca="1" si="32"/>
        <v>194.93037957684837</v>
      </c>
      <c r="AF49" s="85">
        <f t="shared" ca="1" si="33"/>
        <v>183.86550582557021</v>
      </c>
      <c r="AG49" s="85">
        <f t="shared" ca="1" si="34"/>
        <v>177.73579739469417</v>
      </c>
      <c r="AH49" s="85">
        <f t="shared" ca="1" si="35"/>
        <v>180.27054187264079</v>
      </c>
      <c r="AI49" s="85">
        <f t="shared" ca="1" si="36"/>
        <v>181.51741689384301</v>
      </c>
      <c r="AJ49" s="85">
        <f t="shared" ca="1" si="37"/>
        <v>191.82223562310355</v>
      </c>
      <c r="AK49" s="85">
        <f t="shared" ca="1" si="38"/>
        <v>179.67806648912929</v>
      </c>
      <c r="AL49" s="85">
        <f t="shared" ca="1" si="39"/>
        <v>181.89881661747395</v>
      </c>
      <c r="AM49" s="85">
        <f t="shared" ca="1" si="40"/>
        <v>171.43627049695749</v>
      </c>
      <c r="AN49" s="85">
        <f t="shared" ca="1" si="41"/>
        <v>183.48290443887004</v>
      </c>
      <c r="AO49" s="85">
        <f t="shared" ca="1" si="42"/>
        <v>176.15009033021468</v>
      </c>
      <c r="AP49" s="85">
        <f t="shared" ca="1" si="43"/>
        <v>193.39924294121869</v>
      </c>
      <c r="AQ49" s="85">
        <f t="shared" ca="1" si="44"/>
        <v>170.60334208885851</v>
      </c>
      <c r="AR49" s="85">
        <f t="shared" ca="1" si="45"/>
        <v>183.02875862231181</v>
      </c>
      <c r="AS49" s="85">
        <f t="shared" ca="1" si="46"/>
        <v>173.31509433479278</v>
      </c>
      <c r="AT49" s="85">
        <f t="shared" ca="1" si="47"/>
        <v>187.1066315798563</v>
      </c>
      <c r="AU49" s="85">
        <f t="shared" ca="1" si="48"/>
        <v>179.09706111526103</v>
      </c>
      <c r="AV49" s="85">
        <f t="shared" ca="1" si="49"/>
        <v>190.33743947142099</v>
      </c>
      <c r="AW49" s="85">
        <f t="shared" ca="1" si="50"/>
        <v>178.73094597501529</v>
      </c>
      <c r="AX49" s="85">
        <f t="shared" ca="1" si="51"/>
        <v>193.51309658739035</v>
      </c>
      <c r="AY49" s="85">
        <f t="shared" ca="1" si="52"/>
        <v>190.439499472091</v>
      </c>
      <c r="AZ49" s="85">
        <f t="shared" ca="1" si="53"/>
        <v>169.54299900399349</v>
      </c>
      <c r="BA49" s="85">
        <f t="shared" ca="1" si="54"/>
        <v>189.74296602169542</v>
      </c>
      <c r="BB49" s="85">
        <f t="shared" ca="1" si="55"/>
        <v>167.07387600454621</v>
      </c>
      <c r="BC49" s="85">
        <f t="shared" ca="1" si="56"/>
        <v>182.81303570783615</v>
      </c>
      <c r="BD49" s="85">
        <f t="shared" ca="1" si="57"/>
        <v>182.46424887261941</v>
      </c>
      <c r="BE49" s="85">
        <f t="shared" ca="1" si="58"/>
        <v>173.45935919666579</v>
      </c>
      <c r="BF49" s="85">
        <f t="shared" ca="1" si="59"/>
        <v>183.25653844370291</v>
      </c>
      <c r="BG49" s="85">
        <f t="shared" ca="1" si="60"/>
        <v>173.45293617240796</v>
      </c>
      <c r="BH49" s="85">
        <f t="shared" ca="1" si="61"/>
        <v>181.16746445840408</v>
      </c>
      <c r="BI49" s="85">
        <f t="shared" ca="1" si="62"/>
        <v>180.90944492586041</v>
      </c>
      <c r="BJ49" s="85">
        <f t="shared" ca="1" si="63"/>
        <v>190.78226134512434</v>
      </c>
      <c r="BK49" s="85">
        <f t="shared" ca="1" si="64"/>
        <v>175.09795176282023</v>
      </c>
      <c r="BL49" s="85">
        <f t="shared" ca="1" si="65"/>
        <v>179.39860021790983</v>
      </c>
      <c r="BM49" s="85">
        <f t="shared" ca="1" si="66"/>
        <v>167.33010932867967</v>
      </c>
      <c r="BN49" s="85">
        <f t="shared" ca="1" si="3"/>
        <v>170.31735486411739</v>
      </c>
      <c r="BO49" s="85">
        <f t="shared" ca="1" si="92"/>
        <v>179.75099682702572</v>
      </c>
      <c r="BP49" s="85">
        <f t="shared" ca="1" si="93"/>
        <v>165.97077776232564</v>
      </c>
      <c r="BQ49" s="85">
        <f t="shared" ca="1" si="94"/>
        <v>170.30324619765702</v>
      </c>
      <c r="BR49" s="85">
        <f t="shared" ca="1" si="95"/>
        <v>169.80173006464847</v>
      </c>
      <c r="BS49" s="85">
        <f t="shared" ca="1" si="96"/>
        <v>181.90112954644033</v>
      </c>
      <c r="BT49" s="85">
        <f t="shared" ca="1" si="97"/>
        <v>182.70898904409432</v>
      </c>
      <c r="BU49" s="85">
        <f t="shared" ca="1" si="98"/>
        <v>187.98030633738469</v>
      </c>
      <c r="BV49" s="85">
        <f t="shared" ca="1" si="99"/>
        <v>178.22141644468448</v>
      </c>
      <c r="BW49" s="85">
        <f t="shared" ca="1" si="100"/>
        <v>187.8269344356591</v>
      </c>
      <c r="BX49" s="85">
        <f t="shared" ca="1" si="101"/>
        <v>184.90707315255844</v>
      </c>
      <c r="BY49" s="85">
        <f t="shared" ca="1" si="67"/>
        <v>184.18640801694303</v>
      </c>
      <c r="BZ49" s="85">
        <f t="shared" ca="1" si="68"/>
        <v>190.42723219241103</v>
      </c>
      <c r="CA49" s="85">
        <f t="shared" ca="1" si="69"/>
        <v>178.4707840517747</v>
      </c>
      <c r="CB49" s="85">
        <f t="shared" ca="1" si="70"/>
        <v>177.78259541845799</v>
      </c>
      <c r="CC49" s="85">
        <f t="shared" ca="1" si="71"/>
        <v>181.57196187365676</v>
      </c>
      <c r="CD49" s="85">
        <f t="shared" ca="1" si="72"/>
        <v>180.6320547377299</v>
      </c>
      <c r="CE49" s="85">
        <f t="shared" ca="1" si="73"/>
        <v>168.40870463771108</v>
      </c>
      <c r="CF49" s="85">
        <f t="shared" ca="1" si="74"/>
        <v>183.23740427444682</v>
      </c>
      <c r="CG49" s="85">
        <f t="shared" ca="1" si="75"/>
        <v>171.55101635705174</v>
      </c>
      <c r="CH49" s="85">
        <f t="shared" ca="1" si="76"/>
        <v>192.27158195090755</v>
      </c>
      <c r="CI49" s="85">
        <f t="shared" ca="1" si="77"/>
        <v>176.00065586112112</v>
      </c>
      <c r="CJ49" s="85">
        <f t="shared" ca="1" si="78"/>
        <v>170.76555483336679</v>
      </c>
      <c r="CK49" s="85">
        <f t="shared" ca="1" si="79"/>
        <v>166.68259318932564</v>
      </c>
      <c r="CL49" s="85">
        <f t="shared" ca="1" si="80"/>
        <v>163.14029736765238</v>
      </c>
      <c r="CM49" s="85">
        <f t="shared" ca="1" si="81"/>
        <v>181.56483665749371</v>
      </c>
      <c r="CN49" s="85">
        <f t="shared" ca="1" si="82"/>
        <v>174.17821082194666</v>
      </c>
      <c r="CO49" s="85">
        <f t="shared" ca="1" si="83"/>
        <v>170.9192102617929</v>
      </c>
      <c r="CP49" s="85">
        <f t="shared" ca="1" si="84"/>
        <v>200.30950860856575</v>
      </c>
      <c r="CQ49" s="85">
        <f t="shared" ca="1" si="85"/>
        <v>189.56569263694138</v>
      </c>
      <c r="CR49" s="85">
        <f t="shared" ca="1" si="86"/>
        <v>186.4596743103306</v>
      </c>
      <c r="CS49" s="85">
        <f t="shared" ca="1" si="87"/>
        <v>172.38689116779335</v>
      </c>
      <c r="CT49" s="85">
        <f t="shared" ca="1" si="88"/>
        <v>177.51510989870164</v>
      </c>
      <c r="CU49" s="85">
        <f t="shared" ca="1" si="89"/>
        <v>192.54157151819825</v>
      </c>
      <c r="CV49" s="85">
        <f t="shared" ca="1" si="90"/>
        <v>173.2960331720173</v>
      </c>
      <c r="CW49" s="85">
        <f t="shared" ca="1" si="91"/>
        <v>175.02747905906455</v>
      </c>
    </row>
    <row r="50" spans="1:101" x14ac:dyDescent="0.2">
      <c r="A50" s="115">
        <v>47</v>
      </c>
      <c r="B50" s="85">
        <f t="shared" ca="1" si="2"/>
        <v>174.50516043758907</v>
      </c>
      <c r="C50" s="85">
        <f t="shared" ca="1" si="4"/>
        <v>177.55769203895682</v>
      </c>
      <c r="D50" s="85">
        <f t="shared" ca="1" si="5"/>
        <v>181.68210973364157</v>
      </c>
      <c r="E50" s="85">
        <f t="shared" ca="1" si="6"/>
        <v>179.20908751235618</v>
      </c>
      <c r="F50" s="85">
        <f t="shared" ca="1" si="7"/>
        <v>182.76119759896216</v>
      </c>
      <c r="G50" s="85">
        <f t="shared" ca="1" si="8"/>
        <v>174.16305494866555</v>
      </c>
      <c r="H50" s="85">
        <f t="shared" ca="1" si="9"/>
        <v>171.27878625240788</v>
      </c>
      <c r="I50" s="85">
        <f t="shared" ca="1" si="10"/>
        <v>174.2961730415978</v>
      </c>
      <c r="J50" s="85">
        <f t="shared" ca="1" si="11"/>
        <v>169.1424162312781</v>
      </c>
      <c r="K50" s="85">
        <f t="shared" ca="1" si="12"/>
        <v>162.39740147676164</v>
      </c>
      <c r="L50" s="85">
        <f t="shared" ca="1" si="13"/>
        <v>183.47268791770477</v>
      </c>
      <c r="M50" s="85">
        <f t="shared" ca="1" si="14"/>
        <v>164.66148825246066</v>
      </c>
      <c r="N50" s="85">
        <f t="shared" ca="1" si="15"/>
        <v>189.05713990306745</v>
      </c>
      <c r="O50" s="85">
        <f t="shared" ca="1" si="16"/>
        <v>180.02661090159222</v>
      </c>
      <c r="P50" s="85">
        <f t="shared" ca="1" si="17"/>
        <v>175.25199081975532</v>
      </c>
      <c r="Q50" s="85">
        <f t="shared" ca="1" si="18"/>
        <v>195.55981083416006</v>
      </c>
      <c r="R50" s="85">
        <f t="shared" ca="1" si="19"/>
        <v>176.07420352249386</v>
      </c>
      <c r="S50" s="85">
        <f t="shared" ca="1" si="20"/>
        <v>177.15639080070446</v>
      </c>
      <c r="T50" s="85">
        <f t="shared" ca="1" si="21"/>
        <v>186.04116869544166</v>
      </c>
      <c r="U50" s="85">
        <f t="shared" ca="1" si="22"/>
        <v>161.57692359742617</v>
      </c>
      <c r="V50" s="85">
        <f t="shared" ca="1" si="23"/>
        <v>188.652129738382</v>
      </c>
      <c r="W50" s="85">
        <f t="shared" ca="1" si="24"/>
        <v>182.25398171876469</v>
      </c>
      <c r="X50" s="85">
        <f t="shared" ca="1" si="25"/>
        <v>181.9765462515544</v>
      </c>
      <c r="Y50" s="85">
        <f t="shared" ca="1" si="26"/>
        <v>171.59797230494263</v>
      </c>
      <c r="Z50" s="85">
        <f t="shared" ca="1" si="27"/>
        <v>176.55679359675545</v>
      </c>
      <c r="AA50" s="85">
        <f t="shared" ca="1" si="28"/>
        <v>162.95580039348613</v>
      </c>
      <c r="AB50" s="85">
        <f t="shared" ca="1" si="29"/>
        <v>187.80459841592398</v>
      </c>
      <c r="AC50" s="85">
        <f t="shared" ca="1" si="30"/>
        <v>176.40718122376856</v>
      </c>
      <c r="AD50" s="85">
        <f t="shared" ca="1" si="31"/>
        <v>191.2441242179892</v>
      </c>
      <c r="AE50" s="85">
        <f t="shared" ca="1" si="32"/>
        <v>198.54426445562061</v>
      </c>
      <c r="AF50" s="85">
        <f t="shared" ca="1" si="33"/>
        <v>185.74562131911034</v>
      </c>
      <c r="AG50" s="85">
        <f t="shared" ca="1" si="34"/>
        <v>181.5310840821455</v>
      </c>
      <c r="AH50" s="85">
        <f t="shared" ca="1" si="35"/>
        <v>183.5390705220255</v>
      </c>
      <c r="AI50" s="85">
        <f t="shared" ca="1" si="36"/>
        <v>182.54243771284803</v>
      </c>
      <c r="AJ50" s="85">
        <f t="shared" ca="1" si="37"/>
        <v>195.08639496355488</v>
      </c>
      <c r="AK50" s="85">
        <f t="shared" ca="1" si="38"/>
        <v>182.26283717624614</v>
      </c>
      <c r="AL50" s="85">
        <f t="shared" ca="1" si="39"/>
        <v>182.68543323029044</v>
      </c>
      <c r="AM50" s="85">
        <f t="shared" ca="1" si="40"/>
        <v>175.91593919881961</v>
      </c>
      <c r="AN50" s="85">
        <f t="shared" ca="1" si="41"/>
        <v>186.96674632494938</v>
      </c>
      <c r="AO50" s="85">
        <f t="shared" ca="1" si="42"/>
        <v>177.44098890218714</v>
      </c>
      <c r="AP50" s="85">
        <f t="shared" ca="1" si="43"/>
        <v>194.07587023092361</v>
      </c>
      <c r="AQ50" s="85">
        <f t="shared" ca="1" si="44"/>
        <v>171.78082602257274</v>
      </c>
      <c r="AR50" s="85">
        <f t="shared" ca="1" si="45"/>
        <v>186.50517758723177</v>
      </c>
      <c r="AS50" s="85">
        <f t="shared" ca="1" si="46"/>
        <v>174.56765027664693</v>
      </c>
      <c r="AT50" s="85">
        <f t="shared" ca="1" si="47"/>
        <v>190.98919223834309</v>
      </c>
      <c r="AU50" s="85">
        <f t="shared" ca="1" si="48"/>
        <v>180.39872105074315</v>
      </c>
      <c r="AV50" s="85">
        <f t="shared" ca="1" si="49"/>
        <v>193.33543287933188</v>
      </c>
      <c r="AW50" s="85">
        <f t="shared" ca="1" si="50"/>
        <v>183.45419608675888</v>
      </c>
      <c r="AX50" s="85">
        <f t="shared" ca="1" si="51"/>
        <v>195.40828345656271</v>
      </c>
      <c r="AY50" s="85">
        <f t="shared" ca="1" si="52"/>
        <v>194.25634261053392</v>
      </c>
      <c r="AZ50" s="85">
        <f t="shared" ca="1" si="53"/>
        <v>171.05826579749262</v>
      </c>
      <c r="BA50" s="85">
        <f t="shared" ca="1" si="54"/>
        <v>194.03326139070509</v>
      </c>
      <c r="BB50" s="85">
        <f t="shared" ca="1" si="55"/>
        <v>167.16266273867873</v>
      </c>
      <c r="BC50" s="85">
        <f t="shared" ca="1" si="56"/>
        <v>187.3129037356143</v>
      </c>
      <c r="BD50" s="85">
        <f t="shared" ca="1" si="57"/>
        <v>184.60338716937542</v>
      </c>
      <c r="BE50" s="85">
        <f t="shared" ca="1" si="58"/>
        <v>176.68049529125588</v>
      </c>
      <c r="BF50" s="85">
        <f t="shared" ca="1" si="59"/>
        <v>188.59786971363417</v>
      </c>
      <c r="BG50" s="85">
        <f t="shared" ca="1" si="60"/>
        <v>174.24338564925969</v>
      </c>
      <c r="BH50" s="85">
        <f t="shared" ca="1" si="61"/>
        <v>182.39323665496235</v>
      </c>
      <c r="BI50" s="85">
        <f t="shared" ca="1" si="62"/>
        <v>181.49131270347524</v>
      </c>
      <c r="BJ50" s="85">
        <f t="shared" ca="1" si="63"/>
        <v>193.2462275579328</v>
      </c>
      <c r="BK50" s="85">
        <f t="shared" ca="1" si="64"/>
        <v>176.49959978196065</v>
      </c>
      <c r="BL50" s="85">
        <f t="shared" ca="1" si="65"/>
        <v>184.1064170975429</v>
      </c>
      <c r="BM50" s="85">
        <f t="shared" ca="1" si="66"/>
        <v>168.33702365219727</v>
      </c>
      <c r="BN50" s="85">
        <f t="shared" ca="1" si="3"/>
        <v>174.39835599190309</v>
      </c>
      <c r="BO50" s="85">
        <f t="shared" ca="1" si="92"/>
        <v>182.05194185555527</v>
      </c>
      <c r="BP50" s="85">
        <f t="shared" ca="1" si="93"/>
        <v>167.11239008864922</v>
      </c>
      <c r="BQ50" s="85">
        <f t="shared" ca="1" si="94"/>
        <v>173.86922495436241</v>
      </c>
      <c r="BR50" s="85">
        <f t="shared" ca="1" si="95"/>
        <v>169.43720408959518</v>
      </c>
      <c r="BS50" s="85">
        <f t="shared" ca="1" si="96"/>
        <v>181.59262239332855</v>
      </c>
      <c r="BT50" s="85">
        <f t="shared" ca="1" si="97"/>
        <v>184.64910023501344</v>
      </c>
      <c r="BU50" s="85">
        <f t="shared" ca="1" si="98"/>
        <v>191.89259344868103</v>
      </c>
      <c r="BV50" s="85">
        <f t="shared" ca="1" si="99"/>
        <v>181.37235983087467</v>
      </c>
      <c r="BW50" s="85">
        <f t="shared" ca="1" si="100"/>
        <v>192.98170853874589</v>
      </c>
      <c r="BX50" s="85">
        <f t="shared" ca="1" si="101"/>
        <v>186.55250566703074</v>
      </c>
      <c r="BY50" s="85">
        <f t="shared" ca="1" si="67"/>
        <v>189.4140321489993</v>
      </c>
      <c r="BZ50" s="85">
        <f t="shared" ca="1" si="68"/>
        <v>191.61921287979987</v>
      </c>
      <c r="CA50" s="85">
        <f t="shared" ca="1" si="69"/>
        <v>178.57910312661235</v>
      </c>
      <c r="CB50" s="85">
        <f t="shared" ca="1" si="70"/>
        <v>180.27310339815173</v>
      </c>
      <c r="CC50" s="85">
        <f t="shared" ca="1" si="71"/>
        <v>183.55905801791312</v>
      </c>
      <c r="CD50" s="85">
        <f t="shared" ca="1" si="72"/>
        <v>183.62399635476535</v>
      </c>
      <c r="CE50" s="85">
        <f t="shared" ca="1" si="73"/>
        <v>171.17098285498076</v>
      </c>
      <c r="CF50" s="85">
        <f t="shared" ca="1" si="74"/>
        <v>185.40217189667464</v>
      </c>
      <c r="CG50" s="85">
        <f t="shared" ca="1" si="75"/>
        <v>172.9306504526117</v>
      </c>
      <c r="CH50" s="85">
        <f t="shared" ca="1" si="76"/>
        <v>195.13782762775705</v>
      </c>
      <c r="CI50" s="85">
        <f t="shared" ca="1" si="77"/>
        <v>178.28169843256518</v>
      </c>
      <c r="CJ50" s="85">
        <f t="shared" ca="1" si="78"/>
        <v>172.00100943733432</v>
      </c>
      <c r="CK50" s="85">
        <f t="shared" ca="1" si="79"/>
        <v>168.94151791060168</v>
      </c>
      <c r="CL50" s="85">
        <f t="shared" ca="1" si="80"/>
        <v>165.98768014971989</v>
      </c>
      <c r="CM50" s="85">
        <f t="shared" ca="1" si="81"/>
        <v>181.66904569865073</v>
      </c>
      <c r="CN50" s="85">
        <f t="shared" ca="1" si="82"/>
        <v>176.04835026890137</v>
      </c>
      <c r="CO50" s="85">
        <f t="shared" ca="1" si="83"/>
        <v>171.57716114744383</v>
      </c>
      <c r="CP50" s="85">
        <f t="shared" ca="1" si="84"/>
        <v>202.20614075092442</v>
      </c>
      <c r="CQ50" s="85">
        <f t="shared" ca="1" si="85"/>
        <v>191.1740734086311</v>
      </c>
      <c r="CR50" s="85">
        <f t="shared" ca="1" si="86"/>
        <v>188.56307937591748</v>
      </c>
      <c r="CS50" s="85">
        <f t="shared" ca="1" si="87"/>
        <v>173.62515083205179</v>
      </c>
      <c r="CT50" s="85">
        <f t="shared" ca="1" si="88"/>
        <v>181.52578718187942</v>
      </c>
      <c r="CU50" s="85">
        <f t="shared" ca="1" si="89"/>
        <v>193.47638001186485</v>
      </c>
      <c r="CV50" s="85">
        <f t="shared" ca="1" si="90"/>
        <v>175.64602001526217</v>
      </c>
      <c r="CW50" s="85">
        <f t="shared" ca="1" si="91"/>
        <v>176.02780612160583</v>
      </c>
    </row>
    <row r="51" spans="1:101" x14ac:dyDescent="0.2">
      <c r="A51" s="115">
        <v>48</v>
      </c>
      <c r="B51" s="85">
        <f t="shared" ca="1" si="2"/>
        <v>177.46577672413102</v>
      </c>
      <c r="C51" s="85">
        <f t="shared" ca="1" si="4"/>
        <v>180.08023172404836</v>
      </c>
      <c r="D51" s="85">
        <f t="shared" ca="1" si="5"/>
        <v>181.74222876816771</v>
      </c>
      <c r="E51" s="85">
        <f t="shared" ca="1" si="6"/>
        <v>183.09773883719129</v>
      </c>
      <c r="F51" s="85">
        <f t="shared" ca="1" si="7"/>
        <v>186.030685629142</v>
      </c>
      <c r="G51" s="85">
        <f t="shared" ca="1" si="8"/>
        <v>175.79273994830615</v>
      </c>
      <c r="H51" s="85">
        <f t="shared" ca="1" si="9"/>
        <v>172.24771521859969</v>
      </c>
      <c r="I51" s="85">
        <f t="shared" ca="1" si="10"/>
        <v>176.89400714797281</v>
      </c>
      <c r="J51" s="85">
        <f t="shared" ca="1" si="11"/>
        <v>172.6921060675962</v>
      </c>
      <c r="K51" s="85">
        <f t="shared" ca="1" si="12"/>
        <v>164.57123876351773</v>
      </c>
      <c r="L51" s="85">
        <f t="shared" ca="1" si="13"/>
        <v>185.73512589196002</v>
      </c>
      <c r="M51" s="85">
        <f t="shared" ca="1" si="14"/>
        <v>168.22542597835391</v>
      </c>
      <c r="N51" s="85">
        <f t="shared" ca="1" si="15"/>
        <v>190.30320827521459</v>
      </c>
      <c r="O51" s="85">
        <f t="shared" ca="1" si="16"/>
        <v>181.46487731822282</v>
      </c>
      <c r="P51" s="85">
        <f t="shared" ca="1" si="17"/>
        <v>177.23866733562343</v>
      </c>
      <c r="Q51" s="85">
        <f t="shared" ca="1" si="18"/>
        <v>195.58174039133789</v>
      </c>
      <c r="R51" s="85">
        <f t="shared" ca="1" si="19"/>
        <v>178.64292012758054</v>
      </c>
      <c r="S51" s="85">
        <f t="shared" ca="1" si="20"/>
        <v>180.92338714832786</v>
      </c>
      <c r="T51" s="85">
        <f t="shared" ca="1" si="21"/>
        <v>187.55509234842231</v>
      </c>
      <c r="U51" s="85">
        <f t="shared" ca="1" si="22"/>
        <v>162.99042771091305</v>
      </c>
      <c r="V51" s="85">
        <f t="shared" ca="1" si="23"/>
        <v>193.26969238437565</v>
      </c>
      <c r="W51" s="85">
        <f t="shared" ca="1" si="24"/>
        <v>185.06505632701055</v>
      </c>
      <c r="X51" s="85">
        <f t="shared" ca="1" si="25"/>
        <v>183.69491023954552</v>
      </c>
      <c r="Y51" s="85">
        <f t="shared" ca="1" si="26"/>
        <v>174.52225057632643</v>
      </c>
      <c r="Z51" s="85">
        <f t="shared" ca="1" si="27"/>
        <v>179.6819440658094</v>
      </c>
      <c r="AA51" s="85">
        <f t="shared" ca="1" si="28"/>
        <v>166.7935179184251</v>
      </c>
      <c r="AB51" s="85">
        <f t="shared" ca="1" si="29"/>
        <v>192.38382941136007</v>
      </c>
      <c r="AC51" s="85">
        <f t="shared" ca="1" si="30"/>
        <v>176.87401784965712</v>
      </c>
      <c r="AD51" s="85">
        <f t="shared" ca="1" si="31"/>
        <v>192.99777993058467</v>
      </c>
      <c r="AE51" s="85">
        <f t="shared" ca="1" si="32"/>
        <v>200.20423047415454</v>
      </c>
      <c r="AF51" s="85">
        <f t="shared" ca="1" si="33"/>
        <v>185.89877816460748</v>
      </c>
      <c r="AG51" s="85">
        <f t="shared" ca="1" si="34"/>
        <v>182.03114151198147</v>
      </c>
      <c r="AH51" s="85">
        <f t="shared" ca="1" si="35"/>
        <v>186.70990642700096</v>
      </c>
      <c r="AI51" s="85">
        <f t="shared" ca="1" si="36"/>
        <v>186.29449168569451</v>
      </c>
      <c r="AJ51" s="85">
        <f t="shared" ca="1" si="37"/>
        <v>198.94814346211766</v>
      </c>
      <c r="AK51" s="85">
        <f t="shared" ca="1" si="38"/>
        <v>183.08261922817928</v>
      </c>
      <c r="AL51" s="85">
        <f t="shared" ca="1" si="39"/>
        <v>184.60858007802321</v>
      </c>
      <c r="AM51" s="85">
        <f t="shared" ca="1" si="40"/>
        <v>177.63292171484085</v>
      </c>
      <c r="AN51" s="85">
        <f t="shared" ca="1" si="41"/>
        <v>187.3566270311949</v>
      </c>
      <c r="AO51" s="85">
        <f t="shared" ca="1" si="42"/>
        <v>180.45978233857608</v>
      </c>
      <c r="AP51" s="85">
        <f t="shared" ca="1" si="43"/>
        <v>195.21660532580674</v>
      </c>
      <c r="AQ51" s="85">
        <f t="shared" ca="1" si="44"/>
        <v>173.48493139957091</v>
      </c>
      <c r="AR51" s="85">
        <f t="shared" ca="1" si="45"/>
        <v>188.68151863749443</v>
      </c>
      <c r="AS51" s="85">
        <f t="shared" ca="1" si="46"/>
        <v>178.30524489900387</v>
      </c>
      <c r="AT51" s="85">
        <f t="shared" ca="1" si="47"/>
        <v>195.55219932510965</v>
      </c>
      <c r="AU51" s="85">
        <f t="shared" ca="1" si="48"/>
        <v>181.10066452337045</v>
      </c>
      <c r="AV51" s="85">
        <f t="shared" ca="1" si="49"/>
        <v>195.697907153259</v>
      </c>
      <c r="AW51" s="85">
        <f t="shared" ca="1" si="50"/>
        <v>184.38593098494869</v>
      </c>
      <c r="AX51" s="85">
        <f t="shared" ca="1" si="51"/>
        <v>197.43996967130138</v>
      </c>
      <c r="AY51" s="85">
        <f t="shared" ca="1" si="52"/>
        <v>195.56272429801143</v>
      </c>
      <c r="AZ51" s="85">
        <f t="shared" ca="1" si="53"/>
        <v>172.61873013702103</v>
      </c>
      <c r="BA51" s="85">
        <f t="shared" ca="1" si="54"/>
        <v>197.60287592530906</v>
      </c>
      <c r="BB51" s="85">
        <f t="shared" ca="1" si="55"/>
        <v>169.50933250294563</v>
      </c>
      <c r="BC51" s="85">
        <f t="shared" ca="1" si="56"/>
        <v>191.52292905835529</v>
      </c>
      <c r="BD51" s="85">
        <f t="shared" ca="1" si="57"/>
        <v>185.03494205770065</v>
      </c>
      <c r="BE51" s="85">
        <f t="shared" ca="1" si="58"/>
        <v>179.70423078504632</v>
      </c>
      <c r="BF51" s="85">
        <f t="shared" ca="1" si="59"/>
        <v>190.93142846607267</v>
      </c>
      <c r="BG51" s="85">
        <f t="shared" ca="1" si="60"/>
        <v>177.54185494427779</v>
      </c>
      <c r="BH51" s="85">
        <f t="shared" ca="1" si="61"/>
        <v>186.07395301038085</v>
      </c>
      <c r="BI51" s="85">
        <f t="shared" ca="1" si="62"/>
        <v>183.4198838646592</v>
      </c>
      <c r="BJ51" s="85">
        <f t="shared" ca="1" si="63"/>
        <v>195.76087092089188</v>
      </c>
      <c r="BK51" s="85">
        <f t="shared" ca="1" si="64"/>
        <v>177.14318832397558</v>
      </c>
      <c r="BL51" s="85">
        <f t="shared" ca="1" si="65"/>
        <v>186.64801345794811</v>
      </c>
      <c r="BM51" s="85">
        <f t="shared" ca="1" si="66"/>
        <v>169.09522263688859</v>
      </c>
      <c r="BN51" s="85">
        <f t="shared" ca="1" si="3"/>
        <v>176.95066571496517</v>
      </c>
      <c r="BO51" s="85">
        <f t="shared" ca="1" si="92"/>
        <v>184.29471650229175</v>
      </c>
      <c r="BP51" s="85">
        <f t="shared" ca="1" si="93"/>
        <v>168.78109558544082</v>
      </c>
      <c r="BQ51" s="85">
        <f t="shared" ca="1" si="94"/>
        <v>178.09938341035323</v>
      </c>
      <c r="BR51" s="85">
        <f t="shared" ca="1" si="95"/>
        <v>171.44888104926883</v>
      </c>
      <c r="BS51" s="85">
        <f t="shared" ca="1" si="96"/>
        <v>184.7859465310157</v>
      </c>
      <c r="BT51" s="85">
        <f t="shared" ca="1" si="97"/>
        <v>185.57506386475586</v>
      </c>
      <c r="BU51" s="85">
        <f t="shared" ca="1" si="98"/>
        <v>194.60420319924035</v>
      </c>
      <c r="BV51" s="85">
        <f t="shared" ca="1" si="99"/>
        <v>184.29090126500535</v>
      </c>
      <c r="BW51" s="85">
        <f t="shared" ca="1" si="100"/>
        <v>196.50769407835534</v>
      </c>
      <c r="BX51" s="85">
        <f t="shared" ca="1" si="101"/>
        <v>189.60431930676924</v>
      </c>
      <c r="BY51" s="85">
        <f t="shared" ca="1" si="67"/>
        <v>192.12306812552873</v>
      </c>
      <c r="BZ51" s="85">
        <f t="shared" ca="1" si="68"/>
        <v>193.63168872653691</v>
      </c>
      <c r="CA51" s="85">
        <f t="shared" ca="1" si="69"/>
        <v>180.81041277844579</v>
      </c>
      <c r="CB51" s="85">
        <f t="shared" ca="1" si="70"/>
        <v>182.41909718489339</v>
      </c>
      <c r="CC51" s="85">
        <f t="shared" ca="1" si="71"/>
        <v>185.45638461753043</v>
      </c>
      <c r="CD51" s="85">
        <f t="shared" ca="1" si="72"/>
        <v>186.51563186407245</v>
      </c>
      <c r="CE51" s="85">
        <f t="shared" ca="1" si="73"/>
        <v>171.40710403716133</v>
      </c>
      <c r="CF51" s="85">
        <f t="shared" ca="1" si="74"/>
        <v>187.11752129820417</v>
      </c>
      <c r="CG51" s="85">
        <f t="shared" ca="1" si="75"/>
        <v>173.74695540466482</v>
      </c>
      <c r="CH51" s="85">
        <f t="shared" ca="1" si="76"/>
        <v>197.30465959636527</v>
      </c>
      <c r="CI51" s="85">
        <f t="shared" ca="1" si="77"/>
        <v>181.94717614637531</v>
      </c>
      <c r="CJ51" s="85">
        <f t="shared" ca="1" si="78"/>
        <v>175.31800073170191</v>
      </c>
      <c r="CK51" s="85">
        <f t="shared" ca="1" si="79"/>
        <v>170.08971516748861</v>
      </c>
      <c r="CL51" s="85">
        <f t="shared" ca="1" si="80"/>
        <v>168.13456731611791</v>
      </c>
      <c r="CM51" s="85">
        <f t="shared" ca="1" si="81"/>
        <v>184.32680152519833</v>
      </c>
      <c r="CN51" s="85">
        <f t="shared" ca="1" si="82"/>
        <v>179.22134266726286</v>
      </c>
      <c r="CO51" s="85">
        <f t="shared" ca="1" si="83"/>
        <v>175.93422796351126</v>
      </c>
      <c r="CP51" s="85">
        <f t="shared" ca="1" si="84"/>
        <v>203.99982390970251</v>
      </c>
      <c r="CQ51" s="85">
        <f t="shared" ca="1" si="85"/>
        <v>194.27915836227092</v>
      </c>
      <c r="CR51" s="85">
        <f t="shared" ca="1" si="86"/>
        <v>190.75947984560494</v>
      </c>
      <c r="CS51" s="85">
        <f t="shared" ca="1" si="87"/>
        <v>179.12778903814737</v>
      </c>
      <c r="CT51" s="85">
        <f t="shared" ca="1" si="88"/>
        <v>185.18556339027282</v>
      </c>
      <c r="CU51" s="85">
        <f t="shared" ca="1" si="89"/>
        <v>198.49946858571153</v>
      </c>
      <c r="CV51" s="85">
        <f t="shared" ca="1" si="90"/>
        <v>178.43121194452164</v>
      </c>
      <c r="CW51" s="85">
        <f t="shared" ca="1" si="91"/>
        <v>178.79617870459822</v>
      </c>
    </row>
    <row r="52" spans="1:101" x14ac:dyDescent="0.2">
      <c r="A52" s="115">
        <v>49</v>
      </c>
      <c r="B52" s="85">
        <f t="shared" ca="1" si="2"/>
        <v>178.98698681573464</v>
      </c>
      <c r="C52" s="85">
        <f t="shared" ca="1" si="4"/>
        <v>181.61532649481265</v>
      </c>
      <c r="D52" s="85">
        <f t="shared" ca="1" si="5"/>
        <v>185.06406425152292</v>
      </c>
      <c r="E52" s="85">
        <f t="shared" ca="1" si="6"/>
        <v>186.33368171679967</v>
      </c>
      <c r="F52" s="85">
        <f t="shared" ca="1" si="7"/>
        <v>188.08799678816723</v>
      </c>
      <c r="G52" s="85">
        <f t="shared" ca="1" si="8"/>
        <v>178.33937391713084</v>
      </c>
      <c r="H52" s="85">
        <f t="shared" ca="1" si="9"/>
        <v>172.97765741002277</v>
      </c>
      <c r="I52" s="85">
        <f t="shared" ca="1" si="10"/>
        <v>179.21901610220476</v>
      </c>
      <c r="J52" s="85">
        <f t="shared" ca="1" si="11"/>
        <v>177.16917123441124</v>
      </c>
      <c r="K52" s="85">
        <f t="shared" ca="1" si="12"/>
        <v>166.98317126463834</v>
      </c>
      <c r="L52" s="85">
        <f t="shared" ca="1" si="13"/>
        <v>188.86625491354874</v>
      </c>
      <c r="M52" s="85">
        <f t="shared" ca="1" si="14"/>
        <v>171.80829951257655</v>
      </c>
      <c r="N52" s="85">
        <f t="shared" ca="1" si="15"/>
        <v>193.48934031894589</v>
      </c>
      <c r="O52" s="85">
        <f t="shared" ca="1" si="16"/>
        <v>184.00120802752741</v>
      </c>
      <c r="P52" s="85">
        <f t="shared" ca="1" si="17"/>
        <v>179.59785405762608</v>
      </c>
      <c r="Q52" s="85">
        <f t="shared" ca="1" si="18"/>
        <v>196.89888182482403</v>
      </c>
      <c r="R52" s="85">
        <f t="shared" ca="1" si="19"/>
        <v>180.55327570538736</v>
      </c>
      <c r="S52" s="85">
        <f t="shared" ca="1" si="20"/>
        <v>184.40193645039548</v>
      </c>
      <c r="T52" s="85">
        <f t="shared" ca="1" si="21"/>
        <v>189.70363591434932</v>
      </c>
      <c r="U52" s="85">
        <f t="shared" ca="1" si="22"/>
        <v>166.0516185270651</v>
      </c>
      <c r="V52" s="85">
        <f t="shared" ca="1" si="23"/>
        <v>196.89777515727334</v>
      </c>
      <c r="W52" s="85">
        <f t="shared" ca="1" si="24"/>
        <v>188.07304510376602</v>
      </c>
      <c r="X52" s="85">
        <f t="shared" ca="1" si="25"/>
        <v>185.71511957216131</v>
      </c>
      <c r="Y52" s="85">
        <f t="shared" ca="1" si="26"/>
        <v>179.88314438729955</v>
      </c>
      <c r="Z52" s="85">
        <f t="shared" ca="1" si="27"/>
        <v>182.75850151407835</v>
      </c>
      <c r="AA52" s="85">
        <f t="shared" ca="1" si="28"/>
        <v>170.46332806505296</v>
      </c>
      <c r="AB52" s="85">
        <f t="shared" ca="1" si="29"/>
        <v>195.24620925441735</v>
      </c>
      <c r="AC52" s="85">
        <f t="shared" ca="1" si="30"/>
        <v>179.73595393952925</v>
      </c>
      <c r="AD52" s="85">
        <f t="shared" ca="1" si="31"/>
        <v>196.55216015007812</v>
      </c>
      <c r="AE52" s="85">
        <f t="shared" ca="1" si="32"/>
        <v>204.78744609282603</v>
      </c>
      <c r="AF52" s="85">
        <f t="shared" ca="1" si="33"/>
        <v>188.90275734164982</v>
      </c>
      <c r="AG52" s="85">
        <f t="shared" ca="1" si="34"/>
        <v>184.0770789574093</v>
      </c>
      <c r="AH52" s="85">
        <f t="shared" ca="1" si="35"/>
        <v>190.20032675981992</v>
      </c>
      <c r="AI52" s="85">
        <f t="shared" ca="1" si="36"/>
        <v>190.25458473743481</v>
      </c>
      <c r="AJ52" s="85">
        <f t="shared" ca="1" si="37"/>
        <v>202.54399937972164</v>
      </c>
      <c r="AK52" s="85">
        <f t="shared" ca="1" si="38"/>
        <v>185.44345011624219</v>
      </c>
      <c r="AL52" s="85">
        <f t="shared" ca="1" si="39"/>
        <v>188.4130294215116</v>
      </c>
      <c r="AM52" s="85">
        <f t="shared" ca="1" si="40"/>
        <v>180.05856424357123</v>
      </c>
      <c r="AN52" s="85">
        <f t="shared" ca="1" si="41"/>
        <v>190.62666545440945</v>
      </c>
      <c r="AO52" s="85">
        <f t="shared" ca="1" si="42"/>
        <v>181.44034805844876</v>
      </c>
      <c r="AP52" s="85">
        <f t="shared" ca="1" si="43"/>
        <v>197.4573407618924</v>
      </c>
      <c r="AQ52" s="85">
        <f t="shared" ca="1" si="44"/>
        <v>177.11610033115298</v>
      </c>
      <c r="AR52" s="85">
        <f t="shared" ca="1" si="45"/>
        <v>190.72937674338561</v>
      </c>
      <c r="AS52" s="85">
        <f t="shared" ca="1" si="46"/>
        <v>181.7103893578095</v>
      </c>
      <c r="AT52" s="85">
        <f t="shared" ca="1" si="47"/>
        <v>197.92033291847497</v>
      </c>
      <c r="AU52" s="85">
        <f t="shared" ca="1" si="48"/>
        <v>183.89731821093363</v>
      </c>
      <c r="AV52" s="85">
        <f t="shared" ca="1" si="49"/>
        <v>197.2339082379689</v>
      </c>
      <c r="AW52" s="85">
        <f t="shared" ca="1" si="50"/>
        <v>188.35372122216566</v>
      </c>
      <c r="AX52" s="85">
        <f t="shared" ca="1" si="51"/>
        <v>200.77751820531691</v>
      </c>
      <c r="AY52" s="85">
        <f t="shared" ca="1" si="52"/>
        <v>199.24740140731251</v>
      </c>
      <c r="AZ52" s="85">
        <f t="shared" ca="1" si="53"/>
        <v>175.76886052677432</v>
      </c>
      <c r="BA52" s="85">
        <f t="shared" ca="1" si="54"/>
        <v>199.15983485486115</v>
      </c>
      <c r="BB52" s="85">
        <f t="shared" ca="1" si="55"/>
        <v>173.49633527912067</v>
      </c>
      <c r="BC52" s="85">
        <f t="shared" ca="1" si="56"/>
        <v>193.72540280746659</v>
      </c>
      <c r="BD52" s="85">
        <f t="shared" ca="1" si="57"/>
        <v>187.39209539385195</v>
      </c>
      <c r="BE52" s="85">
        <f t="shared" ca="1" si="58"/>
        <v>180.989281608601</v>
      </c>
      <c r="BF52" s="85">
        <f t="shared" ca="1" si="59"/>
        <v>194.82543190732079</v>
      </c>
      <c r="BG52" s="85">
        <f t="shared" ca="1" si="60"/>
        <v>181.0280304719231</v>
      </c>
      <c r="BH52" s="85">
        <f t="shared" ca="1" si="61"/>
        <v>187.0926841878435</v>
      </c>
      <c r="BI52" s="85">
        <f t="shared" ca="1" si="62"/>
        <v>185.94265400883612</v>
      </c>
      <c r="BJ52" s="85">
        <f t="shared" ca="1" si="63"/>
        <v>197.78229406141503</v>
      </c>
      <c r="BK52" s="85">
        <f t="shared" ca="1" si="64"/>
        <v>180.69898737703187</v>
      </c>
      <c r="BL52" s="85">
        <f t="shared" ca="1" si="65"/>
        <v>188.95729720151078</v>
      </c>
      <c r="BM52" s="85">
        <f t="shared" ca="1" si="66"/>
        <v>173.39882026691018</v>
      </c>
      <c r="BN52" s="85">
        <f t="shared" ca="1" si="3"/>
        <v>179.61781267264618</v>
      </c>
      <c r="BO52" s="85">
        <f t="shared" ca="1" si="92"/>
        <v>188.60565787844757</v>
      </c>
      <c r="BP52" s="85">
        <f t="shared" ca="1" si="93"/>
        <v>168.69591467943377</v>
      </c>
      <c r="BQ52" s="85">
        <f t="shared" ca="1" si="94"/>
        <v>183.19748860818783</v>
      </c>
      <c r="BR52" s="85">
        <f t="shared" ca="1" si="95"/>
        <v>172.72139210798682</v>
      </c>
      <c r="BS52" s="85">
        <f t="shared" ca="1" si="96"/>
        <v>186.41001602676209</v>
      </c>
      <c r="BT52" s="85">
        <f t="shared" ca="1" si="97"/>
        <v>188.96114172922478</v>
      </c>
      <c r="BU52" s="85">
        <f t="shared" ca="1" si="98"/>
        <v>198.56694255001688</v>
      </c>
      <c r="BV52" s="85">
        <f t="shared" ca="1" si="99"/>
        <v>187.94954945498264</v>
      </c>
      <c r="BW52" s="85">
        <f t="shared" ca="1" si="100"/>
        <v>200.69842147961259</v>
      </c>
      <c r="BX52" s="85">
        <f t="shared" ca="1" si="101"/>
        <v>192.05897494600882</v>
      </c>
      <c r="BY52" s="85">
        <f t="shared" ca="1" si="67"/>
        <v>192.43885952183638</v>
      </c>
      <c r="BZ52" s="85">
        <f t="shared" ca="1" si="68"/>
        <v>196.76308486492735</v>
      </c>
      <c r="CA52" s="85">
        <f t="shared" ca="1" si="69"/>
        <v>185.14649385998518</v>
      </c>
      <c r="CB52" s="85">
        <f t="shared" ca="1" si="70"/>
        <v>183.61451948499905</v>
      </c>
      <c r="CC52" s="85">
        <f t="shared" ca="1" si="71"/>
        <v>187.42175394961265</v>
      </c>
      <c r="CD52" s="85">
        <f t="shared" ca="1" si="72"/>
        <v>191.04576191946413</v>
      </c>
      <c r="CE52" s="85">
        <f t="shared" ca="1" si="73"/>
        <v>173.93030406802583</v>
      </c>
      <c r="CF52" s="85">
        <f t="shared" ca="1" si="74"/>
        <v>190.15325371511139</v>
      </c>
      <c r="CG52" s="85">
        <f t="shared" ca="1" si="75"/>
        <v>175.85924416509562</v>
      </c>
      <c r="CH52" s="85">
        <f t="shared" ca="1" si="76"/>
        <v>198.5131368653492</v>
      </c>
      <c r="CI52" s="85">
        <f t="shared" ca="1" si="77"/>
        <v>183.78454248870676</v>
      </c>
      <c r="CJ52" s="85">
        <f t="shared" ca="1" si="78"/>
        <v>178.80044262067537</v>
      </c>
      <c r="CK52" s="85">
        <f t="shared" ca="1" si="79"/>
        <v>172.24776047183533</v>
      </c>
      <c r="CL52" s="85">
        <f t="shared" ca="1" si="80"/>
        <v>170.53805674384174</v>
      </c>
      <c r="CM52" s="85">
        <f t="shared" ca="1" si="81"/>
        <v>186.03607501188145</v>
      </c>
      <c r="CN52" s="85">
        <f t="shared" ca="1" si="82"/>
        <v>181.70337655077358</v>
      </c>
      <c r="CO52" s="85">
        <f t="shared" ca="1" si="83"/>
        <v>179.09790960671933</v>
      </c>
      <c r="CP52" s="85">
        <f t="shared" ca="1" si="84"/>
        <v>207.73421046736314</v>
      </c>
      <c r="CQ52" s="85">
        <f t="shared" ca="1" si="85"/>
        <v>195.24599209000237</v>
      </c>
      <c r="CR52" s="85">
        <f t="shared" ca="1" si="86"/>
        <v>193.76973544714576</v>
      </c>
      <c r="CS52" s="85">
        <f t="shared" ca="1" si="87"/>
        <v>182.0145000114924</v>
      </c>
      <c r="CT52" s="85">
        <f t="shared" ca="1" si="88"/>
        <v>186.92902688575009</v>
      </c>
      <c r="CU52" s="85">
        <f t="shared" ca="1" si="89"/>
        <v>201.77733839752108</v>
      </c>
      <c r="CV52" s="85">
        <f t="shared" ca="1" si="90"/>
        <v>181.54129571885244</v>
      </c>
      <c r="CW52" s="85">
        <f t="shared" ca="1" si="91"/>
        <v>181.80277353507819</v>
      </c>
    </row>
    <row r="53" spans="1:101" x14ac:dyDescent="0.2">
      <c r="A53" s="115">
        <v>50</v>
      </c>
      <c r="B53" s="85">
        <f t="shared" ca="1" si="2"/>
        <v>180.71925392314552</v>
      </c>
      <c r="C53" s="85">
        <f t="shared" ca="1" si="4"/>
        <v>184.94911164621581</v>
      </c>
      <c r="D53" s="85">
        <f t="shared" ca="1" si="5"/>
        <v>186.1602824899702</v>
      </c>
      <c r="E53" s="85">
        <f t="shared" ca="1" si="6"/>
        <v>188.86806497314006</v>
      </c>
      <c r="F53" s="85">
        <f t="shared" ca="1" si="7"/>
        <v>191.11500119359505</v>
      </c>
      <c r="G53" s="85">
        <f t="shared" ca="1" si="8"/>
        <v>182.98028326252489</v>
      </c>
      <c r="H53" s="85">
        <f t="shared" ca="1" si="9"/>
        <v>177.83627672524901</v>
      </c>
      <c r="I53" s="85">
        <f t="shared" ca="1" si="10"/>
        <v>182.96524308569522</v>
      </c>
      <c r="J53" s="85">
        <f t="shared" ca="1" si="11"/>
        <v>179.60620708363598</v>
      </c>
      <c r="K53" s="85">
        <f t="shared" ca="1" si="12"/>
        <v>167.42478780385079</v>
      </c>
      <c r="L53" s="85">
        <f t="shared" ca="1" si="13"/>
        <v>192.8867381159755</v>
      </c>
      <c r="M53" s="85">
        <f t="shared" ca="1" si="14"/>
        <v>174.41629080110212</v>
      </c>
      <c r="N53" s="85">
        <f t="shared" ca="1" si="15"/>
        <v>195.72411600065158</v>
      </c>
      <c r="O53" s="85">
        <f t="shared" ca="1" si="16"/>
        <v>185.95553628749545</v>
      </c>
      <c r="P53" s="85">
        <f t="shared" ca="1" si="17"/>
        <v>181.62418318609244</v>
      </c>
      <c r="Q53" s="85">
        <f t="shared" ca="1" si="18"/>
        <v>199.35598138560752</v>
      </c>
      <c r="R53" s="85">
        <f t="shared" ca="1" si="19"/>
        <v>183.19315022112343</v>
      </c>
      <c r="S53" s="85">
        <f t="shared" ca="1" si="20"/>
        <v>188.77117036237681</v>
      </c>
      <c r="T53" s="85">
        <f t="shared" ca="1" si="21"/>
        <v>192.33837124885162</v>
      </c>
      <c r="U53" s="85">
        <f t="shared" ca="1" si="22"/>
        <v>167.94154449659973</v>
      </c>
      <c r="V53" s="85">
        <f t="shared" ca="1" si="23"/>
        <v>197.85330040993861</v>
      </c>
      <c r="W53" s="85">
        <f t="shared" ca="1" si="24"/>
        <v>188.5596326312178</v>
      </c>
      <c r="X53" s="85">
        <f t="shared" ca="1" si="25"/>
        <v>185.90073503370698</v>
      </c>
      <c r="Y53" s="85">
        <f t="shared" ca="1" si="26"/>
        <v>182.07704380688159</v>
      </c>
      <c r="Z53" s="85">
        <f t="shared" ca="1" si="27"/>
        <v>185.7680912825634</v>
      </c>
      <c r="AA53" s="85">
        <f t="shared" ca="1" si="28"/>
        <v>173.58623760212262</v>
      </c>
      <c r="AB53" s="85">
        <f t="shared" ca="1" si="29"/>
        <v>199.43397510855777</v>
      </c>
      <c r="AC53" s="85">
        <f t="shared" ca="1" si="30"/>
        <v>183.53446563878111</v>
      </c>
      <c r="AD53" s="85">
        <f t="shared" ca="1" si="31"/>
        <v>200.77167468143483</v>
      </c>
      <c r="AE53" s="85">
        <f t="shared" ca="1" si="32"/>
        <v>209.7528174310045</v>
      </c>
      <c r="AF53" s="85">
        <f t="shared" ca="1" si="33"/>
        <v>189.91741200145844</v>
      </c>
      <c r="AG53" s="85">
        <f t="shared" ca="1" si="34"/>
        <v>185.62080853216551</v>
      </c>
      <c r="AH53" s="85">
        <f t="shared" ca="1" si="35"/>
        <v>193.88650980772994</v>
      </c>
      <c r="AI53" s="85">
        <f t="shared" ca="1" si="36"/>
        <v>193.38026050948275</v>
      </c>
      <c r="AJ53" s="85">
        <f t="shared" ca="1" si="37"/>
        <v>207.81360213435099</v>
      </c>
      <c r="AK53" s="85">
        <f t="shared" ca="1" si="38"/>
        <v>187.6286945527545</v>
      </c>
      <c r="AL53" s="85">
        <f t="shared" ca="1" si="39"/>
        <v>190.90838962830406</v>
      </c>
      <c r="AM53" s="85">
        <f t="shared" ca="1" si="40"/>
        <v>182.3047580701477</v>
      </c>
      <c r="AN53" s="85">
        <f t="shared" ca="1" si="41"/>
        <v>192.4189963501469</v>
      </c>
      <c r="AO53" s="85">
        <f t="shared" ca="1" si="42"/>
        <v>182.29122410706216</v>
      </c>
      <c r="AP53" s="85">
        <f t="shared" ca="1" si="43"/>
        <v>199.67098740935558</v>
      </c>
      <c r="AQ53" s="85">
        <f t="shared" ca="1" si="44"/>
        <v>180.0631770716833</v>
      </c>
      <c r="AR53" s="85">
        <f t="shared" ca="1" si="45"/>
        <v>193.82747875689148</v>
      </c>
      <c r="AS53" s="85">
        <f t="shared" ca="1" si="46"/>
        <v>182.57707730230084</v>
      </c>
      <c r="AT53" s="85">
        <f t="shared" ca="1" si="47"/>
        <v>201.90765347758801</v>
      </c>
      <c r="AU53" s="85">
        <f t="shared" ca="1" si="48"/>
        <v>186.27056991972245</v>
      </c>
      <c r="AV53" s="85">
        <f t="shared" ca="1" si="49"/>
        <v>200.68236496254121</v>
      </c>
      <c r="AW53" s="85">
        <f t="shared" ca="1" si="50"/>
        <v>191.43696982113926</v>
      </c>
      <c r="AX53" s="85">
        <f t="shared" ca="1" si="51"/>
        <v>206.8690803418578</v>
      </c>
      <c r="AY53" s="85">
        <f t="shared" ca="1" si="52"/>
        <v>200.42851268573148</v>
      </c>
      <c r="AZ53" s="85">
        <f t="shared" ca="1" si="53"/>
        <v>179.544808577309</v>
      </c>
      <c r="BA53" s="85">
        <f t="shared" ca="1" si="54"/>
        <v>201.71699044142704</v>
      </c>
      <c r="BB53" s="85">
        <f t="shared" ca="1" si="55"/>
        <v>174.04885583032711</v>
      </c>
      <c r="BC53" s="85">
        <f t="shared" ca="1" si="56"/>
        <v>195.83700048873166</v>
      </c>
      <c r="BD53" s="85">
        <f t="shared" ca="1" si="57"/>
        <v>188.86168709009169</v>
      </c>
      <c r="BE53" s="85">
        <f t="shared" ca="1" si="58"/>
        <v>183.41705059407849</v>
      </c>
      <c r="BF53" s="85">
        <f t="shared" ca="1" si="59"/>
        <v>197.32273599811003</v>
      </c>
      <c r="BG53" s="85">
        <f t="shared" ca="1" si="60"/>
        <v>182.27141703055673</v>
      </c>
      <c r="BH53" s="85">
        <f t="shared" ca="1" si="61"/>
        <v>189.32162047784064</v>
      </c>
      <c r="BI53" s="85">
        <f t="shared" ca="1" si="62"/>
        <v>185.86015945163194</v>
      </c>
      <c r="BJ53" s="85">
        <f t="shared" ca="1" si="63"/>
        <v>200.93075956169508</v>
      </c>
      <c r="BK53" s="85">
        <f t="shared" ca="1" si="64"/>
        <v>184.06643538292533</v>
      </c>
      <c r="BL53" s="85">
        <f t="shared" ca="1" si="65"/>
        <v>192.23252293444853</v>
      </c>
      <c r="BM53" s="85">
        <f t="shared" ca="1" si="66"/>
        <v>176.427147680969</v>
      </c>
      <c r="BN53" s="85">
        <f t="shared" ca="1" si="3"/>
        <v>183.74448090841437</v>
      </c>
      <c r="BO53" s="85">
        <f t="shared" ca="1" si="92"/>
        <v>191.18996453878532</v>
      </c>
      <c r="BP53" s="85">
        <f t="shared" ca="1" si="93"/>
        <v>171.54954952817857</v>
      </c>
      <c r="BQ53" s="85">
        <f t="shared" ca="1" si="94"/>
        <v>184.229592182256</v>
      </c>
      <c r="BR53" s="85">
        <f t="shared" ca="1" si="95"/>
        <v>175.32000627626056</v>
      </c>
      <c r="BS53" s="85">
        <f t="shared" ca="1" si="96"/>
        <v>188.70774976842455</v>
      </c>
      <c r="BT53" s="85">
        <f t="shared" ca="1" si="97"/>
        <v>190.98487154629211</v>
      </c>
      <c r="BU53" s="85">
        <f t="shared" ca="1" si="98"/>
        <v>200.10350471645606</v>
      </c>
      <c r="BV53" s="85">
        <f t="shared" ca="1" si="99"/>
        <v>191.2150725880382</v>
      </c>
      <c r="BW53" s="85">
        <f t="shared" ca="1" si="100"/>
        <v>200.6326889317227</v>
      </c>
      <c r="BX53" s="85">
        <f t="shared" ca="1" si="101"/>
        <v>193.78349938485502</v>
      </c>
      <c r="BY53" s="85">
        <f t="shared" ca="1" si="67"/>
        <v>194.22971284861217</v>
      </c>
      <c r="BZ53" s="85">
        <f t="shared" ca="1" si="68"/>
        <v>200.05462036631727</v>
      </c>
      <c r="CA53" s="85">
        <f t="shared" ca="1" si="69"/>
        <v>186.85250413594162</v>
      </c>
      <c r="CB53" s="85">
        <f t="shared" ca="1" si="70"/>
        <v>187.67326663297698</v>
      </c>
      <c r="CC53" s="85">
        <f t="shared" ca="1" si="71"/>
        <v>189.85138007568492</v>
      </c>
      <c r="CD53" s="85">
        <f t="shared" ca="1" si="72"/>
        <v>193.56866415553029</v>
      </c>
      <c r="CE53" s="85">
        <f t="shared" ca="1" si="73"/>
        <v>174.60173608519267</v>
      </c>
      <c r="CF53" s="85">
        <f t="shared" ca="1" si="74"/>
        <v>195.41239648848159</v>
      </c>
      <c r="CG53" s="85">
        <f t="shared" ca="1" si="75"/>
        <v>175.99102744331833</v>
      </c>
      <c r="CH53" s="85">
        <f t="shared" ca="1" si="76"/>
        <v>198.72217911316125</v>
      </c>
      <c r="CI53" s="85">
        <f t="shared" ca="1" si="77"/>
        <v>187.37117396002643</v>
      </c>
      <c r="CJ53" s="85">
        <f t="shared" ca="1" si="78"/>
        <v>181.27065675937243</v>
      </c>
      <c r="CK53" s="85">
        <f t="shared" ca="1" si="79"/>
        <v>174.71776474026572</v>
      </c>
      <c r="CL53" s="85">
        <f t="shared" ca="1" si="80"/>
        <v>171.91248420447602</v>
      </c>
      <c r="CM53" s="85">
        <f t="shared" ca="1" si="81"/>
        <v>187.61294751396969</v>
      </c>
      <c r="CN53" s="85">
        <f t="shared" ca="1" si="82"/>
        <v>185.76203074841152</v>
      </c>
      <c r="CO53" s="85">
        <f t="shared" ca="1" si="83"/>
        <v>180.76271177449996</v>
      </c>
      <c r="CP53" s="85">
        <f t="shared" ca="1" si="84"/>
        <v>210.16741626106415</v>
      </c>
      <c r="CQ53" s="85">
        <f t="shared" ca="1" si="85"/>
        <v>198.800462852019</v>
      </c>
      <c r="CR53" s="85">
        <f t="shared" ca="1" si="86"/>
        <v>196.52693804113375</v>
      </c>
      <c r="CS53" s="85">
        <f t="shared" ca="1" si="87"/>
        <v>183.13299191656</v>
      </c>
      <c r="CT53" s="85">
        <f t="shared" ca="1" si="88"/>
        <v>189.67581220959207</v>
      </c>
      <c r="CU53" s="85">
        <f t="shared" ca="1" si="89"/>
        <v>206.75286257313991</v>
      </c>
      <c r="CV53" s="85">
        <f t="shared" ca="1" si="90"/>
        <v>184.04976752031706</v>
      </c>
      <c r="CW53" s="85">
        <f t="shared" ca="1" si="91"/>
        <v>185.2460231562699</v>
      </c>
    </row>
    <row r="54" spans="1:101" x14ac:dyDescent="0.2">
      <c r="A54" s="115">
        <v>51</v>
      </c>
      <c r="B54" s="85">
        <f t="shared" ca="1" si="2"/>
        <v>181.75426931250573</v>
      </c>
      <c r="C54" s="85">
        <f t="shared" ca="1" si="4"/>
        <v>185.57479282836425</v>
      </c>
      <c r="D54" s="85">
        <f t="shared" ca="1" si="5"/>
        <v>189.25990294418202</v>
      </c>
      <c r="E54" s="85">
        <f t="shared" ca="1" si="6"/>
        <v>191.93050211031519</v>
      </c>
      <c r="F54" s="85">
        <f t="shared" ca="1" si="7"/>
        <v>194.57065652104686</v>
      </c>
      <c r="G54" s="85">
        <f t="shared" ca="1" si="8"/>
        <v>187.75694517117716</v>
      </c>
      <c r="H54" s="85">
        <f t="shared" ca="1" si="9"/>
        <v>182.29366467367333</v>
      </c>
      <c r="I54" s="85">
        <f t="shared" ca="1" si="10"/>
        <v>184.90524603681089</v>
      </c>
      <c r="J54" s="85">
        <f t="shared" ca="1" si="11"/>
        <v>180.37307992603382</v>
      </c>
      <c r="K54" s="85">
        <f t="shared" ca="1" si="12"/>
        <v>168.94305454920166</v>
      </c>
      <c r="L54" s="85">
        <f t="shared" ca="1" si="13"/>
        <v>195.65739487982452</v>
      </c>
      <c r="M54" s="85">
        <f t="shared" ca="1" si="14"/>
        <v>173.58194341069384</v>
      </c>
      <c r="N54" s="85">
        <f t="shared" ca="1" si="15"/>
        <v>195.30240039845242</v>
      </c>
      <c r="O54" s="85">
        <f t="shared" ca="1" si="16"/>
        <v>188.05871759284602</v>
      </c>
      <c r="P54" s="85">
        <f t="shared" ca="1" si="17"/>
        <v>185.19692074189587</v>
      </c>
      <c r="Q54" s="85">
        <f t="shared" ca="1" si="18"/>
        <v>202.33017546286297</v>
      </c>
      <c r="R54" s="85">
        <f t="shared" ca="1" si="19"/>
        <v>183.81580270658304</v>
      </c>
      <c r="S54" s="85">
        <f t="shared" ca="1" si="20"/>
        <v>190.48117797850929</v>
      </c>
      <c r="T54" s="85">
        <f t="shared" ca="1" si="21"/>
        <v>193.93741552783325</v>
      </c>
      <c r="U54" s="85">
        <f t="shared" ca="1" si="22"/>
        <v>171.05798858643567</v>
      </c>
      <c r="V54" s="85">
        <f t="shared" ca="1" si="23"/>
        <v>202.3273709053567</v>
      </c>
      <c r="W54" s="85">
        <f t="shared" ca="1" si="24"/>
        <v>190.78513660007627</v>
      </c>
      <c r="X54" s="85">
        <f t="shared" ca="1" si="25"/>
        <v>187.54922255404963</v>
      </c>
      <c r="Y54" s="85">
        <f t="shared" ca="1" si="26"/>
        <v>185.50251540360699</v>
      </c>
      <c r="Z54" s="85">
        <f t="shared" ca="1" si="27"/>
        <v>187.01242427120343</v>
      </c>
      <c r="AA54" s="85">
        <f t="shared" ca="1" si="28"/>
        <v>174.63242073731382</v>
      </c>
      <c r="AB54" s="85">
        <f t="shared" ca="1" si="29"/>
        <v>201.13679875373961</v>
      </c>
      <c r="AC54" s="85">
        <f t="shared" ca="1" si="30"/>
        <v>185.22100366887352</v>
      </c>
      <c r="AD54" s="85">
        <f t="shared" ca="1" si="31"/>
        <v>203.6321449776853</v>
      </c>
      <c r="AE54" s="85">
        <f t="shared" ca="1" si="32"/>
        <v>213.24296165518388</v>
      </c>
      <c r="AF54" s="85">
        <f t="shared" ca="1" si="33"/>
        <v>191.30710338204099</v>
      </c>
      <c r="AG54" s="85">
        <f t="shared" ca="1" si="34"/>
        <v>186.39993689662361</v>
      </c>
      <c r="AH54" s="85">
        <f t="shared" ca="1" si="35"/>
        <v>195.8570271460502</v>
      </c>
      <c r="AI54" s="85">
        <f t="shared" ca="1" si="36"/>
        <v>197.26757034647414</v>
      </c>
      <c r="AJ54" s="85">
        <f t="shared" ca="1" si="37"/>
        <v>207.95663315700389</v>
      </c>
      <c r="AK54" s="85">
        <f t="shared" ca="1" si="38"/>
        <v>190.00357772799691</v>
      </c>
      <c r="AL54" s="85">
        <f t="shared" ca="1" si="39"/>
        <v>193.39591279500235</v>
      </c>
      <c r="AM54" s="85">
        <f t="shared" ca="1" si="40"/>
        <v>184.85962683941793</v>
      </c>
      <c r="AN54" s="85">
        <f t="shared" ca="1" si="41"/>
        <v>194.25897458040572</v>
      </c>
      <c r="AO54" s="85">
        <f t="shared" ca="1" si="42"/>
        <v>185.88219207430285</v>
      </c>
      <c r="AP54" s="85">
        <f t="shared" ca="1" si="43"/>
        <v>202.14652287356319</v>
      </c>
      <c r="AQ54" s="85">
        <f t="shared" ca="1" si="44"/>
        <v>182.16350517174087</v>
      </c>
      <c r="AR54" s="85">
        <f t="shared" ca="1" si="45"/>
        <v>197.52323285290112</v>
      </c>
      <c r="AS54" s="85">
        <f t="shared" ca="1" si="46"/>
        <v>185.42351471485523</v>
      </c>
      <c r="AT54" s="85">
        <f t="shared" ca="1" si="47"/>
        <v>203.47102025880662</v>
      </c>
      <c r="AU54" s="85">
        <f t="shared" ca="1" si="48"/>
        <v>188.58818713867899</v>
      </c>
      <c r="AV54" s="85">
        <f t="shared" ca="1" si="49"/>
        <v>204.58134054202233</v>
      </c>
      <c r="AW54" s="85">
        <f t="shared" ca="1" si="50"/>
        <v>194.81521227975523</v>
      </c>
      <c r="AX54" s="85">
        <f t="shared" ca="1" si="51"/>
        <v>208.98462432524491</v>
      </c>
      <c r="AY54" s="85">
        <f t="shared" ca="1" si="52"/>
        <v>202.50269014056926</v>
      </c>
      <c r="AZ54" s="85">
        <f t="shared" ca="1" si="53"/>
        <v>181.10835503308587</v>
      </c>
      <c r="BA54" s="85">
        <f t="shared" ca="1" si="54"/>
        <v>203.08812562980847</v>
      </c>
      <c r="BB54" s="85">
        <f t="shared" ca="1" si="55"/>
        <v>176.37685364414105</v>
      </c>
      <c r="BC54" s="85">
        <f t="shared" ca="1" si="56"/>
        <v>200.58163054516172</v>
      </c>
      <c r="BD54" s="85">
        <f t="shared" ca="1" si="57"/>
        <v>190.18904749577169</v>
      </c>
      <c r="BE54" s="85">
        <f t="shared" ca="1" si="58"/>
        <v>186.54625870039877</v>
      </c>
      <c r="BF54" s="85">
        <f t="shared" ca="1" si="59"/>
        <v>198.01225706201447</v>
      </c>
      <c r="BG54" s="85">
        <f t="shared" ca="1" si="60"/>
        <v>184.27373269774509</v>
      </c>
      <c r="BH54" s="85">
        <f t="shared" ca="1" si="61"/>
        <v>191.77801635612261</v>
      </c>
      <c r="BI54" s="85">
        <f t="shared" ca="1" si="62"/>
        <v>185.72676526001166</v>
      </c>
      <c r="BJ54" s="85">
        <f t="shared" ca="1" si="63"/>
        <v>201.43127721525823</v>
      </c>
      <c r="BK54" s="85">
        <f t="shared" ca="1" si="64"/>
        <v>187.69882505001544</v>
      </c>
      <c r="BL54" s="85">
        <f t="shared" ca="1" si="65"/>
        <v>194.63562258140465</v>
      </c>
      <c r="BM54" s="85">
        <f t="shared" ca="1" si="66"/>
        <v>178.54886007153928</v>
      </c>
      <c r="BN54" s="85">
        <f t="shared" ca="1" si="3"/>
        <v>184.24652824356633</v>
      </c>
      <c r="BO54" s="85">
        <f t="shared" ca="1" si="92"/>
        <v>195.50679753766167</v>
      </c>
      <c r="BP54" s="85">
        <f t="shared" ca="1" si="93"/>
        <v>175.13113928658072</v>
      </c>
      <c r="BQ54" s="85">
        <f t="shared" ca="1" si="94"/>
        <v>188.95225792194751</v>
      </c>
      <c r="BR54" s="85">
        <f t="shared" ca="1" si="95"/>
        <v>177.18783271979171</v>
      </c>
      <c r="BS54" s="85">
        <f t="shared" ca="1" si="96"/>
        <v>190.76004318285908</v>
      </c>
      <c r="BT54" s="85">
        <f t="shared" ca="1" si="97"/>
        <v>193.70775120354347</v>
      </c>
      <c r="BU54" s="85">
        <f t="shared" ca="1" si="98"/>
        <v>202.36864024068473</v>
      </c>
      <c r="BV54" s="85">
        <f t="shared" ca="1" si="99"/>
        <v>196.02984920286841</v>
      </c>
      <c r="BW54" s="85">
        <f t="shared" ca="1" si="100"/>
        <v>202.72846947389758</v>
      </c>
      <c r="BX54" s="85">
        <f t="shared" ca="1" si="101"/>
        <v>194.89291901794439</v>
      </c>
      <c r="BY54" s="85">
        <f t="shared" ca="1" si="67"/>
        <v>197.65875258522934</v>
      </c>
      <c r="BZ54" s="85">
        <f t="shared" ca="1" si="68"/>
        <v>202.48419401604167</v>
      </c>
      <c r="CA54" s="85">
        <f t="shared" ca="1" si="69"/>
        <v>190.28384983960183</v>
      </c>
      <c r="CB54" s="85">
        <f t="shared" ca="1" si="70"/>
        <v>190.2361215768679</v>
      </c>
      <c r="CC54" s="85">
        <f t="shared" ca="1" si="71"/>
        <v>191.76476306848446</v>
      </c>
      <c r="CD54" s="85">
        <f t="shared" ca="1" si="72"/>
        <v>196.10518604370881</v>
      </c>
      <c r="CE54" s="85">
        <f t="shared" ca="1" si="73"/>
        <v>175.91301619950141</v>
      </c>
      <c r="CF54" s="85">
        <f t="shared" ca="1" si="74"/>
        <v>198.61342897152318</v>
      </c>
      <c r="CG54" s="85">
        <f t="shared" ca="1" si="75"/>
        <v>180.10419999746563</v>
      </c>
      <c r="CH54" s="85">
        <f t="shared" ca="1" si="76"/>
        <v>199.55423839054131</v>
      </c>
      <c r="CI54" s="85">
        <f t="shared" ca="1" si="77"/>
        <v>191.66871850363668</v>
      </c>
      <c r="CJ54" s="85">
        <f t="shared" ca="1" si="78"/>
        <v>184.22342733590506</v>
      </c>
      <c r="CK54" s="85">
        <f t="shared" ca="1" si="79"/>
        <v>176.98511728059293</v>
      </c>
      <c r="CL54" s="85">
        <f t="shared" ca="1" si="80"/>
        <v>174.64786398466262</v>
      </c>
      <c r="CM54" s="85">
        <f t="shared" ca="1" si="81"/>
        <v>189.04979349023372</v>
      </c>
      <c r="CN54" s="85">
        <f t="shared" ca="1" si="82"/>
        <v>188.63132789852281</v>
      </c>
      <c r="CO54" s="85">
        <f t="shared" ca="1" si="83"/>
        <v>182.72436185174405</v>
      </c>
      <c r="CP54" s="85">
        <f t="shared" ca="1" si="84"/>
        <v>213.09174354922132</v>
      </c>
      <c r="CQ54" s="85">
        <f t="shared" ca="1" si="85"/>
        <v>200.84906957692093</v>
      </c>
      <c r="CR54" s="85">
        <f t="shared" ca="1" si="86"/>
        <v>201.35337859712371</v>
      </c>
      <c r="CS54" s="85">
        <f t="shared" ca="1" si="87"/>
        <v>184.76643120535689</v>
      </c>
      <c r="CT54" s="85">
        <f t="shared" ca="1" si="88"/>
        <v>190.37784897477349</v>
      </c>
      <c r="CU54" s="85">
        <f t="shared" ca="1" si="89"/>
        <v>210.21460263553902</v>
      </c>
      <c r="CV54" s="85">
        <f t="shared" ca="1" si="90"/>
        <v>186.53727905757216</v>
      </c>
      <c r="CW54" s="85">
        <f t="shared" ca="1" si="91"/>
        <v>187.05831289328572</v>
      </c>
    </row>
    <row r="55" spans="1:101" x14ac:dyDescent="0.2">
      <c r="A55" s="115">
        <v>52</v>
      </c>
      <c r="B55" s="85">
        <f t="shared" ca="1" si="2"/>
        <v>183.4478288663469</v>
      </c>
      <c r="C55" s="85">
        <f t="shared" ca="1" si="4"/>
        <v>187.7658944905788</v>
      </c>
      <c r="D55" s="85">
        <f t="shared" ca="1" si="5"/>
        <v>192.45231251839203</v>
      </c>
      <c r="E55" s="85">
        <f t="shared" ca="1" si="6"/>
        <v>193.77197501883319</v>
      </c>
      <c r="F55" s="85">
        <f t="shared" ca="1" si="7"/>
        <v>198.74727395404892</v>
      </c>
      <c r="G55" s="85">
        <f t="shared" ca="1" si="8"/>
        <v>185.8963498635558</v>
      </c>
      <c r="H55" s="85">
        <f t="shared" ca="1" si="9"/>
        <v>185.60752717671465</v>
      </c>
      <c r="I55" s="85">
        <f t="shared" ca="1" si="10"/>
        <v>186.24584287422508</v>
      </c>
      <c r="J55" s="85">
        <f t="shared" ca="1" si="11"/>
        <v>181.82811510392088</v>
      </c>
      <c r="K55" s="85">
        <f t="shared" ca="1" si="12"/>
        <v>171.55139875990031</v>
      </c>
      <c r="L55" s="85">
        <f t="shared" ca="1" si="13"/>
        <v>199.16955171025936</v>
      </c>
      <c r="M55" s="85">
        <f t="shared" ca="1" si="14"/>
        <v>175.74235736891413</v>
      </c>
      <c r="N55" s="85">
        <f t="shared" ca="1" si="15"/>
        <v>197.91122306138311</v>
      </c>
      <c r="O55" s="85">
        <f t="shared" ca="1" si="16"/>
        <v>189.99385410558909</v>
      </c>
      <c r="P55" s="85">
        <f t="shared" ca="1" si="17"/>
        <v>188.60308228875186</v>
      </c>
      <c r="Q55" s="85">
        <f t="shared" ca="1" si="18"/>
        <v>202.58673859472538</v>
      </c>
      <c r="R55" s="85">
        <f t="shared" ca="1" si="19"/>
        <v>185.61143847417466</v>
      </c>
      <c r="S55" s="85">
        <f t="shared" ca="1" si="20"/>
        <v>193.97597809848264</v>
      </c>
      <c r="T55" s="85">
        <f t="shared" ca="1" si="21"/>
        <v>198.28146038582648</v>
      </c>
      <c r="U55" s="85">
        <f t="shared" ca="1" si="22"/>
        <v>172.14440822134748</v>
      </c>
      <c r="V55" s="85">
        <f t="shared" ca="1" si="23"/>
        <v>203.45383716638966</v>
      </c>
      <c r="W55" s="85">
        <f t="shared" ca="1" si="24"/>
        <v>193.04916157311831</v>
      </c>
      <c r="X55" s="85">
        <f t="shared" ca="1" si="25"/>
        <v>189.01804476049114</v>
      </c>
      <c r="Y55" s="85">
        <f t="shared" ca="1" si="26"/>
        <v>186.35363357451718</v>
      </c>
      <c r="Z55" s="85">
        <f t="shared" ca="1" si="27"/>
        <v>189.4487296714062</v>
      </c>
      <c r="AA55" s="85">
        <f t="shared" ca="1" si="28"/>
        <v>178.25647078774875</v>
      </c>
      <c r="AB55" s="85">
        <f t="shared" ca="1" si="29"/>
        <v>203.71073842066107</v>
      </c>
      <c r="AC55" s="85">
        <f t="shared" ca="1" si="30"/>
        <v>186.00747935346266</v>
      </c>
      <c r="AD55" s="85">
        <f t="shared" ca="1" si="31"/>
        <v>206.31782720143272</v>
      </c>
      <c r="AE55" s="85">
        <f t="shared" ca="1" si="32"/>
        <v>215.76168130179749</v>
      </c>
      <c r="AF55" s="85">
        <f t="shared" ca="1" si="33"/>
        <v>190.41621782212533</v>
      </c>
      <c r="AG55" s="85">
        <f t="shared" ca="1" si="34"/>
        <v>187.30882925947438</v>
      </c>
      <c r="AH55" s="85">
        <f t="shared" ca="1" si="35"/>
        <v>198.76059959796203</v>
      </c>
      <c r="AI55" s="85">
        <f t="shared" ca="1" si="36"/>
        <v>199.64757776805726</v>
      </c>
      <c r="AJ55" s="85">
        <f t="shared" ca="1" si="37"/>
        <v>209.95406358870625</v>
      </c>
      <c r="AK55" s="85">
        <f t="shared" ca="1" si="38"/>
        <v>192.75459069783548</v>
      </c>
      <c r="AL55" s="85">
        <f t="shared" ca="1" si="39"/>
        <v>198.75987002834316</v>
      </c>
      <c r="AM55" s="85">
        <f t="shared" ca="1" si="40"/>
        <v>186.58846662258082</v>
      </c>
      <c r="AN55" s="85">
        <f t="shared" ca="1" si="41"/>
        <v>197.96457501767068</v>
      </c>
      <c r="AO55" s="85">
        <f t="shared" ca="1" si="42"/>
        <v>187.25571176107039</v>
      </c>
      <c r="AP55" s="85">
        <f t="shared" ca="1" si="43"/>
        <v>204.09929425650148</v>
      </c>
      <c r="AQ55" s="85">
        <f t="shared" ca="1" si="44"/>
        <v>183.51844802608474</v>
      </c>
      <c r="AR55" s="85">
        <f t="shared" ca="1" si="45"/>
        <v>197.65072739945123</v>
      </c>
      <c r="AS55" s="85">
        <f t="shared" ca="1" si="46"/>
        <v>189.21604214700116</v>
      </c>
      <c r="AT55" s="85">
        <f t="shared" ca="1" si="47"/>
        <v>203.73685863616507</v>
      </c>
      <c r="AU55" s="85">
        <f t="shared" ca="1" si="48"/>
        <v>191.32087957633595</v>
      </c>
      <c r="AV55" s="85">
        <f t="shared" ca="1" si="49"/>
        <v>207.35462269784063</v>
      </c>
      <c r="AW55" s="85">
        <f t="shared" ca="1" si="50"/>
        <v>197.97489129049444</v>
      </c>
      <c r="AX55" s="85">
        <f t="shared" ca="1" si="51"/>
        <v>214.33630897092814</v>
      </c>
      <c r="AY55" s="85">
        <f t="shared" ca="1" si="52"/>
        <v>208.04797208671468</v>
      </c>
      <c r="AZ55" s="85">
        <f t="shared" ca="1" si="53"/>
        <v>183.87558474940056</v>
      </c>
      <c r="BA55" s="85">
        <f t="shared" ca="1" si="54"/>
        <v>205.06874380783216</v>
      </c>
      <c r="BB55" s="85">
        <f t="shared" ca="1" si="55"/>
        <v>180.03518429585628</v>
      </c>
      <c r="BC55" s="85">
        <f t="shared" ca="1" si="56"/>
        <v>204.18183768344943</v>
      </c>
      <c r="BD55" s="85">
        <f t="shared" ca="1" si="57"/>
        <v>193.02416374432073</v>
      </c>
      <c r="BE55" s="85">
        <f t="shared" ca="1" si="58"/>
        <v>189.46636329572755</v>
      </c>
      <c r="BF55" s="85">
        <f t="shared" ca="1" si="59"/>
        <v>201.66021370458824</v>
      </c>
      <c r="BG55" s="85">
        <f t="shared" ca="1" si="60"/>
        <v>185.38756734545561</v>
      </c>
      <c r="BH55" s="85">
        <f t="shared" ca="1" si="61"/>
        <v>194.73582630568163</v>
      </c>
      <c r="BI55" s="85">
        <f t="shared" ca="1" si="62"/>
        <v>187.1189700841266</v>
      </c>
      <c r="BJ55" s="85">
        <f t="shared" ca="1" si="63"/>
        <v>205.61136319029987</v>
      </c>
      <c r="BK55" s="85">
        <f t="shared" ca="1" si="64"/>
        <v>190.88298464885054</v>
      </c>
      <c r="BL55" s="85">
        <f t="shared" ca="1" si="65"/>
        <v>197.587301118271</v>
      </c>
      <c r="BM55" s="85">
        <f t="shared" ca="1" si="66"/>
        <v>180.84011291071366</v>
      </c>
      <c r="BN55" s="85">
        <f t="shared" ca="1" si="3"/>
        <v>187.28317232847689</v>
      </c>
      <c r="BO55" s="85">
        <f t="shared" ca="1" si="92"/>
        <v>198.40405257547641</v>
      </c>
      <c r="BP55" s="85">
        <f t="shared" ca="1" si="93"/>
        <v>176.30240375635915</v>
      </c>
      <c r="BQ55" s="85">
        <f t="shared" ca="1" si="94"/>
        <v>189.75376663848817</v>
      </c>
      <c r="BR55" s="85">
        <f t="shared" ca="1" si="95"/>
        <v>178.79228641052495</v>
      </c>
      <c r="BS55" s="85">
        <f t="shared" ca="1" si="96"/>
        <v>192.4611992543727</v>
      </c>
      <c r="BT55" s="85">
        <f t="shared" ca="1" si="97"/>
        <v>195.16673989328626</v>
      </c>
      <c r="BU55" s="85">
        <f t="shared" ca="1" si="98"/>
        <v>206.01483421245246</v>
      </c>
      <c r="BV55" s="85">
        <f t="shared" ca="1" si="99"/>
        <v>197.95056637723869</v>
      </c>
      <c r="BW55" s="85">
        <f t="shared" ca="1" si="100"/>
        <v>206.76900007380328</v>
      </c>
      <c r="BX55" s="85">
        <f t="shared" ca="1" si="101"/>
        <v>195.99448159134258</v>
      </c>
      <c r="BY55" s="85">
        <f t="shared" ca="1" si="67"/>
        <v>200.35516318708559</v>
      </c>
      <c r="BZ55" s="85">
        <f t="shared" ca="1" si="68"/>
        <v>206.6795653516651</v>
      </c>
      <c r="CA55" s="85">
        <f t="shared" ca="1" si="69"/>
        <v>193.11570421104207</v>
      </c>
      <c r="CB55" s="85">
        <f t="shared" ca="1" si="70"/>
        <v>190.64592366336672</v>
      </c>
      <c r="CC55" s="85">
        <f t="shared" ca="1" si="71"/>
        <v>194.29045588060285</v>
      </c>
      <c r="CD55" s="85">
        <f t="shared" ca="1" si="72"/>
        <v>198.32573403505083</v>
      </c>
      <c r="CE55" s="85">
        <f t="shared" ca="1" si="73"/>
        <v>179.9152672546256</v>
      </c>
      <c r="CF55" s="85">
        <f t="shared" ca="1" si="74"/>
        <v>201.67905615558587</v>
      </c>
      <c r="CG55" s="85">
        <f t="shared" ca="1" si="75"/>
        <v>181.80243550266192</v>
      </c>
      <c r="CH55" s="85">
        <f t="shared" ca="1" si="76"/>
        <v>202.25768883586031</v>
      </c>
      <c r="CI55" s="85">
        <f t="shared" ca="1" si="77"/>
        <v>195.82940253406321</v>
      </c>
      <c r="CJ55" s="85">
        <f t="shared" ca="1" si="78"/>
        <v>185.13159610903682</v>
      </c>
      <c r="CK55" s="85">
        <f t="shared" ca="1" si="79"/>
        <v>180.90435324239371</v>
      </c>
      <c r="CL55" s="85">
        <f t="shared" ca="1" si="80"/>
        <v>175.26641884266235</v>
      </c>
      <c r="CM55" s="85">
        <f t="shared" ca="1" si="81"/>
        <v>191.89911910940012</v>
      </c>
      <c r="CN55" s="85">
        <f t="shared" ca="1" si="82"/>
        <v>191.73628288427818</v>
      </c>
      <c r="CO55" s="85">
        <f t="shared" ca="1" si="83"/>
        <v>184.75280464107578</v>
      </c>
      <c r="CP55" s="85">
        <f t="shared" ca="1" si="84"/>
        <v>215.32507952382716</v>
      </c>
      <c r="CQ55" s="85">
        <f t="shared" ca="1" si="85"/>
        <v>204.82623473648454</v>
      </c>
      <c r="CR55" s="85">
        <f t="shared" ca="1" si="86"/>
        <v>203.75058203419763</v>
      </c>
      <c r="CS55" s="85">
        <f t="shared" ca="1" si="87"/>
        <v>186.90067973690486</v>
      </c>
      <c r="CT55" s="85">
        <f t="shared" ca="1" si="88"/>
        <v>193.81830098021024</v>
      </c>
      <c r="CU55" s="85">
        <f t="shared" ca="1" si="89"/>
        <v>213.1539690257238</v>
      </c>
      <c r="CV55" s="85">
        <f t="shared" ca="1" si="90"/>
        <v>188.59808426788931</v>
      </c>
      <c r="CW55" s="85">
        <f t="shared" ca="1" si="91"/>
        <v>187.47796894543794</v>
      </c>
    </row>
    <row r="56" spans="1:101" x14ac:dyDescent="0.2">
      <c r="A56" s="115">
        <v>53</v>
      </c>
      <c r="B56" s="85">
        <f t="shared" ca="1" si="2"/>
        <v>186.24349694253672</v>
      </c>
      <c r="C56" s="85">
        <f t="shared" ca="1" si="4"/>
        <v>189.57217203755638</v>
      </c>
      <c r="D56" s="85">
        <f t="shared" ca="1" si="5"/>
        <v>194.5793077057302</v>
      </c>
      <c r="E56" s="85">
        <f t="shared" ca="1" si="6"/>
        <v>195.90044850517307</v>
      </c>
      <c r="F56" s="85">
        <f t="shared" ca="1" si="7"/>
        <v>201.72397277630799</v>
      </c>
      <c r="G56" s="85">
        <f t="shared" ca="1" si="8"/>
        <v>189.17735174918954</v>
      </c>
      <c r="H56" s="85">
        <f t="shared" ca="1" si="9"/>
        <v>189.54469427958384</v>
      </c>
      <c r="I56" s="85">
        <f t="shared" ca="1" si="10"/>
        <v>189.51602982095511</v>
      </c>
      <c r="J56" s="85">
        <f t="shared" ca="1" si="11"/>
        <v>184.62907313577739</v>
      </c>
      <c r="K56" s="85">
        <f t="shared" ca="1" si="12"/>
        <v>172.96076889586172</v>
      </c>
      <c r="L56" s="85">
        <f t="shared" ca="1" si="13"/>
        <v>203.85825423430376</v>
      </c>
      <c r="M56" s="85">
        <f t="shared" ca="1" si="14"/>
        <v>177.04978853642643</v>
      </c>
      <c r="N56" s="85">
        <f t="shared" ca="1" si="15"/>
        <v>202.64623426063554</v>
      </c>
      <c r="O56" s="85">
        <f t="shared" ca="1" si="16"/>
        <v>193.3403766831739</v>
      </c>
      <c r="P56" s="85">
        <f t="shared" ca="1" si="17"/>
        <v>192.24232071009826</v>
      </c>
      <c r="Q56" s="85">
        <f t="shared" ca="1" si="18"/>
        <v>205.93021160151349</v>
      </c>
      <c r="R56" s="85">
        <f t="shared" ca="1" si="19"/>
        <v>187.46595509767553</v>
      </c>
      <c r="S56" s="85">
        <f t="shared" ca="1" si="20"/>
        <v>196.69792925565687</v>
      </c>
      <c r="T56" s="85">
        <f t="shared" ca="1" si="21"/>
        <v>202.39968932306837</v>
      </c>
      <c r="U56" s="85">
        <f t="shared" ca="1" si="22"/>
        <v>172.78667417466693</v>
      </c>
      <c r="V56" s="85">
        <f t="shared" ca="1" si="23"/>
        <v>207.7370693610674</v>
      </c>
      <c r="W56" s="85">
        <f t="shared" ca="1" si="24"/>
        <v>195.64497000447699</v>
      </c>
      <c r="X56" s="85">
        <f t="shared" ca="1" si="25"/>
        <v>191.67010541253998</v>
      </c>
      <c r="Y56" s="85">
        <f t="shared" ca="1" si="26"/>
        <v>190.45647522708435</v>
      </c>
      <c r="Z56" s="85">
        <f t="shared" ca="1" si="27"/>
        <v>193.36372873467903</v>
      </c>
      <c r="AA56" s="85">
        <f t="shared" ca="1" si="28"/>
        <v>180.93282400435427</v>
      </c>
      <c r="AB56" s="85">
        <f t="shared" ca="1" si="29"/>
        <v>208.07790607699076</v>
      </c>
      <c r="AC56" s="85">
        <f t="shared" ca="1" si="30"/>
        <v>191.84094453049175</v>
      </c>
      <c r="AD56" s="85">
        <f t="shared" ca="1" si="31"/>
        <v>211.44535032311418</v>
      </c>
      <c r="AE56" s="85">
        <f t="shared" ca="1" si="32"/>
        <v>220.60548624652978</v>
      </c>
      <c r="AF56" s="85">
        <f t="shared" ca="1" si="33"/>
        <v>192.84892872445928</v>
      </c>
      <c r="AG56" s="85">
        <f t="shared" ca="1" si="34"/>
        <v>189.18476245065452</v>
      </c>
      <c r="AH56" s="85">
        <f t="shared" ca="1" si="35"/>
        <v>202.14643338919092</v>
      </c>
      <c r="AI56" s="85">
        <f t="shared" ca="1" si="36"/>
        <v>202.21621818454369</v>
      </c>
      <c r="AJ56" s="85">
        <f t="shared" ca="1" si="37"/>
        <v>213.26673230000193</v>
      </c>
      <c r="AK56" s="85">
        <f t="shared" ca="1" si="38"/>
        <v>196.22875292296615</v>
      </c>
      <c r="AL56" s="85">
        <f t="shared" ca="1" si="39"/>
        <v>201.14190460622382</v>
      </c>
      <c r="AM56" s="85">
        <f t="shared" ca="1" si="40"/>
        <v>188.284547847645</v>
      </c>
      <c r="AN56" s="85">
        <f t="shared" ca="1" si="41"/>
        <v>198.81300173954409</v>
      </c>
      <c r="AO56" s="85">
        <f t="shared" ca="1" si="42"/>
        <v>192.3709775909239</v>
      </c>
      <c r="AP56" s="85">
        <f t="shared" ca="1" si="43"/>
        <v>207.51365840245691</v>
      </c>
      <c r="AQ56" s="85">
        <f t="shared" ca="1" si="44"/>
        <v>187.04792190471215</v>
      </c>
      <c r="AR56" s="85">
        <f t="shared" ca="1" si="45"/>
        <v>197.88330804603027</v>
      </c>
      <c r="AS56" s="85">
        <f t="shared" ca="1" si="46"/>
        <v>191.3584380342856</v>
      </c>
      <c r="AT56" s="85">
        <f t="shared" ca="1" si="47"/>
        <v>204.94037225233743</v>
      </c>
      <c r="AU56" s="85">
        <f t="shared" ca="1" si="48"/>
        <v>194.69098576316716</v>
      </c>
      <c r="AV56" s="85">
        <f t="shared" ca="1" si="49"/>
        <v>210.96457096589884</v>
      </c>
      <c r="AW56" s="85">
        <f t="shared" ca="1" si="50"/>
        <v>200.70694408437308</v>
      </c>
      <c r="AX56" s="85">
        <f t="shared" ca="1" si="51"/>
        <v>217.16947838777904</v>
      </c>
      <c r="AY56" s="85">
        <f t="shared" ca="1" si="52"/>
        <v>210.22882002939133</v>
      </c>
      <c r="AZ56" s="85">
        <f t="shared" ca="1" si="53"/>
        <v>184.52627824149917</v>
      </c>
      <c r="BA56" s="85">
        <f t="shared" ca="1" si="54"/>
        <v>208.56504694037858</v>
      </c>
      <c r="BB56" s="85">
        <f t="shared" ca="1" si="55"/>
        <v>182.86812490982186</v>
      </c>
      <c r="BC56" s="85">
        <f t="shared" ca="1" si="56"/>
        <v>206.22999266916977</v>
      </c>
      <c r="BD56" s="85">
        <f t="shared" ca="1" si="57"/>
        <v>196.91021990970631</v>
      </c>
      <c r="BE56" s="85">
        <f t="shared" ca="1" si="58"/>
        <v>191.54132519660729</v>
      </c>
      <c r="BF56" s="85">
        <f t="shared" ca="1" si="59"/>
        <v>203.69916577325498</v>
      </c>
      <c r="BG56" s="85">
        <f t="shared" ca="1" si="60"/>
        <v>188.68046420668671</v>
      </c>
      <c r="BH56" s="85">
        <f t="shared" ca="1" si="61"/>
        <v>197.55464368057557</v>
      </c>
      <c r="BI56" s="85">
        <f t="shared" ca="1" si="62"/>
        <v>192.22736960075034</v>
      </c>
      <c r="BJ56" s="85">
        <f t="shared" ca="1" si="63"/>
        <v>210.82951040701457</v>
      </c>
      <c r="BK56" s="85">
        <f t="shared" ca="1" si="64"/>
        <v>193.20306136068749</v>
      </c>
      <c r="BL56" s="85">
        <f t="shared" ca="1" si="65"/>
        <v>200.30700898084766</v>
      </c>
      <c r="BM56" s="85">
        <f t="shared" ca="1" si="66"/>
        <v>182.38974535333352</v>
      </c>
      <c r="BN56" s="85">
        <f t="shared" ca="1" si="3"/>
        <v>189.70219349687585</v>
      </c>
      <c r="BO56" s="85">
        <f t="shared" ca="1" si="92"/>
        <v>202.43065430466743</v>
      </c>
      <c r="BP56" s="85">
        <f t="shared" ca="1" si="93"/>
        <v>175.54575350906563</v>
      </c>
      <c r="BQ56" s="85">
        <f t="shared" ca="1" si="94"/>
        <v>191.06411563947765</v>
      </c>
      <c r="BR56" s="85">
        <f t="shared" ca="1" si="95"/>
        <v>180.53470767221228</v>
      </c>
      <c r="BS56" s="85">
        <f t="shared" ca="1" si="96"/>
        <v>194.88358416574033</v>
      </c>
      <c r="BT56" s="85">
        <f t="shared" ca="1" si="97"/>
        <v>197.79977724367521</v>
      </c>
      <c r="BU56" s="85">
        <f t="shared" ca="1" si="98"/>
        <v>210.09710941298556</v>
      </c>
      <c r="BV56" s="85">
        <f t="shared" ca="1" si="99"/>
        <v>200.38553901359791</v>
      </c>
      <c r="BW56" s="85">
        <f t="shared" ca="1" si="100"/>
        <v>210.41019418264307</v>
      </c>
      <c r="BX56" s="85">
        <f t="shared" ca="1" si="101"/>
        <v>200.63927735884513</v>
      </c>
      <c r="BY56" s="85">
        <f t="shared" ca="1" si="67"/>
        <v>203.48357777350549</v>
      </c>
      <c r="BZ56" s="85">
        <f t="shared" ca="1" si="68"/>
        <v>210.88608928081464</v>
      </c>
      <c r="CA56" s="85">
        <f t="shared" ca="1" si="69"/>
        <v>197.25073865074086</v>
      </c>
      <c r="CB56" s="85">
        <f t="shared" ca="1" si="70"/>
        <v>192.58190252931047</v>
      </c>
      <c r="CC56" s="85">
        <f t="shared" ca="1" si="71"/>
        <v>196.14320425246962</v>
      </c>
      <c r="CD56" s="85">
        <f t="shared" ca="1" si="72"/>
        <v>202.34941132364344</v>
      </c>
      <c r="CE56" s="85">
        <f t="shared" ca="1" si="73"/>
        <v>183.4301733924847</v>
      </c>
      <c r="CF56" s="85">
        <f t="shared" ca="1" si="74"/>
        <v>209.01598525181896</v>
      </c>
      <c r="CG56" s="85">
        <f t="shared" ca="1" si="75"/>
        <v>183.28756595107211</v>
      </c>
      <c r="CH56" s="85">
        <f t="shared" ca="1" si="76"/>
        <v>203.68120612389913</v>
      </c>
      <c r="CI56" s="85">
        <f t="shared" ca="1" si="77"/>
        <v>197.67964462746045</v>
      </c>
      <c r="CJ56" s="85">
        <f t="shared" ca="1" si="78"/>
        <v>185.94048462357389</v>
      </c>
      <c r="CK56" s="85">
        <f t="shared" ca="1" si="79"/>
        <v>182.96670443957447</v>
      </c>
      <c r="CL56" s="85">
        <f t="shared" ca="1" si="80"/>
        <v>177.50322754230459</v>
      </c>
      <c r="CM56" s="85">
        <f t="shared" ca="1" si="81"/>
        <v>195.59904986705675</v>
      </c>
      <c r="CN56" s="85">
        <f t="shared" ca="1" si="82"/>
        <v>193.37870509601476</v>
      </c>
      <c r="CO56" s="85">
        <f t="shared" ca="1" si="83"/>
        <v>189.28127449045911</v>
      </c>
      <c r="CP56" s="85">
        <f t="shared" ca="1" si="84"/>
        <v>218.72607191689247</v>
      </c>
      <c r="CQ56" s="85">
        <f t="shared" ca="1" si="85"/>
        <v>208.8054020815226</v>
      </c>
      <c r="CR56" s="85">
        <f t="shared" ca="1" si="86"/>
        <v>206.66246363327988</v>
      </c>
      <c r="CS56" s="85">
        <f t="shared" ca="1" si="87"/>
        <v>189.24576780068807</v>
      </c>
      <c r="CT56" s="85">
        <f t="shared" ca="1" si="88"/>
        <v>195.55030993927002</v>
      </c>
      <c r="CU56" s="85">
        <f t="shared" ca="1" si="89"/>
        <v>215.251119877451</v>
      </c>
      <c r="CV56" s="85">
        <f t="shared" ca="1" si="90"/>
        <v>191.46670769992491</v>
      </c>
      <c r="CW56" s="85">
        <f t="shared" ca="1" si="91"/>
        <v>190.74371344394362</v>
      </c>
    </row>
    <row r="57" spans="1:101" x14ac:dyDescent="0.2">
      <c r="A57" s="115">
        <v>54</v>
      </c>
      <c r="B57" s="85">
        <f t="shared" ca="1" si="2"/>
        <v>188.23764818654584</v>
      </c>
      <c r="C57" s="85">
        <f t="shared" ca="1" si="4"/>
        <v>191.46797475344204</v>
      </c>
      <c r="D57" s="85">
        <f t="shared" ca="1" si="5"/>
        <v>198.47811171925909</v>
      </c>
      <c r="E57" s="85">
        <f t="shared" ca="1" si="6"/>
        <v>196.70349630871331</v>
      </c>
      <c r="F57" s="85">
        <f t="shared" ca="1" si="7"/>
        <v>204.20420471712481</v>
      </c>
      <c r="G57" s="85">
        <f t="shared" ca="1" si="8"/>
        <v>191.52073931942664</v>
      </c>
      <c r="H57" s="85">
        <f t="shared" ca="1" si="9"/>
        <v>193.6432535889048</v>
      </c>
      <c r="I57" s="85">
        <f t="shared" ca="1" si="10"/>
        <v>190.22631720141558</v>
      </c>
      <c r="J57" s="85">
        <f t="shared" ca="1" si="11"/>
        <v>187.40860209201429</v>
      </c>
      <c r="K57" s="85">
        <f t="shared" ca="1" si="12"/>
        <v>176.4640465029934</v>
      </c>
      <c r="L57" s="85">
        <f t="shared" ca="1" si="13"/>
        <v>207.06574480770553</v>
      </c>
      <c r="M57" s="85">
        <f t="shared" ca="1" si="14"/>
        <v>178.48675235997021</v>
      </c>
      <c r="N57" s="85">
        <f t="shared" ca="1" si="15"/>
        <v>203.67568334131659</v>
      </c>
      <c r="O57" s="85">
        <f t="shared" ca="1" si="16"/>
        <v>196.04076266646075</v>
      </c>
      <c r="P57" s="85">
        <f t="shared" ca="1" si="17"/>
        <v>194.54278082815671</v>
      </c>
      <c r="Q57" s="85">
        <f t="shared" ca="1" si="18"/>
        <v>206.61365352644145</v>
      </c>
      <c r="R57" s="85">
        <f t="shared" ca="1" si="19"/>
        <v>190.9258071947464</v>
      </c>
      <c r="S57" s="85">
        <f t="shared" ca="1" si="20"/>
        <v>201.48629571623243</v>
      </c>
      <c r="T57" s="85">
        <f t="shared" ca="1" si="21"/>
        <v>205.39231446202322</v>
      </c>
      <c r="U57" s="85">
        <f t="shared" ca="1" si="22"/>
        <v>174.89636839563562</v>
      </c>
      <c r="V57" s="85">
        <f t="shared" ca="1" si="23"/>
        <v>210.16350221321139</v>
      </c>
      <c r="W57" s="85">
        <f t="shared" ca="1" si="24"/>
        <v>197.53891776599036</v>
      </c>
      <c r="X57" s="85">
        <f t="shared" ca="1" si="25"/>
        <v>195.3341948056034</v>
      </c>
      <c r="Y57" s="85">
        <f t="shared" ca="1" si="26"/>
        <v>192.73447108383542</v>
      </c>
      <c r="Z57" s="85">
        <f t="shared" ca="1" si="27"/>
        <v>195.40339430487265</v>
      </c>
      <c r="AA57" s="85">
        <f t="shared" ca="1" si="28"/>
        <v>183.95848321496374</v>
      </c>
      <c r="AB57" s="85">
        <f t="shared" ca="1" si="29"/>
        <v>210.31955925733905</v>
      </c>
      <c r="AC57" s="85">
        <f t="shared" ca="1" si="30"/>
        <v>193.2016878090547</v>
      </c>
      <c r="AD57" s="85">
        <f t="shared" ca="1" si="31"/>
        <v>216.07848154476119</v>
      </c>
      <c r="AE57" s="85">
        <f t="shared" ca="1" si="32"/>
        <v>222.32797575556825</v>
      </c>
      <c r="AF57" s="85">
        <f t="shared" ca="1" si="33"/>
        <v>195.85733037583418</v>
      </c>
      <c r="AG57" s="85">
        <f t="shared" ca="1" si="34"/>
        <v>190.0088183443693</v>
      </c>
      <c r="AH57" s="85">
        <f t="shared" ca="1" si="35"/>
        <v>205.86169669839742</v>
      </c>
      <c r="AI57" s="85">
        <f t="shared" ca="1" si="36"/>
        <v>205.59429003670581</v>
      </c>
      <c r="AJ57" s="85">
        <f t="shared" ca="1" si="37"/>
        <v>215.3431558943586</v>
      </c>
      <c r="AK57" s="85">
        <f t="shared" ca="1" si="38"/>
        <v>198.86295597492395</v>
      </c>
      <c r="AL57" s="85">
        <f t="shared" ca="1" si="39"/>
        <v>205.77511320165814</v>
      </c>
      <c r="AM57" s="85">
        <f t="shared" ca="1" si="40"/>
        <v>189.5021847692702</v>
      </c>
      <c r="AN57" s="85">
        <f t="shared" ca="1" si="41"/>
        <v>202.61913466379892</v>
      </c>
      <c r="AO57" s="85">
        <f t="shared" ca="1" si="42"/>
        <v>197.03001628533218</v>
      </c>
      <c r="AP57" s="85">
        <f t="shared" ca="1" si="43"/>
        <v>209.38026518793058</v>
      </c>
      <c r="AQ57" s="85">
        <f t="shared" ca="1" si="44"/>
        <v>189.87201114179521</v>
      </c>
      <c r="AR57" s="85">
        <f t="shared" ca="1" si="45"/>
        <v>198.71450338508839</v>
      </c>
      <c r="AS57" s="85">
        <f t="shared" ca="1" si="46"/>
        <v>194.04339485226598</v>
      </c>
      <c r="AT57" s="85">
        <f t="shared" ca="1" si="47"/>
        <v>209.54304884524691</v>
      </c>
      <c r="AU57" s="85">
        <f t="shared" ca="1" si="48"/>
        <v>196.06539404749478</v>
      </c>
      <c r="AV57" s="85">
        <f t="shared" ca="1" si="49"/>
        <v>214.22933507292757</v>
      </c>
      <c r="AW57" s="85">
        <f t="shared" ca="1" si="50"/>
        <v>202.10353865687762</v>
      </c>
      <c r="AX57" s="85">
        <f t="shared" ca="1" si="51"/>
        <v>223.62535675316798</v>
      </c>
      <c r="AY57" s="85">
        <f t="shared" ca="1" si="52"/>
        <v>213.50068465961729</v>
      </c>
      <c r="AZ57" s="85">
        <f t="shared" ca="1" si="53"/>
        <v>186.36727565347311</v>
      </c>
      <c r="BA57" s="85">
        <f t="shared" ca="1" si="54"/>
        <v>211.97482051444854</v>
      </c>
      <c r="BB57" s="85">
        <f t="shared" ca="1" si="55"/>
        <v>186.38668171512765</v>
      </c>
      <c r="BC57" s="85">
        <f t="shared" ca="1" si="56"/>
        <v>207.62813290443611</v>
      </c>
      <c r="BD57" s="85">
        <f t="shared" ca="1" si="57"/>
        <v>198.775337607534</v>
      </c>
      <c r="BE57" s="85">
        <f t="shared" ca="1" si="58"/>
        <v>192.35550277102377</v>
      </c>
      <c r="BF57" s="85">
        <f t="shared" ca="1" si="59"/>
        <v>206.23735303938261</v>
      </c>
      <c r="BG57" s="85">
        <f t="shared" ca="1" si="60"/>
        <v>190.6691007721281</v>
      </c>
      <c r="BH57" s="85">
        <f t="shared" ca="1" si="61"/>
        <v>200.54667001932256</v>
      </c>
      <c r="BI57" s="85">
        <f t="shared" ca="1" si="62"/>
        <v>196.76369119331287</v>
      </c>
      <c r="BJ57" s="85">
        <f t="shared" ca="1" si="63"/>
        <v>214.26938507156243</v>
      </c>
      <c r="BK57" s="85">
        <f t="shared" ca="1" si="64"/>
        <v>193.13509307155215</v>
      </c>
      <c r="BL57" s="85">
        <f t="shared" ca="1" si="65"/>
        <v>201.97260571708122</v>
      </c>
      <c r="BM57" s="85">
        <f t="shared" ca="1" si="66"/>
        <v>183.21421111483625</v>
      </c>
      <c r="BN57" s="85">
        <f t="shared" ca="1" si="3"/>
        <v>190.56183104743019</v>
      </c>
      <c r="BO57" s="85">
        <f t="shared" ca="1" si="92"/>
        <v>206.43769989749777</v>
      </c>
      <c r="BP57" s="85">
        <f t="shared" ca="1" si="93"/>
        <v>179.21335061044584</v>
      </c>
      <c r="BQ57" s="85">
        <f t="shared" ca="1" si="94"/>
        <v>192.46223072818077</v>
      </c>
      <c r="BR57" s="85">
        <f t="shared" ca="1" si="95"/>
        <v>183.68550960649645</v>
      </c>
      <c r="BS57" s="85">
        <f t="shared" ca="1" si="96"/>
        <v>198.14250612242364</v>
      </c>
      <c r="BT57" s="85">
        <f t="shared" ca="1" si="97"/>
        <v>201.67898409313256</v>
      </c>
      <c r="BU57" s="85">
        <f t="shared" ca="1" si="98"/>
        <v>215.62782506726964</v>
      </c>
      <c r="BV57" s="85">
        <f t="shared" ca="1" si="99"/>
        <v>202.82663567931121</v>
      </c>
      <c r="BW57" s="85">
        <f t="shared" ca="1" si="100"/>
        <v>212.95096849188445</v>
      </c>
      <c r="BX57" s="85">
        <f t="shared" ca="1" si="101"/>
        <v>203.79592460586917</v>
      </c>
      <c r="BY57" s="85">
        <f t="shared" ca="1" si="67"/>
        <v>204.57145937752747</v>
      </c>
      <c r="BZ57" s="85">
        <f t="shared" ca="1" si="68"/>
        <v>213.4607137722648</v>
      </c>
      <c r="CA57" s="85">
        <f t="shared" ca="1" si="69"/>
        <v>201.57666793900447</v>
      </c>
      <c r="CB57" s="85">
        <f t="shared" ca="1" si="70"/>
        <v>195.04671676981974</v>
      </c>
      <c r="CC57" s="85">
        <f t="shared" ca="1" si="71"/>
        <v>196.65268513581256</v>
      </c>
      <c r="CD57" s="85">
        <f t="shared" ca="1" si="72"/>
        <v>207.35795905089518</v>
      </c>
      <c r="CE57" s="85">
        <f t="shared" ca="1" si="73"/>
        <v>184.38011448687467</v>
      </c>
      <c r="CF57" s="85">
        <f t="shared" ca="1" si="74"/>
        <v>214.84078770767198</v>
      </c>
      <c r="CG57" s="85">
        <f t="shared" ca="1" si="75"/>
        <v>187.0047119062597</v>
      </c>
      <c r="CH57" s="85">
        <f t="shared" ca="1" si="76"/>
        <v>208.28091890344223</v>
      </c>
      <c r="CI57" s="85">
        <f t="shared" ca="1" si="77"/>
        <v>201.35060682067652</v>
      </c>
      <c r="CJ57" s="85">
        <f t="shared" ca="1" si="78"/>
        <v>187.79963270293752</v>
      </c>
      <c r="CK57" s="85">
        <f t="shared" ca="1" si="79"/>
        <v>185.97929190537687</v>
      </c>
      <c r="CL57" s="85">
        <f t="shared" ca="1" si="80"/>
        <v>182.45764013313817</v>
      </c>
      <c r="CM57" s="85">
        <f t="shared" ca="1" si="81"/>
        <v>198.99687206723081</v>
      </c>
      <c r="CN57" s="85">
        <f t="shared" ca="1" si="82"/>
        <v>196.07882906545944</v>
      </c>
      <c r="CO57" s="85">
        <f t="shared" ca="1" si="83"/>
        <v>190.16767715063241</v>
      </c>
      <c r="CP57" s="85">
        <f t="shared" ca="1" si="84"/>
        <v>221.55260523571872</v>
      </c>
      <c r="CQ57" s="85">
        <f t="shared" ca="1" si="85"/>
        <v>210.14130448701761</v>
      </c>
      <c r="CR57" s="85">
        <f t="shared" ca="1" si="86"/>
        <v>209.7988629901181</v>
      </c>
      <c r="CS57" s="85">
        <f t="shared" ca="1" si="87"/>
        <v>191.65498569276869</v>
      </c>
      <c r="CT57" s="85">
        <f t="shared" ca="1" si="88"/>
        <v>196.74720678654222</v>
      </c>
      <c r="CU57" s="85">
        <f t="shared" ca="1" si="89"/>
        <v>216.24681664511579</v>
      </c>
      <c r="CV57" s="85">
        <f t="shared" ca="1" si="90"/>
        <v>194.23586158431661</v>
      </c>
      <c r="CW57" s="85">
        <f t="shared" ca="1" si="91"/>
        <v>191.7517756632202</v>
      </c>
    </row>
    <row r="58" spans="1:101" x14ac:dyDescent="0.2">
      <c r="A58" s="115">
        <v>55</v>
      </c>
      <c r="B58" s="85">
        <f t="shared" ca="1" si="2"/>
        <v>193.16632516524015</v>
      </c>
      <c r="C58" s="85">
        <f t="shared" ca="1" si="4"/>
        <v>193.3725298327137</v>
      </c>
      <c r="D58" s="85">
        <f t="shared" ca="1" si="5"/>
        <v>202.86439143088776</v>
      </c>
      <c r="E58" s="85">
        <f t="shared" ca="1" si="6"/>
        <v>197.12877656747125</v>
      </c>
      <c r="F58" s="85">
        <f t="shared" ca="1" si="7"/>
        <v>204.7717172464227</v>
      </c>
      <c r="G58" s="85">
        <f t="shared" ca="1" si="8"/>
        <v>196.35715522546863</v>
      </c>
      <c r="H58" s="85">
        <f t="shared" ca="1" si="9"/>
        <v>197.45634387461169</v>
      </c>
      <c r="I58" s="85">
        <f t="shared" ca="1" si="10"/>
        <v>192.29187905723214</v>
      </c>
      <c r="J58" s="85">
        <f t="shared" ca="1" si="11"/>
        <v>191.05265057301821</v>
      </c>
      <c r="K58" s="85">
        <f t="shared" ca="1" si="12"/>
        <v>179.22885993121946</v>
      </c>
      <c r="L58" s="85">
        <f t="shared" ca="1" si="13"/>
        <v>209.36707815314657</v>
      </c>
      <c r="M58" s="85">
        <f t="shared" ca="1" si="14"/>
        <v>180.01683058666046</v>
      </c>
      <c r="N58" s="85">
        <f t="shared" ca="1" si="15"/>
        <v>204.8140217397407</v>
      </c>
      <c r="O58" s="85">
        <f t="shared" ca="1" si="16"/>
        <v>197.13584965243243</v>
      </c>
      <c r="P58" s="85">
        <f t="shared" ca="1" si="17"/>
        <v>198.02811501772078</v>
      </c>
      <c r="Q58" s="85">
        <f t="shared" ca="1" si="18"/>
        <v>208.94130935512905</v>
      </c>
      <c r="R58" s="85">
        <f t="shared" ca="1" si="19"/>
        <v>191.95399318024576</v>
      </c>
      <c r="S58" s="85">
        <f t="shared" ca="1" si="20"/>
        <v>204.23999485462227</v>
      </c>
      <c r="T58" s="85">
        <f t="shared" ca="1" si="21"/>
        <v>207.39293703331759</v>
      </c>
      <c r="U58" s="85">
        <f t="shared" ca="1" si="22"/>
        <v>178.44613087960929</v>
      </c>
      <c r="V58" s="85">
        <f t="shared" ca="1" si="23"/>
        <v>212.57626882148983</v>
      </c>
      <c r="W58" s="85">
        <f t="shared" ca="1" si="24"/>
        <v>198.70434946632562</v>
      </c>
      <c r="X58" s="85">
        <f t="shared" ca="1" si="25"/>
        <v>198.52439131946585</v>
      </c>
      <c r="Y58" s="85">
        <f t="shared" ca="1" si="26"/>
        <v>195.36653472566536</v>
      </c>
      <c r="Z58" s="85">
        <f t="shared" ca="1" si="27"/>
        <v>198.83619560848391</v>
      </c>
      <c r="AA58" s="85">
        <f t="shared" ca="1" si="28"/>
        <v>185.67988832341339</v>
      </c>
      <c r="AB58" s="85">
        <f t="shared" ca="1" si="29"/>
        <v>213.9425817716631</v>
      </c>
      <c r="AC58" s="85">
        <f t="shared" ca="1" si="30"/>
        <v>197.28395022213371</v>
      </c>
      <c r="AD58" s="85">
        <f t="shared" ca="1" si="31"/>
        <v>218.92259490263581</v>
      </c>
      <c r="AE58" s="85">
        <f t="shared" ca="1" si="32"/>
        <v>222.88728902618371</v>
      </c>
      <c r="AF58" s="85">
        <f t="shared" ca="1" si="33"/>
        <v>198.31598276212395</v>
      </c>
      <c r="AG58" s="85">
        <f t="shared" ca="1" si="34"/>
        <v>192.6341695996465</v>
      </c>
      <c r="AH58" s="85">
        <f t="shared" ca="1" si="35"/>
        <v>207.87471187965909</v>
      </c>
      <c r="AI58" s="85">
        <f t="shared" ca="1" si="36"/>
        <v>209.03272650810729</v>
      </c>
      <c r="AJ58" s="85">
        <f t="shared" ca="1" si="37"/>
        <v>220.7981818902914</v>
      </c>
      <c r="AK58" s="85">
        <f t="shared" ca="1" si="38"/>
        <v>200.87470729566132</v>
      </c>
      <c r="AL58" s="85">
        <f t="shared" ca="1" si="39"/>
        <v>210.80416156590448</v>
      </c>
      <c r="AM58" s="85">
        <f t="shared" ca="1" si="40"/>
        <v>191.12820721397347</v>
      </c>
      <c r="AN58" s="85">
        <f t="shared" ca="1" si="41"/>
        <v>205.34931214977186</v>
      </c>
      <c r="AO58" s="85">
        <f t="shared" ca="1" si="42"/>
        <v>200.92784090356864</v>
      </c>
      <c r="AP58" s="85">
        <f t="shared" ca="1" si="43"/>
        <v>214.58226829166722</v>
      </c>
      <c r="AQ58" s="85">
        <f t="shared" ca="1" si="44"/>
        <v>189.79391482913456</v>
      </c>
      <c r="AR58" s="85">
        <f t="shared" ca="1" si="45"/>
        <v>199.96699149897717</v>
      </c>
      <c r="AS58" s="85">
        <f t="shared" ca="1" si="46"/>
        <v>194.96539440697063</v>
      </c>
      <c r="AT58" s="85">
        <f t="shared" ca="1" si="47"/>
        <v>213.43838891083297</v>
      </c>
      <c r="AU58" s="85">
        <f t="shared" ca="1" si="48"/>
        <v>198.81283621120969</v>
      </c>
      <c r="AV58" s="85">
        <f t="shared" ca="1" si="49"/>
        <v>215.51021790673877</v>
      </c>
      <c r="AW58" s="85">
        <f t="shared" ca="1" si="50"/>
        <v>203.17475550665159</v>
      </c>
      <c r="AX58" s="85">
        <f t="shared" ca="1" si="51"/>
        <v>227.79385438459059</v>
      </c>
      <c r="AY58" s="85">
        <f t="shared" ca="1" si="52"/>
        <v>216.37855285657562</v>
      </c>
      <c r="AZ58" s="85">
        <f t="shared" ca="1" si="53"/>
        <v>191.20754400088785</v>
      </c>
      <c r="BA58" s="85">
        <f t="shared" ca="1" si="54"/>
        <v>215.1803343039152</v>
      </c>
      <c r="BB58" s="85">
        <f t="shared" ca="1" si="55"/>
        <v>188.07421757632977</v>
      </c>
      <c r="BC58" s="85">
        <f t="shared" ca="1" si="56"/>
        <v>208.12155814172942</v>
      </c>
      <c r="BD58" s="85">
        <f t="shared" ca="1" si="57"/>
        <v>201.1973660810884</v>
      </c>
      <c r="BE58" s="85">
        <f t="shared" ca="1" si="58"/>
        <v>194.66167856771222</v>
      </c>
      <c r="BF58" s="85">
        <f t="shared" ca="1" si="59"/>
        <v>210.40654161579641</v>
      </c>
      <c r="BG58" s="85">
        <f t="shared" ca="1" si="60"/>
        <v>192.31646578803426</v>
      </c>
      <c r="BH58" s="85">
        <f t="shared" ca="1" si="61"/>
        <v>203.27708432632838</v>
      </c>
      <c r="BI58" s="85">
        <f t="shared" ca="1" si="62"/>
        <v>197.81604749839113</v>
      </c>
      <c r="BJ58" s="85">
        <f t="shared" ca="1" si="63"/>
        <v>217.35258149438235</v>
      </c>
      <c r="BK58" s="85">
        <f t="shared" ca="1" si="64"/>
        <v>196.74445901635502</v>
      </c>
      <c r="BL58" s="85">
        <f t="shared" ca="1" si="65"/>
        <v>203.91731873888861</v>
      </c>
      <c r="BM58" s="85">
        <f t="shared" ca="1" si="66"/>
        <v>186.671156232404</v>
      </c>
      <c r="BN58" s="85">
        <f t="shared" ca="1" si="3"/>
        <v>193.14946069200136</v>
      </c>
      <c r="BO58" s="85">
        <f t="shared" ca="1" si="92"/>
        <v>211.14316437532045</v>
      </c>
      <c r="BP58" s="85">
        <f t="shared" ca="1" si="93"/>
        <v>181.79476146079185</v>
      </c>
      <c r="BQ58" s="85">
        <f t="shared" ca="1" si="94"/>
        <v>195.73439191841155</v>
      </c>
      <c r="BR58" s="85">
        <f t="shared" ca="1" si="95"/>
        <v>185.61466010537401</v>
      </c>
      <c r="BS58" s="85">
        <f t="shared" ca="1" si="96"/>
        <v>199.21092911857028</v>
      </c>
      <c r="BT58" s="85">
        <f t="shared" ca="1" si="97"/>
        <v>205.36270032545278</v>
      </c>
      <c r="BU58" s="85">
        <f t="shared" ca="1" si="98"/>
        <v>217.48439933236278</v>
      </c>
      <c r="BV58" s="85">
        <f t="shared" ca="1" si="99"/>
        <v>204.37876246385372</v>
      </c>
      <c r="BW58" s="85">
        <f t="shared" ca="1" si="100"/>
        <v>214.86225511718234</v>
      </c>
      <c r="BX58" s="85">
        <f t="shared" ca="1" si="101"/>
        <v>206.7013099792984</v>
      </c>
      <c r="BY58" s="85">
        <f t="shared" ca="1" si="67"/>
        <v>206.68233172842619</v>
      </c>
      <c r="BZ58" s="85">
        <f t="shared" ca="1" si="68"/>
        <v>213.53319657125749</v>
      </c>
      <c r="CA58" s="85">
        <f t="shared" ca="1" si="69"/>
        <v>200.16144118215854</v>
      </c>
      <c r="CB58" s="85">
        <f t="shared" ca="1" si="70"/>
        <v>196.02284431028309</v>
      </c>
      <c r="CC58" s="85">
        <f t="shared" ca="1" si="71"/>
        <v>198.71689429777015</v>
      </c>
      <c r="CD58" s="85">
        <f t="shared" ca="1" si="72"/>
        <v>210.38851388586613</v>
      </c>
      <c r="CE58" s="85">
        <f t="shared" ca="1" si="73"/>
        <v>187.03319413394269</v>
      </c>
      <c r="CF58" s="85">
        <f t="shared" ca="1" si="74"/>
        <v>217.9577401706492</v>
      </c>
      <c r="CG58" s="85">
        <f t="shared" ca="1" si="75"/>
        <v>190.46837164613447</v>
      </c>
      <c r="CH58" s="85">
        <f t="shared" ca="1" si="76"/>
        <v>208.15888677332495</v>
      </c>
      <c r="CI58" s="85">
        <f t="shared" ca="1" si="77"/>
        <v>204.48712106795676</v>
      </c>
      <c r="CJ58" s="85">
        <f t="shared" ca="1" si="78"/>
        <v>191.73104934471229</v>
      </c>
      <c r="CK58" s="85">
        <f t="shared" ca="1" si="79"/>
        <v>188.93717738921475</v>
      </c>
      <c r="CL58" s="85">
        <f t="shared" ca="1" si="80"/>
        <v>183.3478288513594</v>
      </c>
      <c r="CM58" s="85">
        <f t="shared" ca="1" si="81"/>
        <v>202.5135860016353</v>
      </c>
      <c r="CN58" s="85">
        <f t="shared" ca="1" si="82"/>
        <v>200.09932826198343</v>
      </c>
      <c r="CO58" s="85">
        <f t="shared" ca="1" si="83"/>
        <v>193.55471810166244</v>
      </c>
      <c r="CP58" s="85">
        <f t="shared" ca="1" si="84"/>
        <v>223.26813661199554</v>
      </c>
      <c r="CQ58" s="85">
        <f t="shared" ca="1" si="85"/>
        <v>213.06416387059906</v>
      </c>
      <c r="CR58" s="85">
        <f t="shared" ca="1" si="86"/>
        <v>212.82602286905532</v>
      </c>
      <c r="CS58" s="85">
        <f t="shared" ca="1" si="87"/>
        <v>192.96501064873044</v>
      </c>
      <c r="CT58" s="85">
        <f t="shared" ca="1" si="88"/>
        <v>202.47107536129303</v>
      </c>
      <c r="CU58" s="85">
        <f t="shared" ca="1" si="89"/>
        <v>217.58257294191932</v>
      </c>
      <c r="CV58" s="85">
        <f t="shared" ca="1" si="90"/>
        <v>194.5948479441532</v>
      </c>
      <c r="CW58" s="85">
        <f t="shared" ca="1" si="91"/>
        <v>194.54202044258508</v>
      </c>
    </row>
    <row r="59" spans="1:101" x14ac:dyDescent="0.2">
      <c r="A59" s="115">
        <v>56</v>
      </c>
      <c r="B59" s="85">
        <f t="shared" ca="1" si="2"/>
        <v>197.90209560206884</v>
      </c>
      <c r="C59" s="85">
        <f t="shared" ca="1" si="4"/>
        <v>196.9215846545942</v>
      </c>
      <c r="D59" s="85">
        <f t="shared" ca="1" si="5"/>
        <v>206.30520527204868</v>
      </c>
      <c r="E59" s="85">
        <f t="shared" ca="1" si="6"/>
        <v>199.43095538463677</v>
      </c>
      <c r="F59" s="85">
        <f t="shared" ca="1" si="7"/>
        <v>206.67603139393464</v>
      </c>
      <c r="G59" s="85">
        <f t="shared" ca="1" si="8"/>
        <v>199.95263515742511</v>
      </c>
      <c r="H59" s="85">
        <f t="shared" ca="1" si="9"/>
        <v>202.96177108170315</v>
      </c>
      <c r="I59" s="85">
        <f t="shared" ca="1" si="10"/>
        <v>194.25179894746836</v>
      </c>
      <c r="J59" s="85">
        <f t="shared" ca="1" si="11"/>
        <v>192.446035427667</v>
      </c>
      <c r="K59" s="85">
        <f t="shared" ca="1" si="12"/>
        <v>180.98859938508639</v>
      </c>
      <c r="L59" s="85">
        <f t="shared" ca="1" si="13"/>
        <v>212.93492929771077</v>
      </c>
      <c r="M59" s="85">
        <f t="shared" ca="1" si="14"/>
        <v>182.95909356187636</v>
      </c>
      <c r="N59" s="85">
        <f t="shared" ca="1" si="15"/>
        <v>208.41563726195096</v>
      </c>
      <c r="O59" s="85">
        <f t="shared" ca="1" si="16"/>
        <v>197.60571170327142</v>
      </c>
      <c r="P59" s="85">
        <f t="shared" ca="1" si="17"/>
        <v>198.66172746051879</v>
      </c>
      <c r="Q59" s="85">
        <f t="shared" ca="1" si="18"/>
        <v>210.20126397221708</v>
      </c>
      <c r="R59" s="85">
        <f t="shared" ca="1" si="19"/>
        <v>194.74825587076319</v>
      </c>
      <c r="S59" s="85">
        <f t="shared" ca="1" si="20"/>
        <v>208.43227667201467</v>
      </c>
      <c r="T59" s="85">
        <f t="shared" ca="1" si="21"/>
        <v>209.59414181299132</v>
      </c>
      <c r="U59" s="85">
        <f t="shared" ca="1" si="22"/>
        <v>180.96680096884376</v>
      </c>
      <c r="V59" s="85">
        <f t="shared" ca="1" si="23"/>
        <v>213.78116639985899</v>
      </c>
      <c r="W59" s="85">
        <f t="shared" ca="1" si="24"/>
        <v>201.50114877252756</v>
      </c>
      <c r="X59" s="85">
        <f t="shared" ca="1" si="25"/>
        <v>201.67767976896499</v>
      </c>
      <c r="Y59" s="85">
        <f t="shared" ca="1" si="26"/>
        <v>198.34535005269478</v>
      </c>
      <c r="Z59" s="85">
        <f t="shared" ca="1" si="27"/>
        <v>201.98360214726117</v>
      </c>
      <c r="AA59" s="85">
        <f t="shared" ca="1" si="28"/>
        <v>188.48162912744516</v>
      </c>
      <c r="AB59" s="85">
        <f t="shared" ca="1" si="29"/>
        <v>216.75223243767107</v>
      </c>
      <c r="AC59" s="85">
        <f t="shared" ca="1" si="30"/>
        <v>199.36173405466428</v>
      </c>
      <c r="AD59" s="85">
        <f t="shared" ca="1" si="31"/>
        <v>221.69361903387971</v>
      </c>
      <c r="AE59" s="85">
        <f t="shared" ca="1" si="32"/>
        <v>224.70231492146522</v>
      </c>
      <c r="AF59" s="85">
        <f t="shared" ca="1" si="33"/>
        <v>201.48206244307787</v>
      </c>
      <c r="AG59" s="85">
        <f t="shared" ca="1" si="34"/>
        <v>195.85168682290885</v>
      </c>
      <c r="AH59" s="85">
        <f t="shared" ca="1" si="35"/>
        <v>209.14841326580571</v>
      </c>
      <c r="AI59" s="85">
        <f t="shared" ca="1" si="36"/>
        <v>214.2721426029828</v>
      </c>
      <c r="AJ59" s="85">
        <f t="shared" ca="1" si="37"/>
        <v>223.25875499525881</v>
      </c>
      <c r="AK59" s="85">
        <f t="shared" ca="1" si="38"/>
        <v>204.78209083379588</v>
      </c>
      <c r="AL59" s="85">
        <f t="shared" ca="1" si="39"/>
        <v>213.87375508771242</v>
      </c>
      <c r="AM59" s="85">
        <f t="shared" ca="1" si="40"/>
        <v>192.23971952291208</v>
      </c>
      <c r="AN59" s="85">
        <f t="shared" ca="1" si="41"/>
        <v>208.88536820192095</v>
      </c>
      <c r="AO59" s="85">
        <f t="shared" ca="1" si="42"/>
        <v>201.64926157751503</v>
      </c>
      <c r="AP59" s="85">
        <f t="shared" ca="1" si="43"/>
        <v>216.61127224930655</v>
      </c>
      <c r="AQ59" s="85">
        <f t="shared" ca="1" si="44"/>
        <v>192.54786807253981</v>
      </c>
      <c r="AR59" s="85">
        <f t="shared" ca="1" si="45"/>
        <v>201.20407986589743</v>
      </c>
      <c r="AS59" s="85">
        <f t="shared" ca="1" si="46"/>
        <v>197.63718539509969</v>
      </c>
      <c r="AT59" s="85">
        <f t="shared" ca="1" si="47"/>
        <v>214.83309292120583</v>
      </c>
      <c r="AU59" s="85">
        <f t="shared" ca="1" si="48"/>
        <v>203.49136769725547</v>
      </c>
      <c r="AV59" s="85">
        <f t="shared" ca="1" si="49"/>
        <v>218.72117661532633</v>
      </c>
      <c r="AW59" s="85">
        <f t="shared" ca="1" si="50"/>
        <v>203.79705126622301</v>
      </c>
      <c r="AX59" s="85">
        <f t="shared" ca="1" si="51"/>
        <v>230.39818547743081</v>
      </c>
      <c r="AY59" s="85">
        <f t="shared" ca="1" si="52"/>
        <v>217.98660986760197</v>
      </c>
      <c r="AZ59" s="85">
        <f t="shared" ca="1" si="53"/>
        <v>194.38829417505494</v>
      </c>
      <c r="BA59" s="85">
        <f t="shared" ca="1" si="54"/>
        <v>217.78962042307077</v>
      </c>
      <c r="BB59" s="85">
        <f t="shared" ca="1" si="55"/>
        <v>191.36698017154623</v>
      </c>
      <c r="BC59" s="85">
        <f t="shared" ca="1" si="56"/>
        <v>210.34572360705778</v>
      </c>
      <c r="BD59" s="85">
        <f t="shared" ca="1" si="57"/>
        <v>204.54066264796901</v>
      </c>
      <c r="BE59" s="85">
        <f t="shared" ca="1" si="58"/>
        <v>194.87216994402243</v>
      </c>
      <c r="BF59" s="85">
        <f t="shared" ca="1" si="59"/>
        <v>211.07704071199706</v>
      </c>
      <c r="BG59" s="85">
        <f t="shared" ca="1" si="60"/>
        <v>193.48819606039828</v>
      </c>
      <c r="BH59" s="85">
        <f t="shared" ca="1" si="61"/>
        <v>208.24580231480999</v>
      </c>
      <c r="BI59" s="85">
        <f t="shared" ca="1" si="62"/>
        <v>199.25582231737778</v>
      </c>
      <c r="BJ59" s="85">
        <f t="shared" ca="1" si="63"/>
        <v>220.37812331475513</v>
      </c>
      <c r="BK59" s="85">
        <f t="shared" ca="1" si="64"/>
        <v>198.82686114439642</v>
      </c>
      <c r="BL59" s="85">
        <f t="shared" ca="1" si="65"/>
        <v>209.30544801431981</v>
      </c>
      <c r="BM59" s="85">
        <f t="shared" ca="1" si="66"/>
        <v>188.39721746426005</v>
      </c>
      <c r="BN59" s="85">
        <f t="shared" ca="1" si="3"/>
        <v>196.18249292904045</v>
      </c>
      <c r="BO59" s="85">
        <f t="shared" ca="1" si="92"/>
        <v>215.01750105398128</v>
      </c>
      <c r="BP59" s="85">
        <f t="shared" ca="1" si="93"/>
        <v>184.65405934386379</v>
      </c>
      <c r="BQ59" s="85">
        <f t="shared" ca="1" si="94"/>
        <v>196.75514954306084</v>
      </c>
      <c r="BR59" s="85">
        <f t="shared" ca="1" si="95"/>
        <v>189.29002971438578</v>
      </c>
      <c r="BS59" s="85">
        <f t="shared" ca="1" si="96"/>
        <v>202.68674802116089</v>
      </c>
      <c r="BT59" s="85">
        <f t="shared" ca="1" si="97"/>
        <v>207.10304722366109</v>
      </c>
      <c r="BU59" s="85">
        <f t="shared" ca="1" si="98"/>
        <v>220.10218867873493</v>
      </c>
      <c r="BV59" s="85">
        <f t="shared" ca="1" si="99"/>
        <v>206.45205532812375</v>
      </c>
      <c r="BW59" s="85">
        <f t="shared" ca="1" si="100"/>
        <v>219.84287715131634</v>
      </c>
      <c r="BX59" s="85">
        <f t="shared" ca="1" si="101"/>
        <v>209.71031369949105</v>
      </c>
      <c r="BY59" s="85">
        <f t="shared" ca="1" si="67"/>
        <v>210.04371792232584</v>
      </c>
      <c r="BZ59" s="85">
        <f t="shared" ca="1" si="68"/>
        <v>214.77966387443476</v>
      </c>
      <c r="CA59" s="85">
        <f t="shared" ca="1" si="69"/>
        <v>202.7115022401739</v>
      </c>
      <c r="CB59" s="85">
        <f t="shared" ca="1" si="70"/>
        <v>198.46670414685246</v>
      </c>
      <c r="CC59" s="85">
        <f t="shared" ca="1" si="71"/>
        <v>203.56590313957568</v>
      </c>
      <c r="CD59" s="85">
        <f t="shared" ca="1" si="72"/>
        <v>214.7771874869749</v>
      </c>
      <c r="CE59" s="85">
        <f t="shared" ca="1" si="73"/>
        <v>190.11930447751115</v>
      </c>
      <c r="CF59" s="85">
        <f t="shared" ca="1" si="74"/>
        <v>219.9720567613177</v>
      </c>
      <c r="CG59" s="85">
        <f t="shared" ca="1" si="75"/>
        <v>194.27665948995997</v>
      </c>
      <c r="CH59" s="85">
        <f t="shared" ca="1" si="76"/>
        <v>208.97753707452338</v>
      </c>
      <c r="CI59" s="85">
        <f t="shared" ca="1" si="77"/>
        <v>206.20329894466869</v>
      </c>
      <c r="CJ59" s="85">
        <f t="shared" ca="1" si="78"/>
        <v>194.58217882596679</v>
      </c>
      <c r="CK59" s="85">
        <f t="shared" ca="1" si="79"/>
        <v>193.24582193140537</v>
      </c>
      <c r="CL59" s="85">
        <f t="shared" ca="1" si="80"/>
        <v>185.85163309512939</v>
      </c>
      <c r="CM59" s="85">
        <f t="shared" ca="1" si="81"/>
        <v>205.95920491089535</v>
      </c>
      <c r="CN59" s="85">
        <f t="shared" ca="1" si="82"/>
        <v>202.37429171695538</v>
      </c>
      <c r="CO59" s="85">
        <f t="shared" ca="1" si="83"/>
        <v>195.78004770458762</v>
      </c>
      <c r="CP59" s="85">
        <f t="shared" ca="1" si="84"/>
        <v>228.22202689440721</v>
      </c>
      <c r="CQ59" s="85">
        <f t="shared" ca="1" si="85"/>
        <v>219.07788964016743</v>
      </c>
      <c r="CR59" s="85">
        <f t="shared" ca="1" si="86"/>
        <v>215.90109721197794</v>
      </c>
      <c r="CS59" s="85">
        <f t="shared" ca="1" si="87"/>
        <v>195.52634732640007</v>
      </c>
      <c r="CT59" s="85">
        <f t="shared" ca="1" si="88"/>
        <v>205.16672894871738</v>
      </c>
      <c r="CU59" s="85">
        <f t="shared" ca="1" si="89"/>
        <v>221.60146880462347</v>
      </c>
      <c r="CV59" s="85">
        <f t="shared" ca="1" si="90"/>
        <v>196.31863546410949</v>
      </c>
      <c r="CW59" s="85">
        <f t="shared" ca="1" si="91"/>
        <v>197.94970562686197</v>
      </c>
    </row>
    <row r="60" spans="1:101" x14ac:dyDescent="0.2">
      <c r="A60" s="115">
        <v>57</v>
      </c>
      <c r="B60" s="85">
        <f t="shared" ca="1" si="2"/>
        <v>201.34986788524191</v>
      </c>
      <c r="C60" s="85">
        <f t="shared" ca="1" si="4"/>
        <v>201.06322096616009</v>
      </c>
      <c r="D60" s="85">
        <f t="shared" ca="1" si="5"/>
        <v>208.18002348648852</v>
      </c>
      <c r="E60" s="85">
        <f t="shared" ca="1" si="6"/>
        <v>199.83424780672993</v>
      </c>
      <c r="F60" s="85">
        <f t="shared" ca="1" si="7"/>
        <v>209.16056041599197</v>
      </c>
      <c r="G60" s="85">
        <f t="shared" ca="1" si="8"/>
        <v>203.23373940566535</v>
      </c>
      <c r="H60" s="85">
        <f t="shared" ca="1" si="9"/>
        <v>202.74389014877923</v>
      </c>
      <c r="I60" s="85">
        <f t="shared" ca="1" si="10"/>
        <v>197.17815879439402</v>
      </c>
      <c r="J60" s="85">
        <f t="shared" ca="1" si="11"/>
        <v>195.43331517130474</v>
      </c>
      <c r="K60" s="85">
        <f t="shared" ca="1" si="12"/>
        <v>184.05464640388334</v>
      </c>
      <c r="L60" s="85">
        <f t="shared" ca="1" si="13"/>
        <v>214.56473617080405</v>
      </c>
      <c r="M60" s="85">
        <f t="shared" ca="1" si="14"/>
        <v>185.90713318369887</v>
      </c>
      <c r="N60" s="85">
        <f t="shared" ca="1" si="15"/>
        <v>213.776012543908</v>
      </c>
      <c r="O60" s="85">
        <f t="shared" ca="1" si="16"/>
        <v>199.72793380500826</v>
      </c>
      <c r="P60" s="85">
        <f t="shared" ca="1" si="17"/>
        <v>203.63865505271849</v>
      </c>
      <c r="Q60" s="85">
        <f t="shared" ca="1" si="18"/>
        <v>211.66294452484954</v>
      </c>
      <c r="R60" s="85">
        <f t="shared" ca="1" si="19"/>
        <v>195.00927152248968</v>
      </c>
      <c r="S60" s="85">
        <f t="shared" ca="1" si="20"/>
        <v>207.12051789698108</v>
      </c>
      <c r="T60" s="85">
        <f t="shared" ca="1" si="21"/>
        <v>211.89337899184642</v>
      </c>
      <c r="U60" s="85">
        <f t="shared" ca="1" si="22"/>
        <v>182.70307845028401</v>
      </c>
      <c r="V60" s="85">
        <f t="shared" ca="1" si="23"/>
        <v>216.82594907209051</v>
      </c>
      <c r="W60" s="85">
        <f t="shared" ca="1" si="24"/>
        <v>206.42131534489508</v>
      </c>
      <c r="X60" s="85">
        <f t="shared" ca="1" si="25"/>
        <v>203.36246512390412</v>
      </c>
      <c r="Y60" s="85">
        <f t="shared" ca="1" si="26"/>
        <v>200.34005970470156</v>
      </c>
      <c r="Z60" s="85">
        <f t="shared" ca="1" si="27"/>
        <v>202.8101224032217</v>
      </c>
      <c r="AA60" s="85">
        <f t="shared" ca="1" si="28"/>
        <v>189.99821947607415</v>
      </c>
      <c r="AB60" s="85">
        <f t="shared" ca="1" si="29"/>
        <v>220.66533653992448</v>
      </c>
      <c r="AC60" s="85">
        <f t="shared" ca="1" si="30"/>
        <v>202.49808191286877</v>
      </c>
      <c r="AD60" s="85">
        <f t="shared" ca="1" si="31"/>
        <v>221.97613309531539</v>
      </c>
      <c r="AE60" s="85">
        <f t="shared" ca="1" si="32"/>
        <v>227.70855286227521</v>
      </c>
      <c r="AF60" s="85">
        <f t="shared" ca="1" si="33"/>
        <v>202.35936606237277</v>
      </c>
      <c r="AG60" s="85">
        <f t="shared" ca="1" si="34"/>
        <v>199.30572633335694</v>
      </c>
      <c r="AH60" s="85">
        <f t="shared" ca="1" si="35"/>
        <v>211.15562619331266</v>
      </c>
      <c r="AI60" s="85">
        <f t="shared" ca="1" si="36"/>
        <v>216.43914369324165</v>
      </c>
      <c r="AJ60" s="85">
        <f t="shared" ca="1" si="37"/>
        <v>228.78711143204171</v>
      </c>
      <c r="AK60" s="85">
        <f t="shared" ca="1" si="38"/>
        <v>209.78956894895833</v>
      </c>
      <c r="AL60" s="85">
        <f t="shared" ca="1" si="39"/>
        <v>215.18116847270684</v>
      </c>
      <c r="AM60" s="85">
        <f t="shared" ca="1" si="40"/>
        <v>193.42206252618786</v>
      </c>
      <c r="AN60" s="85">
        <f t="shared" ca="1" si="41"/>
        <v>210.03973265420555</v>
      </c>
      <c r="AO60" s="85">
        <f t="shared" ca="1" si="42"/>
        <v>204.0400656997777</v>
      </c>
      <c r="AP60" s="85">
        <f t="shared" ca="1" si="43"/>
        <v>220.22157146900724</v>
      </c>
      <c r="AQ60" s="85">
        <f t="shared" ca="1" si="44"/>
        <v>194.23931371169886</v>
      </c>
      <c r="AR60" s="85">
        <f t="shared" ca="1" si="45"/>
        <v>206.27971366648933</v>
      </c>
      <c r="AS60" s="85">
        <f t="shared" ca="1" si="46"/>
        <v>198.6515124727413</v>
      </c>
      <c r="AT60" s="85">
        <f t="shared" ca="1" si="47"/>
        <v>218.97398208389345</v>
      </c>
      <c r="AU60" s="85">
        <f t="shared" ca="1" si="48"/>
        <v>205.6641405701223</v>
      </c>
      <c r="AV60" s="85">
        <f t="shared" ca="1" si="49"/>
        <v>221.81073142543286</v>
      </c>
      <c r="AW60" s="85">
        <f t="shared" ca="1" si="50"/>
        <v>207.38255307988632</v>
      </c>
      <c r="AX60" s="85">
        <f t="shared" ca="1" si="51"/>
        <v>234.54707768455648</v>
      </c>
      <c r="AY60" s="85">
        <f t="shared" ca="1" si="52"/>
        <v>220.84018108129067</v>
      </c>
      <c r="AZ60" s="85">
        <f t="shared" ca="1" si="53"/>
        <v>195.19973600672364</v>
      </c>
      <c r="BA60" s="85">
        <f t="shared" ca="1" si="54"/>
        <v>220.13907646958842</v>
      </c>
      <c r="BB60" s="85">
        <f t="shared" ca="1" si="55"/>
        <v>194.8881956406982</v>
      </c>
      <c r="BC60" s="85">
        <f t="shared" ca="1" si="56"/>
        <v>212.31533152996346</v>
      </c>
      <c r="BD60" s="85">
        <f t="shared" ca="1" si="57"/>
        <v>204.5708936571495</v>
      </c>
      <c r="BE60" s="85">
        <f t="shared" ca="1" si="58"/>
        <v>198.29519415192055</v>
      </c>
      <c r="BF60" s="85">
        <f t="shared" ca="1" si="59"/>
        <v>212.97434276530936</v>
      </c>
      <c r="BG60" s="85">
        <f t="shared" ca="1" si="60"/>
        <v>195.71314044771577</v>
      </c>
      <c r="BH60" s="85">
        <f t="shared" ca="1" si="61"/>
        <v>209.76621067967724</v>
      </c>
      <c r="BI60" s="85">
        <f t="shared" ca="1" si="62"/>
        <v>201.18377965781232</v>
      </c>
      <c r="BJ60" s="85">
        <f t="shared" ca="1" si="63"/>
        <v>223.94974583618225</v>
      </c>
      <c r="BK60" s="85">
        <f t="shared" ca="1" si="64"/>
        <v>203.36996084809451</v>
      </c>
      <c r="BL60" s="85">
        <f t="shared" ca="1" si="65"/>
        <v>213.60288481061244</v>
      </c>
      <c r="BM60" s="85">
        <f t="shared" ca="1" si="66"/>
        <v>191.96340698646301</v>
      </c>
      <c r="BN60" s="85">
        <f t="shared" ca="1" si="3"/>
        <v>199.43439808470393</v>
      </c>
      <c r="BO60" s="85">
        <f t="shared" ca="1" si="92"/>
        <v>219.87705752792513</v>
      </c>
      <c r="BP60" s="85">
        <f t="shared" ca="1" si="93"/>
        <v>186.2899237307945</v>
      </c>
      <c r="BQ60" s="85">
        <f t="shared" ca="1" si="94"/>
        <v>199.89587364347815</v>
      </c>
      <c r="BR60" s="85">
        <f t="shared" ca="1" si="95"/>
        <v>193.12949381004486</v>
      </c>
      <c r="BS60" s="85">
        <f t="shared" ca="1" si="96"/>
        <v>206.18833383549909</v>
      </c>
      <c r="BT60" s="85">
        <f t="shared" ca="1" si="97"/>
        <v>209.9169498233077</v>
      </c>
      <c r="BU60" s="85">
        <f t="shared" ca="1" si="98"/>
        <v>222.56696338833527</v>
      </c>
      <c r="BV60" s="85">
        <f t="shared" ca="1" si="99"/>
        <v>212.02969959038953</v>
      </c>
      <c r="BW60" s="85">
        <f t="shared" ca="1" si="100"/>
        <v>224.13315083570623</v>
      </c>
      <c r="BX60" s="85">
        <f t="shared" ca="1" si="101"/>
        <v>210.20849187695148</v>
      </c>
      <c r="BY60" s="85">
        <f t="shared" ca="1" si="67"/>
        <v>214.5882855215954</v>
      </c>
      <c r="BZ60" s="85">
        <f t="shared" ca="1" si="68"/>
        <v>218.04407415252678</v>
      </c>
      <c r="CA60" s="85">
        <f t="shared" ca="1" si="69"/>
        <v>204.82438717497598</v>
      </c>
      <c r="CB60" s="85">
        <f t="shared" ca="1" si="70"/>
        <v>200.54616762069094</v>
      </c>
      <c r="CC60" s="85">
        <f t="shared" ca="1" si="71"/>
        <v>207.58432872530742</v>
      </c>
      <c r="CD60" s="85">
        <f t="shared" ca="1" si="72"/>
        <v>216.88771430669831</v>
      </c>
      <c r="CE60" s="85">
        <f t="shared" ca="1" si="73"/>
        <v>193.62232112842315</v>
      </c>
      <c r="CF60" s="85">
        <f t="shared" ca="1" si="74"/>
        <v>222.70041474355884</v>
      </c>
      <c r="CG60" s="85">
        <f t="shared" ca="1" si="75"/>
        <v>197.54540639584769</v>
      </c>
      <c r="CH60" s="85">
        <f t="shared" ca="1" si="76"/>
        <v>211.7532441111091</v>
      </c>
      <c r="CI60" s="85">
        <f t="shared" ca="1" si="77"/>
        <v>209.64400983246196</v>
      </c>
      <c r="CJ60" s="85">
        <f t="shared" ca="1" si="78"/>
        <v>195.73123235791701</v>
      </c>
      <c r="CK60" s="85">
        <f t="shared" ca="1" si="79"/>
        <v>194.98186161674113</v>
      </c>
      <c r="CL60" s="85">
        <f t="shared" ca="1" si="80"/>
        <v>190.02070341179308</v>
      </c>
      <c r="CM60" s="85">
        <f t="shared" ca="1" si="81"/>
        <v>210.63475979999765</v>
      </c>
      <c r="CN60" s="85">
        <f t="shared" ca="1" si="82"/>
        <v>205.33012594227688</v>
      </c>
      <c r="CO60" s="85">
        <f t="shared" ca="1" si="83"/>
        <v>199.02354851176634</v>
      </c>
      <c r="CP60" s="85">
        <f t="shared" ca="1" si="84"/>
        <v>233.02457430378891</v>
      </c>
      <c r="CQ60" s="85">
        <f t="shared" ca="1" si="85"/>
        <v>221.21199810554978</v>
      </c>
      <c r="CR60" s="85">
        <f t="shared" ca="1" si="86"/>
        <v>221.42399779290758</v>
      </c>
      <c r="CS60" s="85">
        <f t="shared" ca="1" si="87"/>
        <v>200.18399418178183</v>
      </c>
      <c r="CT60" s="85">
        <f t="shared" ca="1" si="88"/>
        <v>210.15214993533317</v>
      </c>
      <c r="CU60" s="85">
        <f t="shared" ca="1" si="89"/>
        <v>224.51695516927322</v>
      </c>
      <c r="CV60" s="85">
        <f t="shared" ca="1" si="90"/>
        <v>200.70470651446377</v>
      </c>
      <c r="CW60" s="85">
        <f t="shared" ca="1" si="91"/>
        <v>203.02121552585126</v>
      </c>
    </row>
    <row r="61" spans="1:101" x14ac:dyDescent="0.2">
      <c r="A61" s="115">
        <v>58</v>
      </c>
      <c r="B61" s="85">
        <f t="shared" ca="1" si="2"/>
        <v>203.4763530619654</v>
      </c>
      <c r="C61" s="85">
        <f t="shared" ca="1" si="4"/>
        <v>200.87832703369571</v>
      </c>
      <c r="D61" s="85">
        <f t="shared" ca="1" si="5"/>
        <v>213.48793520616951</v>
      </c>
      <c r="E61" s="85">
        <f t="shared" ca="1" si="6"/>
        <v>200.76835629831695</v>
      </c>
      <c r="F61" s="85">
        <f t="shared" ca="1" si="7"/>
        <v>211.38896644413865</v>
      </c>
      <c r="G61" s="85">
        <f t="shared" ca="1" si="8"/>
        <v>206.52351354723413</v>
      </c>
      <c r="H61" s="85">
        <f t="shared" ca="1" si="9"/>
        <v>207.06258935604055</v>
      </c>
      <c r="I61" s="85">
        <f t="shared" ca="1" si="10"/>
        <v>198.70761063291536</v>
      </c>
      <c r="J61" s="85">
        <f t="shared" ca="1" si="11"/>
        <v>197.30160803183188</v>
      </c>
      <c r="K61" s="85">
        <f t="shared" ca="1" si="12"/>
        <v>188.86500375066208</v>
      </c>
      <c r="L61" s="85">
        <f t="shared" ca="1" si="13"/>
        <v>219.6383743406488</v>
      </c>
      <c r="M61" s="85">
        <f t="shared" ca="1" si="14"/>
        <v>188.25911005507507</v>
      </c>
      <c r="N61" s="85">
        <f t="shared" ca="1" si="15"/>
        <v>216.41692652029178</v>
      </c>
      <c r="O61" s="85">
        <f t="shared" ca="1" si="16"/>
        <v>199.7488709498499</v>
      </c>
      <c r="P61" s="85">
        <f t="shared" ca="1" si="17"/>
        <v>205.92810267683251</v>
      </c>
      <c r="Q61" s="85">
        <f t="shared" ca="1" si="18"/>
        <v>214.81528001684731</v>
      </c>
      <c r="R61" s="85">
        <f t="shared" ca="1" si="19"/>
        <v>198.67934588112905</v>
      </c>
      <c r="S61" s="85">
        <f t="shared" ca="1" si="20"/>
        <v>210.31637278307164</v>
      </c>
      <c r="T61" s="85">
        <f t="shared" ca="1" si="21"/>
        <v>216.65626231329486</v>
      </c>
      <c r="U61" s="85">
        <f t="shared" ca="1" si="22"/>
        <v>185.15818997908269</v>
      </c>
      <c r="V61" s="85">
        <f t="shared" ca="1" si="23"/>
        <v>221.114525672589</v>
      </c>
      <c r="W61" s="85">
        <f t="shared" ca="1" si="24"/>
        <v>211.34082569763387</v>
      </c>
      <c r="X61" s="85">
        <f t="shared" ca="1" si="25"/>
        <v>207.93403405912881</v>
      </c>
      <c r="Y61" s="85">
        <f t="shared" ca="1" si="26"/>
        <v>201.57416034766894</v>
      </c>
      <c r="Z61" s="85">
        <f t="shared" ca="1" si="27"/>
        <v>206.00536756916125</v>
      </c>
      <c r="AA61" s="85">
        <f t="shared" ca="1" si="28"/>
        <v>195.49200113246067</v>
      </c>
      <c r="AB61" s="85">
        <f t="shared" ca="1" si="29"/>
        <v>225.006974364554</v>
      </c>
      <c r="AC61" s="85">
        <f t="shared" ca="1" si="30"/>
        <v>205.01845365073927</v>
      </c>
      <c r="AD61" s="85">
        <f t="shared" ca="1" si="31"/>
        <v>225.51255026040238</v>
      </c>
      <c r="AE61" s="85">
        <f t="shared" ca="1" si="32"/>
        <v>231.03842471142389</v>
      </c>
      <c r="AF61" s="85">
        <f t="shared" ca="1" si="33"/>
        <v>205.84284955575563</v>
      </c>
      <c r="AG61" s="85">
        <f t="shared" ca="1" si="34"/>
        <v>203.14815269785174</v>
      </c>
      <c r="AH61" s="85">
        <f t="shared" ca="1" si="35"/>
        <v>211.41156510890696</v>
      </c>
      <c r="AI61" s="85">
        <f t="shared" ca="1" si="36"/>
        <v>220.4070769240235</v>
      </c>
      <c r="AJ61" s="85">
        <f t="shared" ca="1" si="37"/>
        <v>231.25649993354648</v>
      </c>
      <c r="AK61" s="85">
        <f t="shared" ca="1" si="38"/>
        <v>214.38542395739006</v>
      </c>
      <c r="AL61" s="85">
        <f t="shared" ca="1" si="39"/>
        <v>219.50855865181157</v>
      </c>
      <c r="AM61" s="85">
        <f t="shared" ca="1" si="40"/>
        <v>195.12105197241385</v>
      </c>
      <c r="AN61" s="85">
        <f t="shared" ca="1" si="41"/>
        <v>211.75556743163847</v>
      </c>
      <c r="AO61" s="85">
        <f t="shared" ca="1" si="42"/>
        <v>206.78064305945082</v>
      </c>
      <c r="AP61" s="85">
        <f t="shared" ca="1" si="43"/>
        <v>221.00436579461331</v>
      </c>
      <c r="AQ61" s="85">
        <f t="shared" ca="1" si="44"/>
        <v>196.10506509734117</v>
      </c>
      <c r="AR61" s="85">
        <f t="shared" ca="1" si="45"/>
        <v>211.02143721119509</v>
      </c>
      <c r="AS61" s="85">
        <f t="shared" ca="1" si="46"/>
        <v>200.23377621800608</v>
      </c>
      <c r="AT61" s="85">
        <f t="shared" ca="1" si="47"/>
        <v>220.91973021167522</v>
      </c>
      <c r="AU61" s="85">
        <f t="shared" ca="1" si="48"/>
        <v>210.0682733422004</v>
      </c>
      <c r="AV61" s="85">
        <f t="shared" ca="1" si="49"/>
        <v>226.51783871313262</v>
      </c>
      <c r="AW61" s="85">
        <f t="shared" ca="1" si="50"/>
        <v>211.54230850516637</v>
      </c>
      <c r="AX61" s="85">
        <f t="shared" ca="1" si="51"/>
        <v>239.16133762551084</v>
      </c>
      <c r="AY61" s="85">
        <f t="shared" ca="1" si="52"/>
        <v>223.13558091515506</v>
      </c>
      <c r="AZ61" s="85">
        <f t="shared" ca="1" si="53"/>
        <v>195.86820428735277</v>
      </c>
      <c r="BA61" s="85">
        <f t="shared" ca="1" si="54"/>
        <v>225.44066056993043</v>
      </c>
      <c r="BB61" s="85">
        <f t="shared" ca="1" si="55"/>
        <v>197.86084198572041</v>
      </c>
      <c r="BC61" s="85">
        <f t="shared" ca="1" si="56"/>
        <v>212.31413816457007</v>
      </c>
      <c r="BD61" s="85">
        <f t="shared" ca="1" si="57"/>
        <v>205.79472515707684</v>
      </c>
      <c r="BE61" s="85">
        <f t="shared" ca="1" si="58"/>
        <v>201.16951183692879</v>
      </c>
      <c r="BF61" s="85">
        <f t="shared" ca="1" si="59"/>
        <v>214.52583691330307</v>
      </c>
      <c r="BG61" s="85">
        <f t="shared" ca="1" si="60"/>
        <v>198.03447360065016</v>
      </c>
      <c r="BH61" s="85">
        <f t="shared" ca="1" si="61"/>
        <v>210.72038283474066</v>
      </c>
      <c r="BI61" s="85">
        <f t="shared" ca="1" si="62"/>
        <v>204.33385341760754</v>
      </c>
      <c r="BJ61" s="85">
        <f t="shared" ca="1" si="63"/>
        <v>227.99331622751851</v>
      </c>
      <c r="BK61" s="85">
        <f t="shared" ca="1" si="64"/>
        <v>206.95992664225949</v>
      </c>
      <c r="BL61" s="85">
        <f t="shared" ca="1" si="65"/>
        <v>215.61109134809527</v>
      </c>
      <c r="BM61" s="85">
        <f t="shared" ca="1" si="66"/>
        <v>197.07966951816863</v>
      </c>
      <c r="BN61" s="85">
        <f t="shared" ca="1" si="3"/>
        <v>203.91818081308992</v>
      </c>
      <c r="BO61" s="85">
        <f t="shared" ca="1" si="92"/>
        <v>223.57463709245428</v>
      </c>
      <c r="BP61" s="85">
        <f t="shared" ca="1" si="93"/>
        <v>188.77204265654737</v>
      </c>
      <c r="BQ61" s="85">
        <f t="shared" ca="1" si="94"/>
        <v>202.43174296731149</v>
      </c>
      <c r="BR61" s="85">
        <f t="shared" ca="1" si="95"/>
        <v>194.63755926140405</v>
      </c>
      <c r="BS61" s="85">
        <f t="shared" ca="1" si="96"/>
        <v>209.16284122829981</v>
      </c>
      <c r="BT61" s="85">
        <f t="shared" ca="1" si="97"/>
        <v>213.90894917567209</v>
      </c>
      <c r="BU61" s="85">
        <f t="shared" ca="1" si="98"/>
        <v>225.33160420677052</v>
      </c>
      <c r="BV61" s="85">
        <f t="shared" ca="1" si="99"/>
        <v>215.17634143296547</v>
      </c>
      <c r="BW61" s="85">
        <f t="shared" ca="1" si="100"/>
        <v>227.77656743261338</v>
      </c>
      <c r="BX61" s="85">
        <f t="shared" ca="1" si="101"/>
        <v>211.96660877800079</v>
      </c>
      <c r="BY61" s="85">
        <f t="shared" ca="1" si="67"/>
        <v>215.96096944193658</v>
      </c>
      <c r="BZ61" s="85">
        <f t="shared" ca="1" si="68"/>
        <v>220.59369924217447</v>
      </c>
      <c r="CA61" s="85">
        <f t="shared" ca="1" si="69"/>
        <v>207.99329845536738</v>
      </c>
      <c r="CB61" s="85">
        <f t="shared" ca="1" si="70"/>
        <v>204.75323154160014</v>
      </c>
      <c r="CC61" s="85">
        <f t="shared" ca="1" si="71"/>
        <v>213.22514527576709</v>
      </c>
      <c r="CD61" s="85">
        <f t="shared" ca="1" si="72"/>
        <v>220.29051524717744</v>
      </c>
      <c r="CE61" s="85">
        <f t="shared" ca="1" si="73"/>
        <v>198.53847789314349</v>
      </c>
      <c r="CF61" s="85">
        <f t="shared" ca="1" si="74"/>
        <v>225.8381523248799</v>
      </c>
      <c r="CG61" s="85">
        <f t="shared" ca="1" si="75"/>
        <v>200.55533354445791</v>
      </c>
      <c r="CH61" s="85">
        <f t="shared" ca="1" si="76"/>
        <v>212.58673242824864</v>
      </c>
      <c r="CI61" s="85">
        <f t="shared" ca="1" si="77"/>
        <v>211.66887273023883</v>
      </c>
      <c r="CJ61" s="85">
        <f t="shared" ca="1" si="78"/>
        <v>200.77393660117613</v>
      </c>
      <c r="CK61" s="85">
        <f t="shared" ca="1" si="79"/>
        <v>196.92659558052037</v>
      </c>
      <c r="CL61" s="85">
        <f t="shared" ca="1" si="80"/>
        <v>190.20309059284128</v>
      </c>
      <c r="CM61" s="85">
        <f t="shared" ca="1" si="81"/>
        <v>215.47681500208506</v>
      </c>
      <c r="CN61" s="85">
        <f t="shared" ca="1" si="82"/>
        <v>205.84811322912125</v>
      </c>
      <c r="CO61" s="85">
        <f t="shared" ca="1" si="83"/>
        <v>200.3282751582949</v>
      </c>
      <c r="CP61" s="85">
        <f t="shared" ca="1" si="84"/>
        <v>235.72741177839515</v>
      </c>
      <c r="CQ61" s="85">
        <f t="shared" ca="1" si="85"/>
        <v>224.23400039091055</v>
      </c>
      <c r="CR61" s="85">
        <f t="shared" ca="1" si="86"/>
        <v>222.43790733371165</v>
      </c>
      <c r="CS61" s="85">
        <f t="shared" ca="1" si="87"/>
        <v>201.79918048594158</v>
      </c>
      <c r="CT61" s="85">
        <f t="shared" ca="1" si="88"/>
        <v>213.83345579325268</v>
      </c>
      <c r="CU61" s="85">
        <f t="shared" ca="1" si="89"/>
        <v>225.7505025278173</v>
      </c>
      <c r="CV61" s="85">
        <f t="shared" ca="1" si="90"/>
        <v>202.95079644634572</v>
      </c>
      <c r="CW61" s="85">
        <f t="shared" ca="1" si="91"/>
        <v>206.98638857147154</v>
      </c>
    </row>
    <row r="62" spans="1:101" x14ac:dyDescent="0.2">
      <c r="A62" s="115">
        <v>59</v>
      </c>
      <c r="B62" s="85">
        <f t="shared" ca="1" si="2"/>
        <v>206.11947957425099</v>
      </c>
      <c r="C62" s="85">
        <f t="shared" ca="1" si="4"/>
        <v>201.99484623232411</v>
      </c>
      <c r="D62" s="85">
        <f t="shared" ca="1" si="5"/>
        <v>211.7907858436935</v>
      </c>
      <c r="E62" s="85">
        <f t="shared" ca="1" si="6"/>
        <v>203.69967014842737</v>
      </c>
      <c r="F62" s="85">
        <f t="shared" ca="1" si="7"/>
        <v>213.46310441579053</v>
      </c>
      <c r="G62" s="85">
        <f t="shared" ca="1" si="8"/>
        <v>206.12418447089348</v>
      </c>
      <c r="H62" s="85">
        <f t="shared" ca="1" si="9"/>
        <v>209.59941414512346</v>
      </c>
      <c r="I62" s="85">
        <f t="shared" ca="1" si="10"/>
        <v>202.52162117441114</v>
      </c>
      <c r="J62" s="85">
        <f t="shared" ca="1" si="11"/>
        <v>199.15455908257928</v>
      </c>
      <c r="K62" s="85">
        <f t="shared" ca="1" si="12"/>
        <v>192.24227634661446</v>
      </c>
      <c r="L62" s="85">
        <f t="shared" ca="1" si="13"/>
        <v>221.74938888568249</v>
      </c>
      <c r="M62" s="85">
        <f t="shared" ca="1" si="14"/>
        <v>190.5867149577096</v>
      </c>
      <c r="N62" s="85">
        <f t="shared" ca="1" si="15"/>
        <v>217.9747460917286</v>
      </c>
      <c r="O62" s="85">
        <f t="shared" ca="1" si="16"/>
        <v>201.02022139668551</v>
      </c>
      <c r="P62" s="85">
        <f t="shared" ca="1" si="17"/>
        <v>210.11105586037928</v>
      </c>
      <c r="Q62" s="85">
        <f t="shared" ca="1" si="18"/>
        <v>216.72752803662874</v>
      </c>
      <c r="R62" s="85">
        <f t="shared" ca="1" si="19"/>
        <v>201.39637192186228</v>
      </c>
      <c r="S62" s="85">
        <f t="shared" ca="1" si="20"/>
        <v>211.93700154242183</v>
      </c>
      <c r="T62" s="85">
        <f t="shared" ca="1" si="21"/>
        <v>220.43765605591466</v>
      </c>
      <c r="U62" s="85">
        <f t="shared" ca="1" si="22"/>
        <v>187.41983616393844</v>
      </c>
      <c r="V62" s="85">
        <f t="shared" ca="1" si="23"/>
        <v>227.10382262940817</v>
      </c>
      <c r="W62" s="85">
        <f t="shared" ca="1" si="24"/>
        <v>212.98392663105275</v>
      </c>
      <c r="X62" s="85">
        <f t="shared" ca="1" si="25"/>
        <v>210.39857084070755</v>
      </c>
      <c r="Y62" s="85">
        <f t="shared" ca="1" si="26"/>
        <v>203.72325294113998</v>
      </c>
      <c r="Z62" s="85">
        <f t="shared" ca="1" si="27"/>
        <v>210.36900905646075</v>
      </c>
      <c r="AA62" s="85">
        <f t="shared" ca="1" si="28"/>
        <v>198.1215645770227</v>
      </c>
      <c r="AB62" s="85">
        <f t="shared" ca="1" si="29"/>
        <v>227.27606887523962</v>
      </c>
      <c r="AC62" s="85">
        <f t="shared" ca="1" si="30"/>
        <v>206.83550189441888</v>
      </c>
      <c r="AD62" s="85">
        <f t="shared" ca="1" si="31"/>
        <v>228.59359220498652</v>
      </c>
      <c r="AE62" s="85">
        <f t="shared" ca="1" si="32"/>
        <v>237.24072350052086</v>
      </c>
      <c r="AF62" s="85">
        <f t="shared" ca="1" si="33"/>
        <v>208.19121970179964</v>
      </c>
      <c r="AG62" s="85">
        <f t="shared" ca="1" si="34"/>
        <v>206.98954312024142</v>
      </c>
      <c r="AH62" s="85">
        <f t="shared" ca="1" si="35"/>
        <v>215.2563071078761</v>
      </c>
      <c r="AI62" s="85">
        <f t="shared" ca="1" si="36"/>
        <v>223.82105671918316</v>
      </c>
      <c r="AJ62" s="85">
        <f t="shared" ca="1" si="37"/>
        <v>235.69904248191503</v>
      </c>
      <c r="AK62" s="85">
        <f t="shared" ca="1" si="38"/>
        <v>217.13854460744284</v>
      </c>
      <c r="AL62" s="85">
        <f t="shared" ca="1" si="39"/>
        <v>222.66198619981773</v>
      </c>
      <c r="AM62" s="85">
        <f t="shared" ca="1" si="40"/>
        <v>198.9250190575969</v>
      </c>
      <c r="AN62" s="85">
        <f t="shared" ca="1" si="41"/>
        <v>217.54263349049285</v>
      </c>
      <c r="AO62" s="85">
        <f t="shared" ca="1" si="42"/>
        <v>207.66610586977643</v>
      </c>
      <c r="AP62" s="85">
        <f t="shared" ca="1" si="43"/>
        <v>222.61049965255592</v>
      </c>
      <c r="AQ62" s="85">
        <f t="shared" ca="1" si="44"/>
        <v>197.48318089269904</v>
      </c>
      <c r="AR62" s="85">
        <f t="shared" ca="1" si="45"/>
        <v>212.42540418306683</v>
      </c>
      <c r="AS62" s="85">
        <f t="shared" ca="1" si="46"/>
        <v>199.60518498676495</v>
      </c>
      <c r="AT62" s="85">
        <f t="shared" ca="1" si="47"/>
        <v>224.21907708232342</v>
      </c>
      <c r="AU62" s="85">
        <f t="shared" ca="1" si="48"/>
        <v>211.61084009576578</v>
      </c>
      <c r="AV62" s="85">
        <f t="shared" ca="1" si="49"/>
        <v>228.37069142489136</v>
      </c>
      <c r="AW62" s="85">
        <f t="shared" ca="1" si="50"/>
        <v>215.74323800669748</v>
      </c>
      <c r="AX62" s="85">
        <f t="shared" ca="1" si="51"/>
        <v>243.49256727585654</v>
      </c>
      <c r="AY62" s="85">
        <f t="shared" ca="1" si="52"/>
        <v>226.46818161657757</v>
      </c>
      <c r="AZ62" s="85">
        <f t="shared" ca="1" si="53"/>
        <v>197.33650420479231</v>
      </c>
      <c r="BA62" s="85">
        <f t="shared" ca="1" si="54"/>
        <v>226.59557167853561</v>
      </c>
      <c r="BB62" s="85">
        <f t="shared" ca="1" si="55"/>
        <v>201.53573793821428</v>
      </c>
      <c r="BC62" s="85">
        <f t="shared" ca="1" si="56"/>
        <v>214.10065268293212</v>
      </c>
      <c r="BD62" s="85">
        <f t="shared" ca="1" si="57"/>
        <v>211.60193890740396</v>
      </c>
      <c r="BE62" s="85">
        <f t="shared" ca="1" si="58"/>
        <v>203.8411005492236</v>
      </c>
      <c r="BF62" s="85">
        <f t="shared" ca="1" si="59"/>
        <v>216.29724490535662</v>
      </c>
      <c r="BG62" s="85">
        <f t="shared" ca="1" si="60"/>
        <v>198.77252419694426</v>
      </c>
      <c r="BH62" s="85">
        <f t="shared" ca="1" si="61"/>
        <v>213.81684691728998</v>
      </c>
      <c r="BI62" s="85">
        <f t="shared" ca="1" si="62"/>
        <v>206.70112149209709</v>
      </c>
      <c r="BJ62" s="85">
        <f t="shared" ca="1" si="63"/>
        <v>233.90244101481775</v>
      </c>
      <c r="BK62" s="85">
        <f t="shared" ca="1" si="64"/>
        <v>209.01838166047673</v>
      </c>
      <c r="BL62" s="85">
        <f t="shared" ca="1" si="65"/>
        <v>216.54253497808637</v>
      </c>
      <c r="BM62" s="85">
        <f t="shared" ca="1" si="66"/>
        <v>199.35098844125403</v>
      </c>
      <c r="BN62" s="85">
        <f t="shared" ca="1" si="3"/>
        <v>207.28821931953433</v>
      </c>
      <c r="BO62" s="85">
        <f t="shared" ca="1" si="92"/>
        <v>227.01609179383078</v>
      </c>
      <c r="BP62" s="85">
        <f t="shared" ca="1" si="93"/>
        <v>191.15601838852544</v>
      </c>
      <c r="BQ62" s="85">
        <f t="shared" ca="1" si="94"/>
        <v>204.35031834517028</v>
      </c>
      <c r="BR62" s="85">
        <f t="shared" ca="1" si="95"/>
        <v>198.22180278361182</v>
      </c>
      <c r="BS62" s="85">
        <f t="shared" ca="1" si="96"/>
        <v>211.52107580747054</v>
      </c>
      <c r="BT62" s="85">
        <f t="shared" ca="1" si="97"/>
        <v>215.27940719279636</v>
      </c>
      <c r="BU62" s="85">
        <f t="shared" ca="1" si="98"/>
        <v>227.76502347090883</v>
      </c>
      <c r="BV62" s="85">
        <f t="shared" ca="1" si="99"/>
        <v>221.29288032274189</v>
      </c>
      <c r="BW62" s="85">
        <f t="shared" ca="1" si="100"/>
        <v>232.47759484143546</v>
      </c>
      <c r="BX62" s="85">
        <f t="shared" ca="1" si="101"/>
        <v>217.08762431887087</v>
      </c>
      <c r="BY62" s="85">
        <f t="shared" ca="1" si="67"/>
        <v>217.23935885854547</v>
      </c>
      <c r="BZ62" s="85">
        <f t="shared" ca="1" si="68"/>
        <v>221.40249564329483</v>
      </c>
      <c r="CA62" s="85">
        <f t="shared" ca="1" si="69"/>
        <v>213.5307047379134</v>
      </c>
      <c r="CB62" s="85">
        <f t="shared" ca="1" si="70"/>
        <v>208.45330538951362</v>
      </c>
      <c r="CC62" s="85">
        <f t="shared" ca="1" si="71"/>
        <v>213.07625762775848</v>
      </c>
      <c r="CD62" s="85">
        <f t="shared" ca="1" si="72"/>
        <v>224.24434227485449</v>
      </c>
      <c r="CE62" s="85">
        <f t="shared" ca="1" si="73"/>
        <v>199.6692465068551</v>
      </c>
      <c r="CF62" s="85">
        <f t="shared" ca="1" si="74"/>
        <v>228.04233310126597</v>
      </c>
      <c r="CG62" s="85">
        <f t="shared" ca="1" si="75"/>
        <v>202.18843126182202</v>
      </c>
      <c r="CH62" s="85">
        <f t="shared" ca="1" si="76"/>
        <v>216.1420384155484</v>
      </c>
      <c r="CI62" s="85">
        <f t="shared" ca="1" si="77"/>
        <v>216.10368250576815</v>
      </c>
      <c r="CJ62" s="85">
        <f t="shared" ca="1" si="78"/>
        <v>204.52076698919475</v>
      </c>
      <c r="CK62" s="85">
        <f t="shared" ca="1" si="79"/>
        <v>199.35124372772736</v>
      </c>
      <c r="CL62" s="85">
        <f t="shared" ca="1" si="80"/>
        <v>194.04446456929674</v>
      </c>
      <c r="CM62" s="85">
        <f t="shared" ca="1" si="81"/>
        <v>218.52652768739728</v>
      </c>
      <c r="CN62" s="85">
        <f t="shared" ca="1" si="82"/>
        <v>210.29084274480735</v>
      </c>
      <c r="CO62" s="85">
        <f t="shared" ca="1" si="83"/>
        <v>203.19501822106179</v>
      </c>
      <c r="CP62" s="85">
        <f t="shared" ca="1" si="84"/>
        <v>236.03021615933875</v>
      </c>
      <c r="CQ62" s="85">
        <f t="shared" ca="1" si="85"/>
        <v>225.90713026347296</v>
      </c>
      <c r="CR62" s="85">
        <f t="shared" ca="1" si="86"/>
        <v>224.01792961184844</v>
      </c>
      <c r="CS62" s="85">
        <f t="shared" ca="1" si="87"/>
        <v>204.29402291261221</v>
      </c>
      <c r="CT62" s="85">
        <f t="shared" ca="1" si="88"/>
        <v>213.40392356344984</v>
      </c>
      <c r="CU62" s="85">
        <f t="shared" ca="1" si="89"/>
        <v>228.54903676444809</v>
      </c>
      <c r="CV62" s="85">
        <f t="shared" ca="1" si="90"/>
        <v>203.51249983608344</v>
      </c>
      <c r="CW62" s="85">
        <f t="shared" ca="1" si="91"/>
        <v>212.25561590435777</v>
      </c>
    </row>
    <row r="63" spans="1:101" x14ac:dyDescent="0.2">
      <c r="A63" s="115">
        <v>60</v>
      </c>
      <c r="B63" s="85">
        <f t="shared" ca="1" si="2"/>
        <v>209.89725735027486</v>
      </c>
      <c r="C63" s="85">
        <f t="shared" ca="1" si="4"/>
        <v>205.4787607215149</v>
      </c>
      <c r="D63" s="85">
        <f t="shared" ca="1" si="5"/>
        <v>217.91253254925527</v>
      </c>
      <c r="E63" s="85">
        <f t="shared" ca="1" si="6"/>
        <v>208.98140797248337</v>
      </c>
      <c r="F63" s="85">
        <f t="shared" ca="1" si="7"/>
        <v>214.16057955752791</v>
      </c>
      <c r="G63" s="85">
        <f t="shared" ca="1" si="8"/>
        <v>210.98376507590663</v>
      </c>
      <c r="H63" s="85">
        <f t="shared" ca="1" si="9"/>
        <v>212.36913925509322</v>
      </c>
      <c r="I63" s="85">
        <f t="shared" ca="1" si="10"/>
        <v>203.5386171235053</v>
      </c>
      <c r="J63" s="85">
        <f t="shared" ca="1" si="11"/>
        <v>201.65636587360007</v>
      </c>
      <c r="K63" s="85">
        <f t="shared" ca="1" si="12"/>
        <v>193.29720359102089</v>
      </c>
      <c r="L63" s="85">
        <f t="shared" ca="1" si="13"/>
        <v>223.71484660337788</v>
      </c>
      <c r="M63" s="85">
        <f t="shared" ca="1" si="14"/>
        <v>193.95642733082983</v>
      </c>
      <c r="N63" s="85">
        <f t="shared" ca="1" si="15"/>
        <v>219.36169878562464</v>
      </c>
      <c r="O63" s="85">
        <f t="shared" ca="1" si="16"/>
        <v>206.05795408136959</v>
      </c>
      <c r="P63" s="85">
        <f t="shared" ca="1" si="17"/>
        <v>212.21247757509718</v>
      </c>
      <c r="Q63" s="85">
        <f t="shared" ca="1" si="18"/>
        <v>216.38058921856</v>
      </c>
      <c r="R63" s="85">
        <f t="shared" ca="1" si="19"/>
        <v>203.47604600822763</v>
      </c>
      <c r="S63" s="85">
        <f t="shared" ca="1" si="20"/>
        <v>215.73483680554637</v>
      </c>
      <c r="T63" s="85">
        <f t="shared" ca="1" si="21"/>
        <v>221.86545290341041</v>
      </c>
      <c r="U63" s="85">
        <f t="shared" ca="1" si="22"/>
        <v>189.84541911776111</v>
      </c>
      <c r="V63" s="85">
        <f t="shared" ca="1" si="23"/>
        <v>232.75401030382764</v>
      </c>
      <c r="W63" s="85">
        <f t="shared" ca="1" si="24"/>
        <v>216.57221001972223</v>
      </c>
      <c r="X63" s="85">
        <f t="shared" ca="1" si="25"/>
        <v>215.16919205942787</v>
      </c>
      <c r="Y63" s="85">
        <f t="shared" ca="1" si="26"/>
        <v>206.32724349929836</v>
      </c>
      <c r="Z63" s="85">
        <f t="shared" ca="1" si="27"/>
        <v>209.39858466666848</v>
      </c>
      <c r="AA63" s="85">
        <f t="shared" ca="1" si="28"/>
        <v>201.27909896542789</v>
      </c>
      <c r="AB63" s="85">
        <f t="shared" ca="1" si="29"/>
        <v>228.22649428893169</v>
      </c>
      <c r="AC63" s="85">
        <f t="shared" ca="1" si="30"/>
        <v>210.41593101896419</v>
      </c>
      <c r="AD63" s="85">
        <f t="shared" ca="1" si="31"/>
        <v>233.08292807933725</v>
      </c>
      <c r="AE63" s="85">
        <f t="shared" ca="1" si="32"/>
        <v>241.70442897416962</v>
      </c>
      <c r="AF63" s="85">
        <f t="shared" ca="1" si="33"/>
        <v>207.32518781827736</v>
      </c>
      <c r="AG63" s="85">
        <f t="shared" ca="1" si="34"/>
        <v>211.40061421241228</v>
      </c>
      <c r="AH63" s="85">
        <f t="shared" ca="1" si="35"/>
        <v>220.48004276917641</v>
      </c>
      <c r="AI63" s="85">
        <f t="shared" ca="1" si="36"/>
        <v>226.0888600224275</v>
      </c>
      <c r="AJ63" s="85">
        <f t="shared" ca="1" si="37"/>
        <v>237.38765423995119</v>
      </c>
      <c r="AK63" s="85">
        <f t="shared" ca="1" si="38"/>
        <v>219.77674821372835</v>
      </c>
      <c r="AL63" s="85">
        <f t="shared" ca="1" si="39"/>
        <v>224.76628956224994</v>
      </c>
      <c r="AM63" s="85">
        <f t="shared" ca="1" si="40"/>
        <v>202.16813776307083</v>
      </c>
      <c r="AN63" s="85">
        <f t="shared" ca="1" si="41"/>
        <v>219.90409918828394</v>
      </c>
      <c r="AO63" s="85">
        <f t="shared" ca="1" si="42"/>
        <v>210.45529195852097</v>
      </c>
      <c r="AP63" s="85">
        <f t="shared" ca="1" si="43"/>
        <v>225.10536081293736</v>
      </c>
      <c r="AQ63" s="85">
        <f t="shared" ca="1" si="44"/>
        <v>200.9383966190041</v>
      </c>
      <c r="AR63" s="85">
        <f t="shared" ca="1" si="45"/>
        <v>214.01554992953598</v>
      </c>
      <c r="AS63" s="85">
        <f t="shared" ca="1" si="46"/>
        <v>203.26125531125484</v>
      </c>
      <c r="AT63" s="85">
        <f t="shared" ca="1" si="47"/>
        <v>227.60832276316606</v>
      </c>
      <c r="AU63" s="85">
        <f t="shared" ca="1" si="48"/>
        <v>217.3494497141472</v>
      </c>
      <c r="AV63" s="85">
        <f t="shared" ca="1" si="49"/>
        <v>230.18962079689123</v>
      </c>
      <c r="AW63" s="85">
        <f t="shared" ca="1" si="50"/>
        <v>216.91673654743656</v>
      </c>
      <c r="AX63" s="85">
        <f t="shared" ca="1" si="51"/>
        <v>246.82955393697301</v>
      </c>
      <c r="AY63" s="85">
        <f t="shared" ca="1" si="52"/>
        <v>230.89765930450224</v>
      </c>
      <c r="AZ63" s="85">
        <f t="shared" ca="1" si="53"/>
        <v>197.78686819044353</v>
      </c>
      <c r="BA63" s="85">
        <f t="shared" ca="1" si="54"/>
        <v>231.33131381964924</v>
      </c>
      <c r="BB63" s="85">
        <f t="shared" ca="1" si="55"/>
        <v>204.91578047165535</v>
      </c>
      <c r="BC63" s="85">
        <f t="shared" ca="1" si="56"/>
        <v>214.67151197186124</v>
      </c>
      <c r="BD63" s="85">
        <f t="shared" ca="1" si="57"/>
        <v>215.99362119919303</v>
      </c>
      <c r="BE63" s="85">
        <f t="shared" ca="1" si="58"/>
        <v>206.6241899917251</v>
      </c>
      <c r="BF63" s="85">
        <f t="shared" ca="1" si="59"/>
        <v>220.54044627170055</v>
      </c>
      <c r="BG63" s="85">
        <f t="shared" ca="1" si="60"/>
        <v>202.77535766452112</v>
      </c>
      <c r="BH63" s="85">
        <f t="shared" ca="1" si="61"/>
        <v>214.89605530582978</v>
      </c>
      <c r="BI63" s="85">
        <f t="shared" ca="1" si="62"/>
        <v>210.04268506421633</v>
      </c>
      <c r="BJ63" s="85">
        <f t="shared" ca="1" si="63"/>
        <v>239.25438298070131</v>
      </c>
      <c r="BK63" s="85">
        <f t="shared" ca="1" si="64"/>
        <v>211.34927431105541</v>
      </c>
      <c r="BL63" s="85">
        <f t="shared" ca="1" si="65"/>
        <v>219.15371639385063</v>
      </c>
      <c r="BM63" s="85">
        <f t="shared" ca="1" si="66"/>
        <v>201.25910725017414</v>
      </c>
      <c r="BN63" s="85">
        <f t="shared" ca="1" si="3"/>
        <v>211.1693341420293</v>
      </c>
      <c r="BO63" s="85">
        <f t="shared" ca="1" si="92"/>
        <v>228.16234656437925</v>
      </c>
      <c r="BP63" s="85">
        <f t="shared" ca="1" si="93"/>
        <v>190.35202673100196</v>
      </c>
      <c r="BQ63" s="85">
        <f t="shared" ca="1" si="94"/>
        <v>207.42765534799227</v>
      </c>
      <c r="BR63" s="85">
        <f t="shared" ca="1" si="95"/>
        <v>202.52663650614483</v>
      </c>
      <c r="BS63" s="85">
        <f t="shared" ca="1" si="96"/>
        <v>212.48422377534541</v>
      </c>
      <c r="BT63" s="85">
        <f t="shared" ca="1" si="97"/>
        <v>218.41619474099494</v>
      </c>
      <c r="BU63" s="85">
        <f t="shared" ca="1" si="98"/>
        <v>231.02437107247312</v>
      </c>
      <c r="BV63" s="85">
        <f t="shared" ca="1" si="99"/>
        <v>224.30511791424345</v>
      </c>
      <c r="BW63" s="85">
        <f t="shared" ca="1" si="100"/>
        <v>232.94865834251195</v>
      </c>
      <c r="BX63" s="85">
        <f t="shared" ca="1" si="101"/>
        <v>220.86357751470052</v>
      </c>
      <c r="BY63" s="85">
        <f t="shared" ca="1" si="67"/>
        <v>221.00104482616081</v>
      </c>
      <c r="BZ63" s="85">
        <f t="shared" ca="1" si="68"/>
        <v>224.30269565098538</v>
      </c>
      <c r="CA63" s="85">
        <f t="shared" ca="1" si="69"/>
        <v>220.21716753451719</v>
      </c>
      <c r="CB63" s="85">
        <f t="shared" ca="1" si="70"/>
        <v>211.36562471711935</v>
      </c>
      <c r="CC63" s="85">
        <f t="shared" ca="1" si="71"/>
        <v>213.71060238536626</v>
      </c>
      <c r="CD63" s="85">
        <f t="shared" ca="1" si="72"/>
        <v>230.42159702060718</v>
      </c>
      <c r="CE63" s="85">
        <f t="shared" ca="1" si="73"/>
        <v>202.9380373783878</v>
      </c>
      <c r="CF63" s="85">
        <f t="shared" ca="1" si="74"/>
        <v>232.97753675076001</v>
      </c>
      <c r="CG63" s="85">
        <f t="shared" ca="1" si="75"/>
        <v>207.53196889711384</v>
      </c>
      <c r="CH63" s="85">
        <f t="shared" ca="1" si="76"/>
        <v>218.46756106679101</v>
      </c>
      <c r="CI63" s="85">
        <f t="shared" ca="1" si="77"/>
        <v>217.81540760001371</v>
      </c>
      <c r="CJ63" s="85">
        <f t="shared" ca="1" si="78"/>
        <v>209.68616887911537</v>
      </c>
      <c r="CK63" s="85">
        <f t="shared" ca="1" si="79"/>
        <v>203.02094506012835</v>
      </c>
      <c r="CL63" s="85">
        <f t="shared" ca="1" si="80"/>
        <v>196.33808853909878</v>
      </c>
      <c r="CM63" s="85">
        <f t="shared" ca="1" si="81"/>
        <v>221.6035867432042</v>
      </c>
      <c r="CN63" s="85">
        <f t="shared" ca="1" si="82"/>
        <v>211.27640802247021</v>
      </c>
      <c r="CO63" s="85">
        <f t="shared" ca="1" si="83"/>
        <v>204.34242882329696</v>
      </c>
      <c r="CP63" s="85">
        <f t="shared" ca="1" si="84"/>
        <v>238.40684191001785</v>
      </c>
      <c r="CQ63" s="85">
        <f t="shared" ca="1" si="85"/>
        <v>227.72444093942755</v>
      </c>
      <c r="CR63" s="85">
        <f t="shared" ca="1" si="86"/>
        <v>226.50013539047688</v>
      </c>
      <c r="CS63" s="85">
        <f t="shared" ca="1" si="87"/>
        <v>209.20998052061046</v>
      </c>
      <c r="CT63" s="85">
        <f t="shared" ca="1" si="88"/>
        <v>215.24978161914689</v>
      </c>
      <c r="CU63" s="85">
        <f t="shared" ca="1" si="89"/>
        <v>230.92840261875517</v>
      </c>
      <c r="CV63" s="85">
        <f t="shared" ca="1" si="90"/>
        <v>206.80035329255753</v>
      </c>
      <c r="CW63" s="85">
        <f t="shared" ca="1" si="91"/>
        <v>217.02448550268318</v>
      </c>
    </row>
    <row r="64" spans="1:101" x14ac:dyDescent="0.2">
      <c r="A64" s="115">
        <v>61</v>
      </c>
      <c r="B64" s="85">
        <f t="shared" ca="1" si="2"/>
        <v>211.41410934362622</v>
      </c>
      <c r="C64" s="85">
        <f t="shared" ca="1" si="4"/>
        <v>206.30223508900309</v>
      </c>
      <c r="D64" s="85">
        <f t="shared" ca="1" si="5"/>
        <v>218.6889173927687</v>
      </c>
      <c r="E64" s="85">
        <f t="shared" ca="1" si="6"/>
        <v>209.79748266779148</v>
      </c>
      <c r="F64" s="85">
        <f t="shared" ca="1" si="7"/>
        <v>216.07392000763295</v>
      </c>
      <c r="G64" s="85">
        <f t="shared" ca="1" si="8"/>
        <v>215.41958139153579</v>
      </c>
      <c r="H64" s="85">
        <f t="shared" ca="1" si="9"/>
        <v>214.78245484539855</v>
      </c>
      <c r="I64" s="85">
        <f t="shared" ca="1" si="10"/>
        <v>206.14355135589986</v>
      </c>
      <c r="J64" s="85">
        <f t="shared" ca="1" si="11"/>
        <v>204.05612426522364</v>
      </c>
      <c r="K64" s="85">
        <f t="shared" ca="1" si="12"/>
        <v>195.76452587052978</v>
      </c>
      <c r="L64" s="85">
        <f t="shared" ca="1" si="13"/>
        <v>226.61235365209575</v>
      </c>
      <c r="M64" s="85">
        <f t="shared" ca="1" si="14"/>
        <v>196.32913409456583</v>
      </c>
      <c r="N64" s="85">
        <f t="shared" ca="1" si="15"/>
        <v>220.44191842843662</v>
      </c>
      <c r="O64" s="85">
        <f t="shared" ca="1" si="16"/>
        <v>206.57238617122781</v>
      </c>
      <c r="P64" s="85">
        <f t="shared" ca="1" si="17"/>
        <v>216.06158730752503</v>
      </c>
      <c r="Q64" s="85">
        <f t="shared" ca="1" si="18"/>
        <v>219.98900858797072</v>
      </c>
      <c r="R64" s="85">
        <f t="shared" ca="1" si="19"/>
        <v>204.53857715669693</v>
      </c>
      <c r="S64" s="85">
        <f t="shared" ca="1" si="20"/>
        <v>219.67867975606586</v>
      </c>
      <c r="T64" s="85">
        <f t="shared" ca="1" si="21"/>
        <v>224.19338027693863</v>
      </c>
      <c r="U64" s="85">
        <f t="shared" ca="1" si="22"/>
        <v>188.38717132215723</v>
      </c>
      <c r="V64" s="85">
        <f t="shared" ca="1" si="23"/>
        <v>236.0403451340853</v>
      </c>
      <c r="W64" s="85">
        <f t="shared" ca="1" si="24"/>
        <v>220.32350367801146</v>
      </c>
      <c r="X64" s="85">
        <f t="shared" ca="1" si="25"/>
        <v>218.83102998343725</v>
      </c>
      <c r="Y64" s="85">
        <f t="shared" ca="1" si="26"/>
        <v>208.57300357170325</v>
      </c>
      <c r="Z64" s="85">
        <f t="shared" ca="1" si="27"/>
        <v>209.33612850958343</v>
      </c>
      <c r="AA64" s="85">
        <f t="shared" ca="1" si="28"/>
        <v>206.38908815075456</v>
      </c>
      <c r="AB64" s="85">
        <f t="shared" ca="1" si="29"/>
        <v>231.40719343831938</v>
      </c>
      <c r="AC64" s="85">
        <f t="shared" ca="1" si="30"/>
        <v>210.98088550792264</v>
      </c>
      <c r="AD64" s="85">
        <f t="shared" ca="1" si="31"/>
        <v>239.46992747961346</v>
      </c>
      <c r="AE64" s="85">
        <f t="shared" ca="1" si="32"/>
        <v>247.68916495330512</v>
      </c>
      <c r="AF64" s="85">
        <f t="shared" ca="1" si="33"/>
        <v>209.19864555784551</v>
      </c>
      <c r="AG64" s="85">
        <f t="shared" ca="1" si="34"/>
        <v>212.44456719177532</v>
      </c>
      <c r="AH64" s="85">
        <f t="shared" ca="1" si="35"/>
        <v>224.22771606313836</v>
      </c>
      <c r="AI64" s="85">
        <f t="shared" ca="1" si="36"/>
        <v>228.26391302998232</v>
      </c>
      <c r="AJ64" s="85">
        <f t="shared" ca="1" si="37"/>
        <v>242.18720640827652</v>
      </c>
      <c r="AK64" s="85">
        <f t="shared" ca="1" si="38"/>
        <v>222.45881710788527</v>
      </c>
      <c r="AL64" s="85">
        <f t="shared" ca="1" si="39"/>
        <v>228.43709677549236</v>
      </c>
      <c r="AM64" s="85">
        <f t="shared" ca="1" si="40"/>
        <v>207.08657661387403</v>
      </c>
      <c r="AN64" s="85">
        <f t="shared" ca="1" si="41"/>
        <v>223.72163016662225</v>
      </c>
      <c r="AO64" s="85">
        <f t="shared" ca="1" si="42"/>
        <v>214.46156190635915</v>
      </c>
      <c r="AP64" s="85">
        <f t="shared" ca="1" si="43"/>
        <v>230.17709216186694</v>
      </c>
      <c r="AQ64" s="85">
        <f t="shared" ca="1" si="44"/>
        <v>203.32641602101367</v>
      </c>
      <c r="AR64" s="85">
        <f t="shared" ca="1" si="45"/>
        <v>216.5127324935354</v>
      </c>
      <c r="AS64" s="85">
        <f t="shared" ca="1" si="46"/>
        <v>208.6090604060868</v>
      </c>
      <c r="AT64" s="85">
        <f t="shared" ca="1" si="47"/>
        <v>232.24338262164775</v>
      </c>
      <c r="AU64" s="85">
        <f t="shared" ca="1" si="48"/>
        <v>219.90257096496876</v>
      </c>
      <c r="AV64" s="85">
        <f t="shared" ca="1" si="49"/>
        <v>233.14462787116199</v>
      </c>
      <c r="AW64" s="85">
        <f t="shared" ca="1" si="50"/>
        <v>220.79111588275558</v>
      </c>
      <c r="AX64" s="85">
        <f t="shared" ca="1" si="51"/>
        <v>249.8058830385516</v>
      </c>
      <c r="AY64" s="85">
        <f t="shared" ca="1" si="52"/>
        <v>229.71761658721908</v>
      </c>
      <c r="AZ64" s="85">
        <f t="shared" ca="1" si="53"/>
        <v>202.66880515918425</v>
      </c>
      <c r="BA64" s="85">
        <f t="shared" ca="1" si="54"/>
        <v>236.44564211709732</v>
      </c>
      <c r="BB64" s="85">
        <f t="shared" ca="1" si="55"/>
        <v>209.2120835714974</v>
      </c>
      <c r="BC64" s="85">
        <f t="shared" ca="1" si="56"/>
        <v>216.52339569755418</v>
      </c>
      <c r="BD64" s="85">
        <f t="shared" ca="1" si="57"/>
        <v>217.25029996059797</v>
      </c>
      <c r="BE64" s="85">
        <f t="shared" ca="1" si="58"/>
        <v>209.93304786962699</v>
      </c>
      <c r="BF64" s="85">
        <f t="shared" ca="1" si="59"/>
        <v>224.89657768047093</v>
      </c>
      <c r="BG64" s="85">
        <f t="shared" ca="1" si="60"/>
        <v>204.98279575164031</v>
      </c>
      <c r="BH64" s="85">
        <f t="shared" ca="1" si="61"/>
        <v>214.82396155046465</v>
      </c>
      <c r="BI64" s="85">
        <f t="shared" ca="1" si="62"/>
        <v>212.63827049827819</v>
      </c>
      <c r="BJ64" s="85">
        <f t="shared" ca="1" si="63"/>
        <v>242.98085773495902</v>
      </c>
      <c r="BK64" s="85">
        <f t="shared" ca="1" si="64"/>
        <v>214.89983319839232</v>
      </c>
      <c r="BL64" s="85">
        <f t="shared" ca="1" si="65"/>
        <v>221.77330604969683</v>
      </c>
      <c r="BM64" s="85">
        <f t="shared" ca="1" si="66"/>
        <v>203.48428833907997</v>
      </c>
      <c r="BN64" s="85">
        <f t="shared" ca="1" si="3"/>
        <v>213.5787260452762</v>
      </c>
      <c r="BO64" s="85">
        <f t="shared" ca="1" si="92"/>
        <v>230.46972020407154</v>
      </c>
      <c r="BP64" s="85">
        <f t="shared" ca="1" si="93"/>
        <v>193.7418818121981</v>
      </c>
      <c r="BQ64" s="85">
        <f t="shared" ca="1" si="94"/>
        <v>210.89503066267963</v>
      </c>
      <c r="BR64" s="85">
        <f t="shared" ca="1" si="95"/>
        <v>207.72539677287628</v>
      </c>
      <c r="BS64" s="85">
        <f t="shared" ca="1" si="96"/>
        <v>214.61312872942443</v>
      </c>
      <c r="BT64" s="85">
        <f t="shared" ca="1" si="97"/>
        <v>221.35158049030977</v>
      </c>
      <c r="BU64" s="85">
        <f t="shared" ca="1" si="98"/>
        <v>234.69089074755226</v>
      </c>
      <c r="BV64" s="85">
        <f t="shared" ca="1" si="99"/>
        <v>226.55883983177571</v>
      </c>
      <c r="BW64" s="85">
        <f t="shared" ca="1" si="100"/>
        <v>236.54858973932502</v>
      </c>
      <c r="BX64" s="85">
        <f t="shared" ca="1" si="101"/>
        <v>220.87035112420514</v>
      </c>
      <c r="BY64" s="85">
        <f t="shared" ca="1" si="67"/>
        <v>222.95216331711563</v>
      </c>
      <c r="BZ64" s="85">
        <f t="shared" ca="1" si="68"/>
        <v>227.37826532052125</v>
      </c>
      <c r="CA64" s="85">
        <f t="shared" ca="1" si="69"/>
        <v>221.03217289557702</v>
      </c>
      <c r="CB64" s="85">
        <f t="shared" ca="1" si="70"/>
        <v>214.78394604985471</v>
      </c>
      <c r="CC64" s="85">
        <f t="shared" ca="1" si="71"/>
        <v>217.16477068612949</v>
      </c>
      <c r="CD64" s="85">
        <f t="shared" ca="1" si="72"/>
        <v>232.44141008670405</v>
      </c>
      <c r="CE64" s="85">
        <f t="shared" ca="1" si="73"/>
        <v>206.8306470854246</v>
      </c>
      <c r="CF64" s="85">
        <f t="shared" ca="1" si="74"/>
        <v>234.94821901999558</v>
      </c>
      <c r="CG64" s="85">
        <f t="shared" ca="1" si="75"/>
        <v>210.6913572021397</v>
      </c>
      <c r="CH64" s="85">
        <f t="shared" ca="1" si="76"/>
        <v>220.68317140515958</v>
      </c>
      <c r="CI64" s="85">
        <f t="shared" ca="1" si="77"/>
        <v>222.59130379482932</v>
      </c>
      <c r="CJ64" s="85">
        <f t="shared" ca="1" si="78"/>
        <v>210.91063910523289</v>
      </c>
      <c r="CK64" s="85">
        <f t="shared" ca="1" si="79"/>
        <v>204.8320922096286</v>
      </c>
      <c r="CL64" s="85">
        <f t="shared" ca="1" si="80"/>
        <v>199.2110205026346</v>
      </c>
      <c r="CM64" s="85">
        <f t="shared" ca="1" si="81"/>
        <v>225.89074199170176</v>
      </c>
      <c r="CN64" s="85">
        <f t="shared" ca="1" si="82"/>
        <v>216.71320004825063</v>
      </c>
      <c r="CO64" s="85">
        <f t="shared" ca="1" si="83"/>
        <v>207.84510430973037</v>
      </c>
      <c r="CP64" s="85">
        <f t="shared" ca="1" si="84"/>
        <v>243.10459268515586</v>
      </c>
      <c r="CQ64" s="85">
        <f t="shared" ca="1" si="85"/>
        <v>231.36692514979219</v>
      </c>
      <c r="CR64" s="85">
        <f t="shared" ca="1" si="86"/>
        <v>231.60640650054469</v>
      </c>
      <c r="CS64" s="85">
        <f t="shared" ca="1" si="87"/>
        <v>212.07524635446831</v>
      </c>
      <c r="CT64" s="85">
        <f t="shared" ca="1" si="88"/>
        <v>219.26191663669758</v>
      </c>
      <c r="CU64" s="85">
        <f t="shared" ca="1" si="89"/>
        <v>235.23584490508088</v>
      </c>
      <c r="CV64" s="85">
        <f t="shared" ca="1" si="90"/>
        <v>210.1999898862266</v>
      </c>
      <c r="CW64" s="85">
        <f t="shared" ca="1" si="91"/>
        <v>221.76014283782391</v>
      </c>
    </row>
    <row r="65" spans="1:101" x14ac:dyDescent="0.2">
      <c r="A65" s="115">
        <v>62</v>
      </c>
      <c r="B65" s="85">
        <f t="shared" ca="1" si="2"/>
        <v>213.11836387515902</v>
      </c>
      <c r="C65" s="85">
        <f t="shared" ca="1" si="4"/>
        <v>210.44354219797447</v>
      </c>
      <c r="D65" s="85">
        <f t="shared" ca="1" si="5"/>
        <v>222.39764164591256</v>
      </c>
      <c r="E65" s="85">
        <f t="shared" ca="1" si="6"/>
        <v>211.87733104474748</v>
      </c>
      <c r="F65" s="85">
        <f t="shared" ca="1" si="7"/>
        <v>217.35963170968967</v>
      </c>
      <c r="G65" s="85">
        <f t="shared" ca="1" si="8"/>
        <v>218.78271833172684</v>
      </c>
      <c r="H65" s="85">
        <f t="shared" ca="1" si="9"/>
        <v>215.36280275632501</v>
      </c>
      <c r="I65" s="85">
        <f t="shared" ca="1" si="10"/>
        <v>209.6056722438737</v>
      </c>
      <c r="J65" s="85">
        <f t="shared" ca="1" si="11"/>
        <v>207.89605017653437</v>
      </c>
      <c r="K65" s="85">
        <f t="shared" ca="1" si="12"/>
        <v>197.73129221316276</v>
      </c>
      <c r="L65" s="85">
        <f t="shared" ca="1" si="13"/>
        <v>228.12218448684496</v>
      </c>
      <c r="M65" s="85">
        <f t="shared" ca="1" si="14"/>
        <v>199.2492435655667</v>
      </c>
      <c r="N65" s="85">
        <f t="shared" ca="1" si="15"/>
        <v>223.87882003329483</v>
      </c>
      <c r="O65" s="85">
        <f t="shared" ca="1" si="16"/>
        <v>209.30848731844097</v>
      </c>
      <c r="P65" s="85">
        <f t="shared" ca="1" si="17"/>
        <v>217.88822822060644</v>
      </c>
      <c r="Q65" s="85">
        <f t="shared" ca="1" si="18"/>
        <v>223.89473803962389</v>
      </c>
      <c r="R65" s="85">
        <f t="shared" ca="1" si="19"/>
        <v>210.59003892909544</v>
      </c>
      <c r="S65" s="85">
        <f t="shared" ca="1" si="20"/>
        <v>225.14654192873471</v>
      </c>
      <c r="T65" s="85">
        <f t="shared" ca="1" si="21"/>
        <v>226.91054529366832</v>
      </c>
      <c r="U65" s="85">
        <f t="shared" ca="1" si="22"/>
        <v>191.65265738292962</v>
      </c>
      <c r="V65" s="85">
        <f t="shared" ca="1" si="23"/>
        <v>238.30735871001585</v>
      </c>
      <c r="W65" s="85">
        <f t="shared" ca="1" si="24"/>
        <v>222.52619069832642</v>
      </c>
      <c r="X65" s="85">
        <f t="shared" ca="1" si="25"/>
        <v>221.53312112432471</v>
      </c>
      <c r="Y65" s="85">
        <f t="shared" ca="1" si="26"/>
        <v>208.80211583290136</v>
      </c>
      <c r="Z65" s="85">
        <f t="shared" ca="1" si="27"/>
        <v>211.82277909082808</v>
      </c>
      <c r="AA65" s="85">
        <f t="shared" ca="1" si="28"/>
        <v>210.03212621154464</v>
      </c>
      <c r="AB65" s="85">
        <f t="shared" ca="1" si="29"/>
        <v>236.67039206654042</v>
      </c>
      <c r="AC65" s="85">
        <f t="shared" ca="1" si="30"/>
        <v>213.32897492547886</v>
      </c>
      <c r="AD65" s="85">
        <f t="shared" ca="1" si="31"/>
        <v>240.80431172373252</v>
      </c>
      <c r="AE65" s="85">
        <f t="shared" ca="1" si="32"/>
        <v>250.94681337263222</v>
      </c>
      <c r="AF65" s="85">
        <f t="shared" ca="1" si="33"/>
        <v>213.80777641457846</v>
      </c>
      <c r="AG65" s="85">
        <f t="shared" ca="1" si="34"/>
        <v>217.18779704805911</v>
      </c>
      <c r="AH65" s="85">
        <f t="shared" ca="1" si="35"/>
        <v>228.93829864886058</v>
      </c>
      <c r="AI65" s="85">
        <f t="shared" ca="1" si="36"/>
        <v>232.356122223401</v>
      </c>
      <c r="AJ65" s="85">
        <f t="shared" ca="1" si="37"/>
        <v>243.47034931160303</v>
      </c>
      <c r="AK65" s="85">
        <f t="shared" ca="1" si="38"/>
        <v>227.43523294805019</v>
      </c>
      <c r="AL65" s="85">
        <f t="shared" ca="1" si="39"/>
        <v>233.08182038628283</v>
      </c>
      <c r="AM65" s="85">
        <f t="shared" ca="1" si="40"/>
        <v>210.3330633321354</v>
      </c>
      <c r="AN65" s="85">
        <f t="shared" ca="1" si="41"/>
        <v>229.47707757231319</v>
      </c>
      <c r="AO65" s="85">
        <f t="shared" ca="1" si="42"/>
        <v>218.8858827815834</v>
      </c>
      <c r="AP65" s="85">
        <f t="shared" ca="1" si="43"/>
        <v>232.5435783283078</v>
      </c>
      <c r="AQ65" s="85">
        <f t="shared" ca="1" si="44"/>
        <v>206.7491500007506</v>
      </c>
      <c r="AR65" s="85">
        <f t="shared" ca="1" si="45"/>
        <v>218.67273439602354</v>
      </c>
      <c r="AS65" s="85">
        <f t="shared" ca="1" si="46"/>
        <v>212.94425446121866</v>
      </c>
      <c r="AT65" s="85">
        <f t="shared" ca="1" si="47"/>
        <v>232.92561548309757</v>
      </c>
      <c r="AU65" s="85">
        <f t="shared" ca="1" si="48"/>
        <v>223.29615403437336</v>
      </c>
      <c r="AV65" s="85">
        <f t="shared" ca="1" si="49"/>
        <v>234.14201832152017</v>
      </c>
      <c r="AW65" s="85">
        <f t="shared" ca="1" si="50"/>
        <v>224.38903698779376</v>
      </c>
      <c r="AX65" s="85">
        <f t="shared" ca="1" si="51"/>
        <v>255.24672449684064</v>
      </c>
      <c r="AY65" s="85">
        <f t="shared" ca="1" si="52"/>
        <v>235.98324375901299</v>
      </c>
      <c r="AZ65" s="85">
        <f t="shared" ca="1" si="53"/>
        <v>205.77888057627831</v>
      </c>
      <c r="BA65" s="85">
        <f t="shared" ca="1" si="54"/>
        <v>239.22670674503499</v>
      </c>
      <c r="BB65" s="85">
        <f t="shared" ca="1" si="55"/>
        <v>210.88968820923324</v>
      </c>
      <c r="BC65" s="85">
        <f t="shared" ca="1" si="56"/>
        <v>219.8875212927928</v>
      </c>
      <c r="BD65" s="85">
        <f t="shared" ca="1" si="57"/>
        <v>218.46075941567295</v>
      </c>
      <c r="BE65" s="85">
        <f t="shared" ca="1" si="58"/>
        <v>210.98550147197247</v>
      </c>
      <c r="BF65" s="85">
        <f t="shared" ca="1" si="59"/>
        <v>227.21781145150368</v>
      </c>
      <c r="BG65" s="85">
        <f t="shared" ca="1" si="60"/>
        <v>207.15363532195312</v>
      </c>
      <c r="BH65" s="85">
        <f t="shared" ca="1" si="61"/>
        <v>218.51521187483917</v>
      </c>
      <c r="BI65" s="85">
        <f t="shared" ca="1" si="62"/>
        <v>216.80294766158238</v>
      </c>
      <c r="BJ65" s="85">
        <f t="shared" ca="1" si="63"/>
        <v>244.68218900344769</v>
      </c>
      <c r="BK65" s="85">
        <f t="shared" ca="1" si="64"/>
        <v>220.33251001538758</v>
      </c>
      <c r="BL65" s="85">
        <f t="shared" ca="1" si="65"/>
        <v>223.84738317932934</v>
      </c>
      <c r="BM65" s="85">
        <f t="shared" ca="1" si="66"/>
        <v>206.65020224501501</v>
      </c>
      <c r="BN65" s="85">
        <f t="shared" ca="1" si="3"/>
        <v>217.39005564197751</v>
      </c>
      <c r="BO65" s="85">
        <f t="shared" ca="1" si="92"/>
        <v>235.856675424543</v>
      </c>
      <c r="BP65" s="85">
        <f t="shared" ca="1" si="93"/>
        <v>198.61969298269096</v>
      </c>
      <c r="BQ65" s="85">
        <f t="shared" ca="1" si="94"/>
        <v>213.1181376319401</v>
      </c>
      <c r="BR65" s="85">
        <f t="shared" ca="1" si="95"/>
        <v>210.66886068973398</v>
      </c>
      <c r="BS65" s="85">
        <f t="shared" ca="1" si="96"/>
        <v>217.59533865508661</v>
      </c>
      <c r="BT65" s="85">
        <f t="shared" ca="1" si="97"/>
        <v>224.37989122720478</v>
      </c>
      <c r="BU65" s="85">
        <f t="shared" ca="1" si="98"/>
        <v>235.93130422703604</v>
      </c>
      <c r="BV65" s="85">
        <f t="shared" ca="1" si="99"/>
        <v>228.15334921478265</v>
      </c>
      <c r="BW65" s="85">
        <f t="shared" ca="1" si="100"/>
        <v>238.7705229686012</v>
      </c>
      <c r="BX65" s="85">
        <f t="shared" ca="1" si="101"/>
        <v>223.63053944332884</v>
      </c>
      <c r="BY65" s="85">
        <f t="shared" ca="1" si="67"/>
        <v>229.03192914278057</v>
      </c>
      <c r="BZ65" s="85">
        <f t="shared" ca="1" si="68"/>
        <v>231.01820474411034</v>
      </c>
      <c r="CA65" s="85">
        <f t="shared" ca="1" si="69"/>
        <v>225.96609611157444</v>
      </c>
      <c r="CB65" s="85">
        <f t="shared" ca="1" si="70"/>
        <v>217.1744105756398</v>
      </c>
      <c r="CC65" s="85">
        <f t="shared" ca="1" si="71"/>
        <v>218.66745522716403</v>
      </c>
      <c r="CD65" s="85">
        <f t="shared" ca="1" si="72"/>
        <v>236.62463121520844</v>
      </c>
      <c r="CE65" s="85">
        <f t="shared" ca="1" si="73"/>
        <v>210.88225665708077</v>
      </c>
      <c r="CF65" s="85">
        <f t="shared" ca="1" si="74"/>
        <v>238.64405295714207</v>
      </c>
      <c r="CG65" s="85">
        <f t="shared" ca="1" si="75"/>
        <v>211.98558163787195</v>
      </c>
      <c r="CH65" s="85">
        <f t="shared" ca="1" si="76"/>
        <v>225.75907684857393</v>
      </c>
      <c r="CI65" s="85">
        <f t="shared" ca="1" si="77"/>
        <v>224.51210661478839</v>
      </c>
      <c r="CJ65" s="85">
        <f t="shared" ca="1" si="78"/>
        <v>214.47713813424784</v>
      </c>
      <c r="CK65" s="85">
        <f t="shared" ca="1" si="79"/>
        <v>207.55518804453999</v>
      </c>
      <c r="CL65" s="85">
        <f t="shared" ca="1" si="80"/>
        <v>204.02208871214074</v>
      </c>
      <c r="CM65" s="85">
        <f t="shared" ca="1" si="81"/>
        <v>231.01445859838992</v>
      </c>
      <c r="CN65" s="85">
        <f t="shared" ca="1" si="82"/>
        <v>219.56012029322162</v>
      </c>
      <c r="CO65" s="85">
        <f t="shared" ca="1" si="83"/>
        <v>210.34287636666411</v>
      </c>
      <c r="CP65" s="85">
        <f t="shared" ca="1" si="84"/>
        <v>246.86689365242162</v>
      </c>
      <c r="CQ65" s="85">
        <f t="shared" ca="1" si="85"/>
        <v>235.57170457376552</v>
      </c>
      <c r="CR65" s="85">
        <f t="shared" ca="1" si="86"/>
        <v>234.56732767020017</v>
      </c>
      <c r="CS65" s="85">
        <f t="shared" ca="1" si="87"/>
        <v>212.47077759689677</v>
      </c>
      <c r="CT65" s="85">
        <f t="shared" ca="1" si="88"/>
        <v>222.83009985927788</v>
      </c>
      <c r="CU65" s="85">
        <f t="shared" ca="1" si="89"/>
        <v>238.1028113562318</v>
      </c>
      <c r="CV65" s="85">
        <f t="shared" ca="1" si="90"/>
        <v>211.15238506051995</v>
      </c>
      <c r="CW65" s="85">
        <f t="shared" ca="1" si="91"/>
        <v>223.55163131650812</v>
      </c>
    </row>
    <row r="66" spans="1:101" x14ac:dyDescent="0.2">
      <c r="A66" s="115">
        <v>63</v>
      </c>
      <c r="B66" s="85">
        <f t="shared" ca="1" si="2"/>
        <v>216.76852691436966</v>
      </c>
      <c r="C66" s="85">
        <f t="shared" ca="1" si="4"/>
        <v>215.73817819104056</v>
      </c>
      <c r="D66" s="85">
        <f t="shared" ca="1" si="5"/>
        <v>227.77806429020575</v>
      </c>
      <c r="E66" s="85">
        <f t="shared" ca="1" si="6"/>
        <v>215.38230942881773</v>
      </c>
      <c r="F66" s="85">
        <f t="shared" ca="1" si="7"/>
        <v>221.0739063307069</v>
      </c>
      <c r="G66" s="85">
        <f t="shared" ca="1" si="8"/>
        <v>223.28220181413138</v>
      </c>
      <c r="H66" s="85">
        <f t="shared" ca="1" si="9"/>
        <v>217.54623026176179</v>
      </c>
      <c r="I66" s="85">
        <f t="shared" ca="1" si="10"/>
        <v>213.31472957065003</v>
      </c>
      <c r="J66" s="85">
        <f t="shared" ca="1" si="11"/>
        <v>211.37607028300008</v>
      </c>
      <c r="K66" s="85">
        <f t="shared" ca="1" si="12"/>
        <v>203.00375206524683</v>
      </c>
      <c r="L66" s="85">
        <f t="shared" ca="1" si="13"/>
        <v>229.7803136182084</v>
      </c>
      <c r="M66" s="85">
        <f t="shared" ca="1" si="14"/>
        <v>203.51659583142236</v>
      </c>
      <c r="N66" s="85">
        <f t="shared" ca="1" si="15"/>
        <v>225.6485233356606</v>
      </c>
      <c r="O66" s="85">
        <f t="shared" ca="1" si="16"/>
        <v>212.23180144821021</v>
      </c>
      <c r="P66" s="85">
        <f t="shared" ca="1" si="17"/>
        <v>220.0694080789483</v>
      </c>
      <c r="Q66" s="85">
        <f t="shared" ca="1" si="18"/>
        <v>225.49839238543095</v>
      </c>
      <c r="R66" s="85">
        <f t="shared" ca="1" si="19"/>
        <v>213.09241091839453</v>
      </c>
      <c r="S66" s="85">
        <f t="shared" ca="1" si="20"/>
        <v>228.68972183430083</v>
      </c>
      <c r="T66" s="85">
        <f t="shared" ca="1" si="21"/>
        <v>226.55933513753317</v>
      </c>
      <c r="U66" s="85">
        <f t="shared" ca="1" si="22"/>
        <v>192.21925754098035</v>
      </c>
      <c r="V66" s="85">
        <f t="shared" ca="1" si="23"/>
        <v>240.76897674775924</v>
      </c>
      <c r="W66" s="85">
        <f t="shared" ca="1" si="24"/>
        <v>224.02265552911211</v>
      </c>
      <c r="X66" s="85">
        <f t="shared" ca="1" si="25"/>
        <v>226.16707717383775</v>
      </c>
      <c r="Y66" s="85">
        <f t="shared" ca="1" si="26"/>
        <v>211.29696085612508</v>
      </c>
      <c r="Z66" s="85">
        <f t="shared" ca="1" si="27"/>
        <v>213.24793730081038</v>
      </c>
      <c r="AA66" s="85">
        <f t="shared" ca="1" si="28"/>
        <v>211.20254553247045</v>
      </c>
      <c r="AB66" s="85">
        <f t="shared" ca="1" si="29"/>
        <v>240.75756987869389</v>
      </c>
      <c r="AC66" s="85">
        <f t="shared" ca="1" si="30"/>
        <v>215.88694596361648</v>
      </c>
      <c r="AD66" s="85">
        <f t="shared" ca="1" si="31"/>
        <v>245.34959055158174</v>
      </c>
      <c r="AE66" s="85">
        <f t="shared" ca="1" si="32"/>
        <v>255.33828447909673</v>
      </c>
      <c r="AF66" s="85">
        <f t="shared" ca="1" si="33"/>
        <v>216.61765724766767</v>
      </c>
      <c r="AG66" s="85">
        <f t="shared" ca="1" si="34"/>
        <v>221.14261507047095</v>
      </c>
      <c r="AH66" s="85">
        <f t="shared" ca="1" si="35"/>
        <v>233.29922290470236</v>
      </c>
      <c r="AI66" s="85">
        <f t="shared" ca="1" si="36"/>
        <v>234.83624852464575</v>
      </c>
      <c r="AJ66" s="85">
        <f t="shared" ca="1" si="37"/>
        <v>248.68268242342532</v>
      </c>
      <c r="AK66" s="85">
        <f t="shared" ca="1" si="38"/>
        <v>231.15463547907217</v>
      </c>
      <c r="AL66" s="85">
        <f t="shared" ca="1" si="39"/>
        <v>235.27338954916394</v>
      </c>
      <c r="AM66" s="85">
        <f t="shared" ca="1" si="40"/>
        <v>212.52285770897049</v>
      </c>
      <c r="AN66" s="85">
        <f t="shared" ca="1" si="41"/>
        <v>231.46668183225611</v>
      </c>
      <c r="AO66" s="85">
        <f t="shared" ca="1" si="42"/>
        <v>224.48413668267446</v>
      </c>
      <c r="AP66" s="85">
        <f t="shared" ca="1" si="43"/>
        <v>236.0068458532453</v>
      </c>
      <c r="AQ66" s="85">
        <f t="shared" ca="1" si="44"/>
        <v>209.19029363916545</v>
      </c>
      <c r="AR66" s="85">
        <f t="shared" ca="1" si="45"/>
        <v>221.51129009073455</v>
      </c>
      <c r="AS66" s="85">
        <f t="shared" ca="1" si="46"/>
        <v>213.37996510675143</v>
      </c>
      <c r="AT66" s="85">
        <f t="shared" ca="1" si="47"/>
        <v>238.05865584490135</v>
      </c>
      <c r="AU66" s="85">
        <f t="shared" ca="1" si="48"/>
        <v>228.55734699566523</v>
      </c>
      <c r="AV66" s="85">
        <f t="shared" ca="1" si="49"/>
        <v>236.74826646351852</v>
      </c>
      <c r="AW66" s="85">
        <f t="shared" ca="1" si="50"/>
        <v>228.89189011960175</v>
      </c>
      <c r="AX66" s="85">
        <f t="shared" ca="1" si="51"/>
        <v>256.04978801577624</v>
      </c>
      <c r="AY66" s="85">
        <f t="shared" ca="1" si="52"/>
        <v>238.40075498352201</v>
      </c>
      <c r="AZ66" s="85">
        <f t="shared" ca="1" si="53"/>
        <v>209.46653793751119</v>
      </c>
      <c r="BA66" s="85">
        <f t="shared" ca="1" si="54"/>
        <v>242.73682965110433</v>
      </c>
      <c r="BB66" s="85">
        <f t="shared" ca="1" si="55"/>
        <v>214.46707673720528</v>
      </c>
      <c r="BC66" s="85">
        <f t="shared" ca="1" si="56"/>
        <v>222.23957397770329</v>
      </c>
      <c r="BD66" s="85">
        <f t="shared" ca="1" si="57"/>
        <v>222.7174762724681</v>
      </c>
      <c r="BE66" s="85">
        <f t="shared" ca="1" si="58"/>
        <v>215.30823556127879</v>
      </c>
      <c r="BF66" s="85">
        <f t="shared" ca="1" si="59"/>
        <v>230.12347032624302</v>
      </c>
      <c r="BG66" s="85">
        <f t="shared" ca="1" si="60"/>
        <v>208.25578483061005</v>
      </c>
      <c r="BH66" s="85">
        <f t="shared" ca="1" si="61"/>
        <v>223.9624407335215</v>
      </c>
      <c r="BI66" s="85">
        <f t="shared" ca="1" si="62"/>
        <v>219.323189995077</v>
      </c>
      <c r="BJ66" s="85">
        <f t="shared" ca="1" si="63"/>
        <v>246.59082067384909</v>
      </c>
      <c r="BK66" s="85">
        <f t="shared" ca="1" si="64"/>
        <v>222.61233122480883</v>
      </c>
      <c r="BL66" s="85">
        <f t="shared" ca="1" si="65"/>
        <v>228.39153322513488</v>
      </c>
      <c r="BM66" s="85">
        <f t="shared" ca="1" si="66"/>
        <v>211.41759977970992</v>
      </c>
      <c r="BN66" s="85">
        <f t="shared" ca="1" si="3"/>
        <v>222.84620594506828</v>
      </c>
      <c r="BO66" s="85">
        <f t="shared" ca="1" si="92"/>
        <v>241.13007819874588</v>
      </c>
      <c r="BP66" s="85">
        <f t="shared" ca="1" si="93"/>
        <v>201.36640697570394</v>
      </c>
      <c r="BQ66" s="85">
        <f t="shared" ca="1" si="94"/>
        <v>214.68731442146469</v>
      </c>
      <c r="BR66" s="85">
        <f t="shared" ca="1" si="95"/>
        <v>213.79070766132293</v>
      </c>
      <c r="BS66" s="85">
        <f t="shared" ca="1" si="96"/>
        <v>219.54919155735152</v>
      </c>
      <c r="BT66" s="85">
        <f t="shared" ca="1" si="97"/>
        <v>227.1489381488733</v>
      </c>
      <c r="BU66" s="85">
        <f t="shared" ca="1" si="98"/>
        <v>240.0518205064013</v>
      </c>
      <c r="BV66" s="85">
        <f t="shared" ca="1" si="99"/>
        <v>231.88366224022471</v>
      </c>
      <c r="BW66" s="85">
        <f t="shared" ca="1" si="100"/>
        <v>238.72871898896162</v>
      </c>
      <c r="BX66" s="85">
        <f t="shared" ca="1" si="101"/>
        <v>228.44982374232262</v>
      </c>
      <c r="BY66" s="85">
        <f t="shared" ca="1" si="67"/>
        <v>229.26216748045852</v>
      </c>
      <c r="BZ66" s="85">
        <f t="shared" ca="1" si="68"/>
        <v>232.44196582707039</v>
      </c>
      <c r="CA66" s="85">
        <f t="shared" ca="1" si="69"/>
        <v>227.47869082288588</v>
      </c>
      <c r="CB66" s="85">
        <f t="shared" ca="1" si="70"/>
        <v>219.91574633439481</v>
      </c>
      <c r="CC66" s="85">
        <f t="shared" ca="1" si="71"/>
        <v>222.20349641271685</v>
      </c>
      <c r="CD66" s="85">
        <f t="shared" ca="1" si="72"/>
        <v>241.67111700323534</v>
      </c>
      <c r="CE66" s="85">
        <f t="shared" ca="1" si="73"/>
        <v>217.32124404154905</v>
      </c>
      <c r="CF66" s="85">
        <f t="shared" ca="1" si="74"/>
        <v>241.10981531113967</v>
      </c>
      <c r="CG66" s="85">
        <f t="shared" ca="1" si="75"/>
        <v>211.00578748898704</v>
      </c>
      <c r="CH66" s="85">
        <f t="shared" ca="1" si="76"/>
        <v>230.9117268941929</v>
      </c>
      <c r="CI66" s="85">
        <f t="shared" ca="1" si="77"/>
        <v>228.76185918178379</v>
      </c>
      <c r="CJ66" s="85">
        <f t="shared" ca="1" si="78"/>
        <v>220.15064233893176</v>
      </c>
      <c r="CK66" s="85">
        <f t="shared" ca="1" si="79"/>
        <v>211.57246656176252</v>
      </c>
      <c r="CL66" s="85">
        <f t="shared" ca="1" si="80"/>
        <v>205.35899728075111</v>
      </c>
      <c r="CM66" s="85">
        <f t="shared" ca="1" si="81"/>
        <v>232.9077384607462</v>
      </c>
      <c r="CN66" s="85">
        <f t="shared" ca="1" si="82"/>
        <v>221.88189872128348</v>
      </c>
      <c r="CO66" s="85">
        <f t="shared" ca="1" si="83"/>
        <v>212.51454687541886</v>
      </c>
      <c r="CP66" s="85">
        <f t="shared" ca="1" si="84"/>
        <v>250.10081443112833</v>
      </c>
      <c r="CQ66" s="85">
        <f t="shared" ca="1" si="85"/>
        <v>237.53986813362181</v>
      </c>
      <c r="CR66" s="85">
        <f t="shared" ca="1" si="86"/>
        <v>237.44806416081292</v>
      </c>
      <c r="CS66" s="85">
        <f t="shared" ca="1" si="87"/>
        <v>212.91753965994309</v>
      </c>
      <c r="CT66" s="85">
        <f t="shared" ca="1" si="88"/>
        <v>221.74501349374083</v>
      </c>
      <c r="CU66" s="85">
        <f t="shared" ca="1" si="89"/>
        <v>241.48307732189082</v>
      </c>
      <c r="CV66" s="85">
        <f t="shared" ca="1" si="90"/>
        <v>215.20799191081667</v>
      </c>
      <c r="CW66" s="85">
        <f t="shared" ca="1" si="91"/>
        <v>223.85936606848455</v>
      </c>
    </row>
    <row r="67" spans="1:101" x14ac:dyDescent="0.2">
      <c r="A67" s="115">
        <v>64</v>
      </c>
      <c r="B67" s="85">
        <f t="shared" ca="1" si="2"/>
        <v>222.46298734885002</v>
      </c>
      <c r="C67" s="85">
        <f t="shared" ca="1" si="4"/>
        <v>219.00284281810545</v>
      </c>
      <c r="D67" s="85">
        <f t="shared" ca="1" si="5"/>
        <v>232.3355841291999</v>
      </c>
      <c r="E67" s="85">
        <f t="shared" ca="1" si="6"/>
        <v>216.79586250152443</v>
      </c>
      <c r="F67" s="85">
        <f t="shared" ca="1" si="7"/>
        <v>224.52929350065767</v>
      </c>
      <c r="G67" s="85">
        <f t="shared" ca="1" si="8"/>
        <v>224.20165456167615</v>
      </c>
      <c r="H67" s="85">
        <f t="shared" ca="1" si="9"/>
        <v>220.90227426488241</v>
      </c>
      <c r="I67" s="85">
        <f t="shared" ca="1" si="10"/>
        <v>215.13372752274392</v>
      </c>
      <c r="J67" s="85">
        <f t="shared" ca="1" si="11"/>
        <v>215.38001451233507</v>
      </c>
      <c r="K67" s="85">
        <f t="shared" ca="1" si="12"/>
        <v>205.03266268687017</v>
      </c>
      <c r="L67" s="85">
        <f t="shared" ca="1" si="13"/>
        <v>231.61965990211692</v>
      </c>
      <c r="M67" s="85">
        <f t="shared" ca="1" si="14"/>
        <v>207.19940812498371</v>
      </c>
      <c r="N67" s="85">
        <f t="shared" ca="1" si="15"/>
        <v>227.09846463175506</v>
      </c>
      <c r="O67" s="85">
        <f t="shared" ca="1" si="16"/>
        <v>215.42882751790222</v>
      </c>
      <c r="P67" s="85">
        <f t="shared" ca="1" si="17"/>
        <v>219.81771228170584</v>
      </c>
      <c r="Q67" s="85">
        <f t="shared" ca="1" si="18"/>
        <v>228.21963933647334</v>
      </c>
      <c r="R67" s="85">
        <f t="shared" ca="1" si="19"/>
        <v>217.59383423893564</v>
      </c>
      <c r="S67" s="85">
        <f t="shared" ca="1" si="20"/>
        <v>229.92912213657425</v>
      </c>
      <c r="T67" s="85">
        <f t="shared" ca="1" si="21"/>
        <v>230.56245858843232</v>
      </c>
      <c r="U67" s="85">
        <f t="shared" ca="1" si="22"/>
        <v>193.21126273515515</v>
      </c>
      <c r="V67" s="85">
        <f t="shared" ca="1" si="23"/>
        <v>243.33462199763343</v>
      </c>
      <c r="W67" s="85">
        <f t="shared" ca="1" si="24"/>
        <v>226.30172097921096</v>
      </c>
      <c r="X67" s="85">
        <f t="shared" ca="1" si="25"/>
        <v>229.35704149506478</v>
      </c>
      <c r="Y67" s="85">
        <f t="shared" ca="1" si="26"/>
        <v>214.31239132665934</v>
      </c>
      <c r="Z67" s="85">
        <f t="shared" ca="1" si="27"/>
        <v>219.49780989875487</v>
      </c>
      <c r="AA67" s="85">
        <f t="shared" ca="1" si="28"/>
        <v>214.14348845558482</v>
      </c>
      <c r="AB67" s="85">
        <f t="shared" ca="1" si="29"/>
        <v>244.65423253439451</v>
      </c>
      <c r="AC67" s="85">
        <f t="shared" ca="1" si="30"/>
        <v>218.39876155833085</v>
      </c>
      <c r="AD67" s="85">
        <f t="shared" ca="1" si="31"/>
        <v>245.2218304022395</v>
      </c>
      <c r="AE67" s="85">
        <f t="shared" ca="1" si="32"/>
        <v>260.75356479794465</v>
      </c>
      <c r="AF67" s="85">
        <f t="shared" ca="1" si="33"/>
        <v>221.72323828564691</v>
      </c>
      <c r="AG67" s="85">
        <f t="shared" ca="1" si="34"/>
        <v>223.53833945127246</v>
      </c>
      <c r="AH67" s="85">
        <f t="shared" ca="1" si="35"/>
        <v>235.52048906427044</v>
      </c>
      <c r="AI67" s="85">
        <f t="shared" ca="1" si="36"/>
        <v>236.63915363198467</v>
      </c>
      <c r="AJ67" s="85">
        <f t="shared" ca="1" si="37"/>
        <v>250.20360200151413</v>
      </c>
      <c r="AK67" s="85">
        <f t="shared" ca="1" si="38"/>
        <v>234.20807546886698</v>
      </c>
      <c r="AL67" s="85">
        <f t="shared" ca="1" si="39"/>
        <v>240.27440824236345</v>
      </c>
      <c r="AM67" s="85">
        <f t="shared" ca="1" si="40"/>
        <v>217.69198408342609</v>
      </c>
      <c r="AN67" s="85">
        <f t="shared" ca="1" si="41"/>
        <v>232.32204148618814</v>
      </c>
      <c r="AO67" s="85">
        <f t="shared" ca="1" si="42"/>
        <v>226.64154911621083</v>
      </c>
      <c r="AP67" s="85">
        <f t="shared" ca="1" si="43"/>
        <v>236.54443163957612</v>
      </c>
      <c r="AQ67" s="85">
        <f t="shared" ca="1" si="44"/>
        <v>213.61415844509079</v>
      </c>
      <c r="AR67" s="85">
        <f t="shared" ca="1" si="45"/>
        <v>222.91836805478374</v>
      </c>
      <c r="AS67" s="85">
        <f t="shared" ca="1" si="46"/>
        <v>216.34246181805204</v>
      </c>
      <c r="AT67" s="85">
        <f t="shared" ca="1" si="47"/>
        <v>243.23233236786842</v>
      </c>
      <c r="AU67" s="85">
        <f t="shared" ca="1" si="48"/>
        <v>231.60444062216314</v>
      </c>
      <c r="AV67" s="85">
        <f t="shared" ca="1" si="49"/>
        <v>242.42983823651142</v>
      </c>
      <c r="AW67" s="85">
        <f t="shared" ca="1" si="50"/>
        <v>230.0146838311249</v>
      </c>
      <c r="AX67" s="85">
        <f t="shared" ca="1" si="51"/>
        <v>261.64676961325824</v>
      </c>
      <c r="AY67" s="85">
        <f t="shared" ca="1" si="52"/>
        <v>240.7871753439598</v>
      </c>
      <c r="AZ67" s="85">
        <f t="shared" ca="1" si="53"/>
        <v>213.42500416602257</v>
      </c>
      <c r="BA67" s="85">
        <f t="shared" ca="1" si="54"/>
        <v>242.89875178325951</v>
      </c>
      <c r="BB67" s="85">
        <f t="shared" ca="1" si="55"/>
        <v>216.56240390696746</v>
      </c>
      <c r="BC67" s="85">
        <f t="shared" ca="1" si="56"/>
        <v>224.74354928325999</v>
      </c>
      <c r="BD67" s="85">
        <f t="shared" ca="1" si="57"/>
        <v>227.50481537882706</v>
      </c>
      <c r="BE67" s="85">
        <f t="shared" ca="1" si="58"/>
        <v>217.35072953679227</v>
      </c>
      <c r="BF67" s="85">
        <f t="shared" ca="1" si="59"/>
        <v>236.20108395020884</v>
      </c>
      <c r="BG67" s="85">
        <f t="shared" ca="1" si="60"/>
        <v>207.66283412675529</v>
      </c>
      <c r="BH67" s="85">
        <f t="shared" ca="1" si="61"/>
        <v>230.18785211243664</v>
      </c>
      <c r="BI67" s="85">
        <f t="shared" ca="1" si="62"/>
        <v>222.73355379853376</v>
      </c>
      <c r="BJ67" s="85">
        <f t="shared" ca="1" si="63"/>
        <v>249.1734364458091</v>
      </c>
      <c r="BK67" s="85">
        <f t="shared" ca="1" si="64"/>
        <v>227.02536077447195</v>
      </c>
      <c r="BL67" s="85">
        <f t="shared" ca="1" si="65"/>
        <v>229.37687166269086</v>
      </c>
      <c r="BM67" s="85">
        <f t="shared" ca="1" si="66"/>
        <v>211.68623116885414</v>
      </c>
      <c r="BN67" s="85">
        <f t="shared" ca="1" si="3"/>
        <v>226.9465889487733</v>
      </c>
      <c r="BO67" s="85">
        <f t="shared" ca="1" si="92"/>
        <v>243.97837858480011</v>
      </c>
      <c r="BP67" s="85">
        <f t="shared" ca="1" si="93"/>
        <v>204.5707561457061</v>
      </c>
      <c r="BQ67" s="85">
        <f t="shared" ca="1" si="94"/>
        <v>217.98285369229987</v>
      </c>
      <c r="BR67" s="85">
        <f t="shared" ca="1" si="95"/>
        <v>216.75681013881672</v>
      </c>
      <c r="BS67" s="85">
        <f t="shared" ca="1" si="96"/>
        <v>226.1003091455521</v>
      </c>
      <c r="BT67" s="85">
        <f t="shared" ca="1" si="97"/>
        <v>231.19406960803681</v>
      </c>
      <c r="BU67" s="85">
        <f t="shared" ca="1" si="98"/>
        <v>246.07197975712336</v>
      </c>
      <c r="BV67" s="85">
        <f t="shared" ca="1" si="99"/>
        <v>234.03201088434275</v>
      </c>
      <c r="BW67" s="85">
        <f t="shared" ca="1" si="100"/>
        <v>242.33935018091586</v>
      </c>
      <c r="BX67" s="85">
        <f t="shared" ca="1" si="101"/>
        <v>231.07543740867843</v>
      </c>
      <c r="BY67" s="85">
        <f t="shared" ca="1" si="67"/>
        <v>231.45089231124004</v>
      </c>
      <c r="BZ67" s="85">
        <f t="shared" ca="1" si="68"/>
        <v>237.72952903917647</v>
      </c>
      <c r="CA67" s="85">
        <f t="shared" ca="1" si="69"/>
        <v>229.40077579085715</v>
      </c>
      <c r="CB67" s="85">
        <f t="shared" ca="1" si="70"/>
        <v>224.6709867056783</v>
      </c>
      <c r="CC67" s="85">
        <f t="shared" ca="1" si="71"/>
        <v>224.8064834466401</v>
      </c>
      <c r="CD67" s="85">
        <f t="shared" ca="1" si="72"/>
        <v>245.82996274200272</v>
      </c>
      <c r="CE67" s="85">
        <f t="shared" ca="1" si="73"/>
        <v>218.16742094592846</v>
      </c>
      <c r="CF67" s="85">
        <f t="shared" ca="1" si="74"/>
        <v>244.34513686569943</v>
      </c>
      <c r="CG67" s="85">
        <f t="shared" ca="1" si="75"/>
        <v>214.15808608759684</v>
      </c>
      <c r="CH67" s="85">
        <f t="shared" ca="1" si="76"/>
        <v>236.2552110170536</v>
      </c>
      <c r="CI67" s="85">
        <f t="shared" ca="1" si="77"/>
        <v>235.52555723891641</v>
      </c>
      <c r="CJ67" s="85">
        <f t="shared" ca="1" si="78"/>
        <v>222.64711290259967</v>
      </c>
      <c r="CK67" s="85">
        <f t="shared" ca="1" si="79"/>
        <v>216.39871259329175</v>
      </c>
      <c r="CL67" s="85">
        <f t="shared" ca="1" si="80"/>
        <v>207.95668795629322</v>
      </c>
      <c r="CM67" s="85">
        <f t="shared" ca="1" si="81"/>
        <v>236.54635448508756</v>
      </c>
      <c r="CN67" s="85">
        <f t="shared" ca="1" si="82"/>
        <v>223.27403093264209</v>
      </c>
      <c r="CO67" s="85">
        <f t="shared" ca="1" si="83"/>
        <v>218.01467738361842</v>
      </c>
      <c r="CP67" s="85">
        <f t="shared" ca="1" si="84"/>
        <v>253.13749426730109</v>
      </c>
      <c r="CQ67" s="85">
        <f t="shared" ca="1" si="85"/>
        <v>238.72496198375805</v>
      </c>
      <c r="CR67" s="85">
        <f t="shared" ca="1" si="86"/>
        <v>239.19817847624577</v>
      </c>
      <c r="CS67" s="85">
        <f t="shared" ca="1" si="87"/>
        <v>218.08557813053724</v>
      </c>
      <c r="CT67" s="85">
        <f t="shared" ca="1" si="88"/>
        <v>225.45138248434048</v>
      </c>
      <c r="CU67" s="85">
        <f t="shared" ca="1" si="89"/>
        <v>243.41918329590695</v>
      </c>
      <c r="CV67" s="85">
        <f t="shared" ca="1" si="90"/>
        <v>218.51946144846028</v>
      </c>
      <c r="CW67" s="85">
        <f t="shared" ca="1" si="91"/>
        <v>227.4884787177985</v>
      </c>
    </row>
    <row r="68" spans="1:101" x14ac:dyDescent="0.2">
      <c r="A68" s="115">
        <v>65</v>
      </c>
      <c r="B68" s="85">
        <f t="shared" ca="1" si="2"/>
        <v>225.35204127404822</v>
      </c>
      <c r="C68" s="85">
        <f t="shared" ca="1" si="4"/>
        <v>222.0074241445534</v>
      </c>
      <c r="D68" s="85">
        <f t="shared" ca="1" si="5"/>
        <v>235.3806503868951</v>
      </c>
      <c r="E68" s="85">
        <f t="shared" ca="1" si="6"/>
        <v>219.52943312755875</v>
      </c>
      <c r="F68" s="85">
        <f t="shared" ca="1" si="7"/>
        <v>229.8892869154385</v>
      </c>
      <c r="G68" s="85">
        <f t="shared" ca="1" si="8"/>
        <v>228.62821517168535</v>
      </c>
      <c r="H68" s="85">
        <f t="shared" ca="1" si="9"/>
        <v>226.9725986184535</v>
      </c>
      <c r="I68" s="85">
        <f t="shared" ca="1" si="10"/>
        <v>220.0444377904725</v>
      </c>
      <c r="J68" s="85">
        <f t="shared" ca="1" si="11"/>
        <v>220.58055786915725</v>
      </c>
      <c r="K68" s="85">
        <f t="shared" ca="1" si="12"/>
        <v>209.55098407977832</v>
      </c>
      <c r="L68" s="85">
        <f t="shared" ca="1" si="13"/>
        <v>239.35156195635591</v>
      </c>
      <c r="M68" s="85">
        <f t="shared" ca="1" si="14"/>
        <v>210.0636169068238</v>
      </c>
      <c r="N68" s="85">
        <f t="shared" ca="1" si="15"/>
        <v>228.67047148803795</v>
      </c>
      <c r="O68" s="85">
        <f t="shared" ca="1" si="16"/>
        <v>217.50167925086393</v>
      </c>
      <c r="P68" s="85">
        <f t="shared" ca="1" si="17"/>
        <v>223.50229669543256</v>
      </c>
      <c r="Q68" s="85">
        <f t="shared" ca="1" si="18"/>
        <v>230.88869681805815</v>
      </c>
      <c r="R68" s="85">
        <f t="shared" ca="1" si="19"/>
        <v>219.28547132966628</v>
      </c>
      <c r="S68" s="85">
        <f t="shared" ca="1" si="20"/>
        <v>232.8521500704737</v>
      </c>
      <c r="T68" s="85">
        <f t="shared" ca="1" si="21"/>
        <v>231.32234702549709</v>
      </c>
      <c r="U68" s="85">
        <f t="shared" ca="1" si="22"/>
        <v>196.00443239465505</v>
      </c>
      <c r="V68" s="85">
        <f t="shared" ca="1" si="23"/>
        <v>248.49394497634933</v>
      </c>
      <c r="W68" s="85">
        <f t="shared" ca="1" si="24"/>
        <v>230.30877363049871</v>
      </c>
      <c r="X68" s="85">
        <f t="shared" ca="1" si="25"/>
        <v>234.13013625096931</v>
      </c>
      <c r="Y68" s="85">
        <f t="shared" ca="1" si="26"/>
        <v>215.29155336028109</v>
      </c>
      <c r="Z68" s="85">
        <f t="shared" ca="1" si="27"/>
        <v>221.02572321319181</v>
      </c>
      <c r="AA68" s="85">
        <f t="shared" ca="1" si="28"/>
        <v>218.40230483754044</v>
      </c>
      <c r="AB68" s="85">
        <f t="shared" ca="1" si="29"/>
        <v>249.6190113454505</v>
      </c>
      <c r="AC68" s="85">
        <f t="shared" ca="1" si="30"/>
        <v>220.43171637832711</v>
      </c>
      <c r="AD68" s="85">
        <f t="shared" ca="1" si="31"/>
        <v>247.56792557350633</v>
      </c>
      <c r="AE68" s="85">
        <f t="shared" ca="1" si="32"/>
        <v>265.590264024215</v>
      </c>
      <c r="AF68" s="85">
        <f t="shared" ca="1" si="33"/>
        <v>225.49553802138416</v>
      </c>
      <c r="AG68" s="85">
        <f t="shared" ca="1" si="34"/>
        <v>228.28949772378292</v>
      </c>
      <c r="AH68" s="85">
        <f t="shared" ca="1" si="35"/>
        <v>238.36928741307048</v>
      </c>
      <c r="AI68" s="85">
        <f t="shared" ca="1" si="36"/>
        <v>236.18979476937099</v>
      </c>
      <c r="AJ68" s="85">
        <f t="shared" ca="1" si="37"/>
        <v>252.82329332979526</v>
      </c>
      <c r="AK68" s="85">
        <f t="shared" ca="1" si="38"/>
        <v>236.5683692576275</v>
      </c>
      <c r="AL68" s="85">
        <f t="shared" ca="1" si="39"/>
        <v>240.2355367244225</v>
      </c>
      <c r="AM68" s="85">
        <f t="shared" ca="1" si="40"/>
        <v>218.82066355405965</v>
      </c>
      <c r="AN68" s="85">
        <f t="shared" ca="1" si="41"/>
        <v>235.3236650944888</v>
      </c>
      <c r="AO68" s="85">
        <f t="shared" ca="1" si="42"/>
        <v>232.12154542837891</v>
      </c>
      <c r="AP68" s="85">
        <f t="shared" ca="1" si="43"/>
        <v>237.48333777259791</v>
      </c>
      <c r="AQ68" s="85">
        <f t="shared" ca="1" si="44"/>
        <v>214.07345616827996</v>
      </c>
      <c r="AR68" s="85">
        <f t="shared" ca="1" si="45"/>
        <v>223.08124952145974</v>
      </c>
      <c r="AS68" s="85">
        <f t="shared" ca="1" si="46"/>
        <v>222.07642573311355</v>
      </c>
      <c r="AT68" s="85">
        <f t="shared" ca="1" si="47"/>
        <v>246.9533284858278</v>
      </c>
      <c r="AU68" s="85">
        <f t="shared" ca="1" si="48"/>
        <v>234.78685972868618</v>
      </c>
      <c r="AV68" s="85">
        <f t="shared" ca="1" si="49"/>
        <v>245.96561447395237</v>
      </c>
      <c r="AW68" s="85">
        <f t="shared" ca="1" si="50"/>
        <v>232.13151447411767</v>
      </c>
      <c r="AX68" s="85">
        <f t="shared" ca="1" si="51"/>
        <v>265.80162643262503</v>
      </c>
      <c r="AY68" s="85">
        <f t="shared" ca="1" si="52"/>
        <v>245.19277891737232</v>
      </c>
      <c r="AZ68" s="85">
        <f t="shared" ca="1" si="53"/>
        <v>214.93898098363229</v>
      </c>
      <c r="BA68" s="85">
        <f t="shared" ca="1" si="54"/>
        <v>243.51522573369607</v>
      </c>
      <c r="BB68" s="85">
        <f t="shared" ca="1" si="55"/>
        <v>216.984077280306</v>
      </c>
      <c r="BC68" s="85">
        <f t="shared" ca="1" si="56"/>
        <v>227.2007380255271</v>
      </c>
      <c r="BD68" s="85">
        <f t="shared" ca="1" si="57"/>
        <v>230.80161551373669</v>
      </c>
      <c r="BE68" s="85">
        <f t="shared" ca="1" si="58"/>
        <v>217.91056302080617</v>
      </c>
      <c r="BF68" s="85">
        <f t="shared" ca="1" si="59"/>
        <v>238.74417223955106</v>
      </c>
      <c r="BG68" s="85">
        <f t="shared" ca="1" si="60"/>
        <v>210.43128988350139</v>
      </c>
      <c r="BH68" s="85">
        <f t="shared" ca="1" si="61"/>
        <v>233.38826132683639</v>
      </c>
      <c r="BI68" s="85">
        <f t="shared" ca="1" si="62"/>
        <v>227.40178310657788</v>
      </c>
      <c r="BJ68" s="85">
        <f t="shared" ca="1" si="63"/>
        <v>250.50725945431111</v>
      </c>
      <c r="BK68" s="85">
        <f t="shared" ca="1" si="64"/>
        <v>231.10498585524317</v>
      </c>
      <c r="BL68" s="85">
        <f t="shared" ca="1" si="65"/>
        <v>233.20335366769862</v>
      </c>
      <c r="BM68" s="85">
        <f t="shared" ca="1" si="66"/>
        <v>215.94212079658072</v>
      </c>
      <c r="BN68" s="85">
        <f t="shared" ca="1" si="3"/>
        <v>231.61837280884112</v>
      </c>
      <c r="BO68" s="85">
        <f t="shared" ca="1" si="92"/>
        <v>247.08941079585767</v>
      </c>
      <c r="BP68" s="85">
        <f t="shared" ca="1" si="93"/>
        <v>208.44379901153252</v>
      </c>
      <c r="BQ68" s="85">
        <f t="shared" ca="1" si="94"/>
        <v>220.01114544847425</v>
      </c>
      <c r="BR68" s="85">
        <f t="shared" ca="1" si="95"/>
        <v>218.3485271144888</v>
      </c>
      <c r="BS68" s="85">
        <f t="shared" ca="1" si="96"/>
        <v>231.6045699056522</v>
      </c>
      <c r="BT68" s="85">
        <f t="shared" ca="1" si="97"/>
        <v>232.53710570545621</v>
      </c>
      <c r="BU68" s="85">
        <f t="shared" ca="1" si="98"/>
        <v>247.05986446254704</v>
      </c>
      <c r="BV68" s="85">
        <f t="shared" ca="1" si="99"/>
        <v>235.56368668315369</v>
      </c>
      <c r="BW68" s="85">
        <f t="shared" ca="1" si="100"/>
        <v>244.8923041160896</v>
      </c>
      <c r="BX68" s="85">
        <f t="shared" ca="1" si="101"/>
        <v>230.93254874930838</v>
      </c>
      <c r="BY68" s="85">
        <f t="shared" ca="1" si="67"/>
        <v>234.14876625984039</v>
      </c>
      <c r="BZ68" s="85">
        <f t="shared" ca="1" si="68"/>
        <v>238.78864355893592</v>
      </c>
      <c r="CA68" s="85">
        <f t="shared" ca="1" si="69"/>
        <v>234.02488715081162</v>
      </c>
      <c r="CB68" s="85">
        <f t="shared" ca="1" si="70"/>
        <v>224.67204145764535</v>
      </c>
      <c r="CC68" s="85">
        <f t="shared" ca="1" si="71"/>
        <v>227.30753856020129</v>
      </c>
      <c r="CD68" s="85">
        <f t="shared" ca="1" si="72"/>
        <v>249.97676153222494</v>
      </c>
      <c r="CE68" s="85">
        <f t="shared" ca="1" si="73"/>
        <v>222.64519452201924</v>
      </c>
      <c r="CF68" s="85">
        <f t="shared" ca="1" si="74"/>
        <v>248.71505713741547</v>
      </c>
      <c r="CG68" s="85">
        <f t="shared" ca="1" si="75"/>
        <v>217.82264557794571</v>
      </c>
      <c r="CH68" s="85">
        <f t="shared" ca="1" si="76"/>
        <v>241.26356449534052</v>
      </c>
      <c r="CI68" s="85">
        <f t="shared" ca="1" si="77"/>
        <v>238.51886102968697</v>
      </c>
      <c r="CJ68" s="85">
        <f t="shared" ca="1" si="78"/>
        <v>225.28239056385945</v>
      </c>
      <c r="CK68" s="85">
        <f t="shared" ca="1" si="79"/>
        <v>221.14521544779839</v>
      </c>
      <c r="CL68" s="85">
        <f t="shared" ca="1" si="80"/>
        <v>211.44133474050395</v>
      </c>
      <c r="CM68" s="85">
        <f t="shared" ca="1" si="81"/>
        <v>238.90881726219757</v>
      </c>
      <c r="CN68" s="85">
        <f t="shared" ca="1" si="82"/>
        <v>225.62192053045021</v>
      </c>
      <c r="CO68" s="85">
        <f t="shared" ca="1" si="83"/>
        <v>220.07707240047489</v>
      </c>
      <c r="CP68" s="85">
        <f t="shared" ca="1" si="84"/>
        <v>257.2734016037042</v>
      </c>
      <c r="CQ68" s="85">
        <f t="shared" ca="1" si="85"/>
        <v>242.13206262858554</v>
      </c>
      <c r="CR68" s="85">
        <f t="shared" ca="1" si="86"/>
        <v>242.12007286420453</v>
      </c>
      <c r="CS68" s="85">
        <f t="shared" ca="1" si="87"/>
        <v>224.09452391162978</v>
      </c>
      <c r="CT68" s="85">
        <f t="shared" ca="1" si="88"/>
        <v>230.17591509818118</v>
      </c>
      <c r="CU68" s="85">
        <f t="shared" ca="1" si="89"/>
        <v>247.64391404991156</v>
      </c>
      <c r="CV68" s="85">
        <f t="shared" ca="1" si="90"/>
        <v>224.79991822404321</v>
      </c>
      <c r="CW68" s="85">
        <f t="shared" ca="1" si="91"/>
        <v>229.08778276984495</v>
      </c>
    </row>
    <row r="69" spans="1:101" x14ac:dyDescent="0.2">
      <c r="A69" s="115">
        <v>66</v>
      </c>
      <c r="B69" s="85">
        <f t="shared" ref="B69:B132" ca="1" si="102">B68*EXP(($C$259-0.5*$C$260^2)+$C$260*_xlfn.NORM.INV(RAND(),0,1))</f>
        <v>228.28578293819322</v>
      </c>
      <c r="C69" s="85">
        <f t="shared" ca="1" si="4"/>
        <v>225.29833004662402</v>
      </c>
      <c r="D69" s="85">
        <f t="shared" ca="1" si="5"/>
        <v>237.70032437707866</v>
      </c>
      <c r="E69" s="85">
        <f t="shared" ca="1" si="6"/>
        <v>223.21566950151237</v>
      </c>
      <c r="F69" s="85">
        <f t="shared" ca="1" si="7"/>
        <v>231.11643780790359</v>
      </c>
      <c r="G69" s="85">
        <f t="shared" ca="1" si="8"/>
        <v>232.84410159402114</v>
      </c>
      <c r="H69" s="85">
        <f t="shared" ca="1" si="9"/>
        <v>232.1440636576626</v>
      </c>
      <c r="I69" s="85">
        <f t="shared" ca="1" si="10"/>
        <v>224.95188132430158</v>
      </c>
      <c r="J69" s="85">
        <f t="shared" ca="1" si="11"/>
        <v>224.03172145244602</v>
      </c>
      <c r="K69" s="85">
        <f t="shared" ca="1" si="12"/>
        <v>213.39885968487823</v>
      </c>
      <c r="L69" s="85">
        <f t="shared" ca="1" si="13"/>
        <v>243.08207618595014</v>
      </c>
      <c r="M69" s="85">
        <f t="shared" ca="1" si="14"/>
        <v>210.8835980332594</v>
      </c>
      <c r="N69" s="85">
        <f t="shared" ca="1" si="15"/>
        <v>227.5231955308285</v>
      </c>
      <c r="O69" s="85">
        <f t="shared" ca="1" si="16"/>
        <v>221.36102751802963</v>
      </c>
      <c r="P69" s="85">
        <f t="shared" ca="1" si="17"/>
        <v>226.68307299339892</v>
      </c>
      <c r="Q69" s="85">
        <f t="shared" ca="1" si="18"/>
        <v>235.00349366537063</v>
      </c>
      <c r="R69" s="85">
        <f t="shared" ca="1" si="19"/>
        <v>220.13931812786853</v>
      </c>
      <c r="S69" s="85">
        <f t="shared" ca="1" si="20"/>
        <v>236.3587009809921</v>
      </c>
      <c r="T69" s="85">
        <f t="shared" ca="1" si="21"/>
        <v>237.46912269158412</v>
      </c>
      <c r="U69" s="85">
        <f t="shared" ca="1" si="22"/>
        <v>199.61520529087457</v>
      </c>
      <c r="V69" s="85">
        <f t="shared" ca="1" si="23"/>
        <v>253.56009563215738</v>
      </c>
      <c r="W69" s="85">
        <f t="shared" ca="1" si="24"/>
        <v>230.15974521658245</v>
      </c>
      <c r="X69" s="85">
        <f t="shared" ca="1" si="25"/>
        <v>239.27125871653698</v>
      </c>
      <c r="Y69" s="85">
        <f t="shared" ca="1" si="26"/>
        <v>215.94081611932364</v>
      </c>
      <c r="Z69" s="85">
        <f t="shared" ca="1" si="27"/>
        <v>224.20433396671064</v>
      </c>
      <c r="AA69" s="85">
        <f t="shared" ca="1" si="28"/>
        <v>219.09918605966379</v>
      </c>
      <c r="AB69" s="85">
        <f t="shared" ca="1" si="29"/>
        <v>252.1465442415543</v>
      </c>
      <c r="AC69" s="85">
        <f t="shared" ca="1" si="30"/>
        <v>224.63140023199813</v>
      </c>
      <c r="AD69" s="85">
        <f t="shared" ca="1" si="31"/>
        <v>248.71098706178893</v>
      </c>
      <c r="AE69" s="85">
        <f t="shared" ca="1" si="32"/>
        <v>270.24317842205625</v>
      </c>
      <c r="AF69" s="85">
        <f t="shared" ca="1" si="33"/>
        <v>229.00558151622741</v>
      </c>
      <c r="AG69" s="85">
        <f t="shared" ca="1" si="34"/>
        <v>233.36233078078047</v>
      </c>
      <c r="AH69" s="85">
        <f t="shared" ca="1" si="35"/>
        <v>238.28514033107774</v>
      </c>
      <c r="AI69" s="85">
        <f t="shared" ca="1" si="36"/>
        <v>240.32995835474884</v>
      </c>
      <c r="AJ69" s="85">
        <f t="shared" ca="1" si="37"/>
        <v>256.14973368111089</v>
      </c>
      <c r="AK69" s="85">
        <f t="shared" ca="1" si="38"/>
        <v>240.92705374126021</v>
      </c>
      <c r="AL69" s="85">
        <f t="shared" ca="1" si="39"/>
        <v>245.11472399961789</v>
      </c>
      <c r="AM69" s="85">
        <f t="shared" ca="1" si="40"/>
        <v>220.97126828200209</v>
      </c>
      <c r="AN69" s="85">
        <f t="shared" ca="1" si="41"/>
        <v>240.05668810729105</v>
      </c>
      <c r="AO69" s="85">
        <f t="shared" ca="1" si="42"/>
        <v>236.5016943345355</v>
      </c>
      <c r="AP69" s="85">
        <f t="shared" ca="1" si="43"/>
        <v>239.84779050813944</v>
      </c>
      <c r="AQ69" s="85">
        <f t="shared" ca="1" si="44"/>
        <v>217.93844686426084</v>
      </c>
      <c r="AR69" s="85">
        <f t="shared" ca="1" si="45"/>
        <v>225.15659550448245</v>
      </c>
      <c r="AS69" s="85">
        <f t="shared" ca="1" si="46"/>
        <v>227.09934973448463</v>
      </c>
      <c r="AT69" s="85">
        <f t="shared" ca="1" si="47"/>
        <v>249.4995497543859</v>
      </c>
      <c r="AU69" s="85">
        <f t="shared" ca="1" si="48"/>
        <v>236.91160230554965</v>
      </c>
      <c r="AV69" s="85">
        <f t="shared" ca="1" si="49"/>
        <v>246.32333739954083</v>
      </c>
      <c r="AW69" s="85">
        <f t="shared" ca="1" si="50"/>
        <v>235.13659992434941</v>
      </c>
      <c r="AX69" s="85">
        <f t="shared" ca="1" si="51"/>
        <v>272.70613219492805</v>
      </c>
      <c r="AY69" s="85">
        <f t="shared" ca="1" si="52"/>
        <v>247.71563897132231</v>
      </c>
      <c r="AZ69" s="85">
        <f t="shared" ca="1" si="53"/>
        <v>219.00590129397614</v>
      </c>
      <c r="BA69" s="85">
        <f t="shared" ca="1" si="54"/>
        <v>245.12099766265965</v>
      </c>
      <c r="BB69" s="85">
        <f t="shared" ca="1" si="55"/>
        <v>219.76439339103308</v>
      </c>
      <c r="BC69" s="85">
        <f t="shared" ca="1" si="56"/>
        <v>231.34346772742822</v>
      </c>
      <c r="BD69" s="85">
        <f t="shared" ca="1" si="57"/>
        <v>236.90009173534219</v>
      </c>
      <c r="BE69" s="85">
        <f t="shared" ca="1" si="58"/>
        <v>222.15711887391902</v>
      </c>
      <c r="BF69" s="85">
        <f t="shared" ca="1" si="59"/>
        <v>240.84382054097352</v>
      </c>
      <c r="BG69" s="85">
        <f t="shared" ca="1" si="60"/>
        <v>212.10006406880456</v>
      </c>
      <c r="BH69" s="85">
        <f t="shared" ca="1" si="61"/>
        <v>234.25398796112958</v>
      </c>
      <c r="BI69" s="85">
        <f t="shared" ca="1" si="62"/>
        <v>230.93564328431245</v>
      </c>
      <c r="BJ69" s="85">
        <f t="shared" ca="1" si="63"/>
        <v>252.74039170318341</v>
      </c>
      <c r="BK69" s="85">
        <f t="shared" ca="1" si="64"/>
        <v>233.57154771186896</v>
      </c>
      <c r="BL69" s="85">
        <f t="shared" ca="1" si="65"/>
        <v>234.43836864868516</v>
      </c>
      <c r="BM69" s="85">
        <f t="shared" ca="1" si="66"/>
        <v>217.78953172440561</v>
      </c>
      <c r="BN69" s="85">
        <f t="shared" ca="1" si="3"/>
        <v>235.25837559660289</v>
      </c>
      <c r="BO69" s="85">
        <f t="shared" ca="1" si="92"/>
        <v>252.4075227245126</v>
      </c>
      <c r="BP69" s="85">
        <f t="shared" ca="1" si="93"/>
        <v>208.58565805128626</v>
      </c>
      <c r="BQ69" s="85">
        <f t="shared" ca="1" si="94"/>
        <v>221.59056427330952</v>
      </c>
      <c r="BR69" s="85">
        <f t="shared" ca="1" si="95"/>
        <v>220.48815393554989</v>
      </c>
      <c r="BS69" s="85">
        <f t="shared" ca="1" si="96"/>
        <v>234.23937422376443</v>
      </c>
      <c r="BT69" s="85">
        <f t="shared" ca="1" si="97"/>
        <v>235.80095007200191</v>
      </c>
      <c r="BU69" s="85">
        <f t="shared" ca="1" si="98"/>
        <v>253.05300362203837</v>
      </c>
      <c r="BV69" s="85">
        <f t="shared" ca="1" si="99"/>
        <v>239.19837714374697</v>
      </c>
      <c r="BW69" s="85">
        <f t="shared" ca="1" si="100"/>
        <v>246.35112343333691</v>
      </c>
      <c r="BX69" s="85">
        <f t="shared" ca="1" si="101"/>
        <v>236.12086044070139</v>
      </c>
      <c r="BY69" s="85">
        <f t="shared" ca="1" si="67"/>
        <v>235.59580794966146</v>
      </c>
      <c r="BZ69" s="85">
        <f t="shared" ca="1" si="68"/>
        <v>241.7503290839384</v>
      </c>
      <c r="CA69" s="85">
        <f t="shared" ca="1" si="69"/>
        <v>238.04677957131955</v>
      </c>
      <c r="CB69" s="85">
        <f t="shared" ca="1" si="70"/>
        <v>228.13479663721998</v>
      </c>
      <c r="CC69" s="85">
        <f t="shared" ca="1" si="71"/>
        <v>230.30964953008822</v>
      </c>
      <c r="CD69" s="85">
        <f t="shared" ca="1" si="72"/>
        <v>252.63267091665298</v>
      </c>
      <c r="CE69" s="85">
        <f t="shared" ca="1" si="73"/>
        <v>227.80633883995085</v>
      </c>
      <c r="CF69" s="85">
        <f t="shared" ca="1" si="74"/>
        <v>252.25887688918047</v>
      </c>
      <c r="CG69" s="85">
        <f t="shared" ca="1" si="75"/>
        <v>220.78298042464027</v>
      </c>
      <c r="CH69" s="85">
        <f t="shared" ca="1" si="76"/>
        <v>242.41960967458306</v>
      </c>
      <c r="CI69" s="85">
        <f t="shared" ca="1" si="77"/>
        <v>241.18850205765827</v>
      </c>
      <c r="CJ69" s="85">
        <f t="shared" ca="1" si="78"/>
        <v>228.41556739449283</v>
      </c>
      <c r="CK69" s="85">
        <f t="shared" ca="1" si="79"/>
        <v>226.778819450117</v>
      </c>
      <c r="CL69" s="85">
        <f t="shared" ca="1" si="80"/>
        <v>214.99587213649011</v>
      </c>
      <c r="CM69" s="85">
        <f t="shared" ca="1" si="81"/>
        <v>244.67222507578248</v>
      </c>
      <c r="CN69" s="85">
        <f t="shared" ca="1" si="82"/>
        <v>227.23916061932087</v>
      </c>
      <c r="CO69" s="85">
        <f t="shared" ca="1" si="83"/>
        <v>224.03147082965216</v>
      </c>
      <c r="CP69" s="85">
        <f t="shared" ca="1" si="84"/>
        <v>266.31447187467563</v>
      </c>
      <c r="CQ69" s="85">
        <f t="shared" ca="1" si="85"/>
        <v>243.55925309200376</v>
      </c>
      <c r="CR69" s="85">
        <f t="shared" ca="1" si="86"/>
        <v>244.69962173841748</v>
      </c>
      <c r="CS69" s="85">
        <f t="shared" ca="1" si="87"/>
        <v>226.34882244329111</v>
      </c>
      <c r="CT69" s="85">
        <f t="shared" ca="1" si="88"/>
        <v>232.74271540315291</v>
      </c>
      <c r="CU69" s="85">
        <f t="shared" ca="1" si="89"/>
        <v>253.57761221391766</v>
      </c>
      <c r="CV69" s="85">
        <f t="shared" ca="1" si="90"/>
        <v>226.57785820121927</v>
      </c>
      <c r="CW69" s="85">
        <f t="shared" ca="1" si="91"/>
        <v>232.60742456572271</v>
      </c>
    </row>
    <row r="70" spans="1:101" x14ac:dyDescent="0.2">
      <c r="A70" s="115">
        <v>67</v>
      </c>
      <c r="B70" s="85">
        <f t="shared" ca="1" si="102"/>
        <v>227.94357525185123</v>
      </c>
      <c r="C70" s="85">
        <f t="shared" ca="1" si="4"/>
        <v>228.45446322103516</v>
      </c>
      <c r="D70" s="85">
        <f t="shared" ca="1" si="5"/>
        <v>239.47039460824914</v>
      </c>
      <c r="E70" s="85">
        <f t="shared" ca="1" si="6"/>
        <v>225.31203791421822</v>
      </c>
      <c r="F70" s="85">
        <f t="shared" ca="1" si="7"/>
        <v>234.16714510068431</v>
      </c>
      <c r="G70" s="85">
        <f t="shared" ca="1" si="8"/>
        <v>233.7557056115777</v>
      </c>
      <c r="H70" s="85">
        <f t="shared" ca="1" si="9"/>
        <v>234.05560506821402</v>
      </c>
      <c r="I70" s="85">
        <f t="shared" ca="1" si="10"/>
        <v>227.90208317659824</v>
      </c>
      <c r="J70" s="85">
        <f t="shared" ca="1" si="11"/>
        <v>229.0459544241038</v>
      </c>
      <c r="K70" s="85">
        <f t="shared" ca="1" si="12"/>
        <v>215.54652481467659</v>
      </c>
      <c r="L70" s="85">
        <f t="shared" ca="1" si="13"/>
        <v>249.4950439029393</v>
      </c>
      <c r="M70" s="85">
        <f t="shared" ca="1" si="14"/>
        <v>214.88544684006041</v>
      </c>
      <c r="N70" s="85">
        <f t="shared" ca="1" si="15"/>
        <v>230.67859824729237</v>
      </c>
      <c r="O70" s="85">
        <f t="shared" ca="1" si="16"/>
        <v>224.11170369982878</v>
      </c>
      <c r="P70" s="85">
        <f t="shared" ca="1" si="17"/>
        <v>230.0574978814598</v>
      </c>
      <c r="Q70" s="85">
        <f t="shared" ca="1" si="18"/>
        <v>235.77774217848045</v>
      </c>
      <c r="R70" s="85">
        <f t="shared" ca="1" si="19"/>
        <v>221.17650384615206</v>
      </c>
      <c r="S70" s="85">
        <f t="shared" ca="1" si="20"/>
        <v>240.43997724949909</v>
      </c>
      <c r="T70" s="85">
        <f t="shared" ca="1" si="21"/>
        <v>240.16060388965755</v>
      </c>
      <c r="U70" s="85">
        <f t="shared" ca="1" si="22"/>
        <v>201.6074019824668</v>
      </c>
      <c r="V70" s="85">
        <f t="shared" ca="1" si="23"/>
        <v>255.9714124332547</v>
      </c>
      <c r="W70" s="85">
        <f t="shared" ca="1" si="24"/>
        <v>235.16700221227359</v>
      </c>
      <c r="X70" s="85">
        <f t="shared" ca="1" si="25"/>
        <v>240.65528955397579</v>
      </c>
      <c r="Y70" s="85">
        <f t="shared" ca="1" si="26"/>
        <v>219.02820045935852</v>
      </c>
      <c r="Z70" s="85">
        <f t="shared" ca="1" si="27"/>
        <v>227.19498483199155</v>
      </c>
      <c r="AA70" s="85">
        <f t="shared" ca="1" si="28"/>
        <v>222.1887808752308</v>
      </c>
      <c r="AB70" s="85">
        <f t="shared" ca="1" si="29"/>
        <v>256.0677847812708</v>
      </c>
      <c r="AC70" s="85">
        <f t="shared" ca="1" si="30"/>
        <v>227.20394291091219</v>
      </c>
      <c r="AD70" s="85">
        <f t="shared" ca="1" si="31"/>
        <v>248.59139058713785</v>
      </c>
      <c r="AE70" s="85">
        <f t="shared" ca="1" si="32"/>
        <v>274.30316915949925</v>
      </c>
      <c r="AF70" s="85">
        <f t="shared" ca="1" si="33"/>
        <v>231.01479271516817</v>
      </c>
      <c r="AG70" s="85">
        <f t="shared" ca="1" si="34"/>
        <v>233.09634396280623</v>
      </c>
      <c r="AH70" s="85">
        <f t="shared" ca="1" si="35"/>
        <v>238.92187928710027</v>
      </c>
      <c r="AI70" s="85">
        <f t="shared" ca="1" si="36"/>
        <v>246.18384553262223</v>
      </c>
      <c r="AJ70" s="85">
        <f t="shared" ca="1" si="37"/>
        <v>260.11421076393924</v>
      </c>
      <c r="AK70" s="85">
        <f t="shared" ca="1" si="38"/>
        <v>244.11334177730433</v>
      </c>
      <c r="AL70" s="85">
        <f t="shared" ca="1" si="39"/>
        <v>251.85839622961947</v>
      </c>
      <c r="AM70" s="85">
        <f t="shared" ca="1" si="40"/>
        <v>223.0468038280049</v>
      </c>
      <c r="AN70" s="85">
        <f t="shared" ca="1" si="41"/>
        <v>241.51993477161506</v>
      </c>
      <c r="AO70" s="85">
        <f t="shared" ca="1" si="42"/>
        <v>237.82710574814587</v>
      </c>
      <c r="AP70" s="85">
        <f t="shared" ca="1" si="43"/>
        <v>244.26031563157321</v>
      </c>
      <c r="AQ70" s="85">
        <f t="shared" ca="1" si="44"/>
        <v>221.8815641313688</v>
      </c>
      <c r="AR70" s="85">
        <f t="shared" ca="1" si="45"/>
        <v>227.06242060330811</v>
      </c>
      <c r="AS70" s="85">
        <f t="shared" ca="1" si="46"/>
        <v>231.49968053823073</v>
      </c>
      <c r="AT70" s="85">
        <f t="shared" ca="1" si="47"/>
        <v>253.16863159067827</v>
      </c>
      <c r="AU70" s="85">
        <f t="shared" ca="1" si="48"/>
        <v>241.03263107345737</v>
      </c>
      <c r="AV70" s="85">
        <f t="shared" ca="1" si="49"/>
        <v>250.76918065729615</v>
      </c>
      <c r="AW70" s="85">
        <f t="shared" ca="1" si="50"/>
        <v>236.51679434204604</v>
      </c>
      <c r="AX70" s="85">
        <f t="shared" ca="1" si="51"/>
        <v>276.90116913335117</v>
      </c>
      <c r="AY70" s="85">
        <f t="shared" ca="1" si="52"/>
        <v>251.33374932272585</v>
      </c>
      <c r="AZ70" s="85">
        <f t="shared" ca="1" si="53"/>
        <v>221.93389796676209</v>
      </c>
      <c r="BA70" s="85">
        <f t="shared" ca="1" si="54"/>
        <v>248.06432618610103</v>
      </c>
      <c r="BB70" s="85">
        <f t="shared" ca="1" si="55"/>
        <v>222.31766830499234</v>
      </c>
      <c r="BC70" s="85">
        <f t="shared" ca="1" si="56"/>
        <v>235.68000624606495</v>
      </c>
      <c r="BD70" s="85">
        <f t="shared" ca="1" si="57"/>
        <v>239.2978733829556</v>
      </c>
      <c r="BE70" s="85">
        <f t="shared" ca="1" si="58"/>
        <v>223.73883382904441</v>
      </c>
      <c r="BF70" s="85">
        <f t="shared" ca="1" si="59"/>
        <v>243.01500492558358</v>
      </c>
      <c r="BG70" s="85">
        <f t="shared" ca="1" si="60"/>
        <v>214.10279896092212</v>
      </c>
      <c r="BH70" s="85">
        <f t="shared" ca="1" si="61"/>
        <v>239.30490859699879</v>
      </c>
      <c r="BI70" s="85">
        <f t="shared" ca="1" si="62"/>
        <v>232.30223392932743</v>
      </c>
      <c r="BJ70" s="85">
        <f t="shared" ca="1" si="63"/>
        <v>255.60662062028524</v>
      </c>
      <c r="BK70" s="85">
        <f t="shared" ca="1" si="64"/>
        <v>239.66871186880607</v>
      </c>
      <c r="BL70" s="85">
        <f t="shared" ca="1" si="65"/>
        <v>239.73034684187013</v>
      </c>
      <c r="BM70" s="85">
        <f t="shared" ca="1" si="66"/>
        <v>216.17009334801801</v>
      </c>
      <c r="BN70" s="85">
        <f t="shared" ca="1" si="3"/>
        <v>239.93013555809134</v>
      </c>
      <c r="BO70" s="85">
        <f t="shared" ca="1" si="92"/>
        <v>255.22299991480438</v>
      </c>
      <c r="BP70" s="85">
        <f t="shared" ca="1" si="93"/>
        <v>213.27974050336422</v>
      </c>
      <c r="BQ70" s="85">
        <f t="shared" ca="1" si="94"/>
        <v>225.86384884709892</v>
      </c>
      <c r="BR70" s="85">
        <f t="shared" ca="1" si="95"/>
        <v>223.44254319975963</v>
      </c>
      <c r="BS70" s="85">
        <f t="shared" ca="1" si="96"/>
        <v>237.00126576517113</v>
      </c>
      <c r="BT70" s="85">
        <f t="shared" ca="1" si="97"/>
        <v>240.58996287697261</v>
      </c>
      <c r="BU70" s="85">
        <f t="shared" ca="1" si="98"/>
        <v>255.81158724928792</v>
      </c>
      <c r="BV70" s="85">
        <f t="shared" ca="1" si="99"/>
        <v>242.29888687342168</v>
      </c>
      <c r="BW70" s="85">
        <f t="shared" ca="1" si="100"/>
        <v>248.52033566014697</v>
      </c>
      <c r="BX70" s="85">
        <f t="shared" ca="1" si="101"/>
        <v>241.33881442155297</v>
      </c>
      <c r="BY70" s="85">
        <f t="shared" ca="1" si="67"/>
        <v>235.50222391602546</v>
      </c>
      <c r="BZ70" s="85">
        <f t="shared" ca="1" si="68"/>
        <v>246.07064466838915</v>
      </c>
      <c r="CA70" s="85">
        <f t="shared" ca="1" si="69"/>
        <v>241.80710979072728</v>
      </c>
      <c r="CB70" s="85">
        <f t="shared" ca="1" si="70"/>
        <v>233.85024245280593</v>
      </c>
      <c r="CC70" s="85">
        <f t="shared" ca="1" si="71"/>
        <v>232.63638577012983</v>
      </c>
      <c r="CD70" s="85">
        <f t="shared" ca="1" si="72"/>
        <v>258.37269482102897</v>
      </c>
      <c r="CE70" s="85">
        <f t="shared" ca="1" si="73"/>
        <v>227.93255040815879</v>
      </c>
      <c r="CF70" s="85">
        <f t="shared" ca="1" si="74"/>
        <v>255.14672795635741</v>
      </c>
      <c r="CG70" s="85">
        <f t="shared" ca="1" si="75"/>
        <v>224.86171623461991</v>
      </c>
      <c r="CH70" s="85">
        <f t="shared" ca="1" si="76"/>
        <v>245.55045206852989</v>
      </c>
      <c r="CI70" s="85">
        <f t="shared" ca="1" si="77"/>
        <v>245.87071056153545</v>
      </c>
      <c r="CJ70" s="85">
        <f t="shared" ca="1" si="78"/>
        <v>230.98595304670965</v>
      </c>
      <c r="CK70" s="85">
        <f t="shared" ca="1" si="79"/>
        <v>227.85244008815462</v>
      </c>
      <c r="CL70" s="85">
        <f t="shared" ca="1" si="80"/>
        <v>220.06584094345178</v>
      </c>
      <c r="CM70" s="85">
        <f t="shared" ca="1" si="81"/>
        <v>246.62113588045739</v>
      </c>
      <c r="CN70" s="85">
        <f t="shared" ca="1" si="82"/>
        <v>230.58137807728525</v>
      </c>
      <c r="CO70" s="85">
        <f t="shared" ca="1" si="83"/>
        <v>225.98293759639802</v>
      </c>
      <c r="CP70" s="85">
        <f t="shared" ca="1" si="84"/>
        <v>270.54621752639713</v>
      </c>
      <c r="CQ70" s="85">
        <f t="shared" ca="1" si="85"/>
        <v>247.52004720269389</v>
      </c>
      <c r="CR70" s="85">
        <f t="shared" ca="1" si="86"/>
        <v>244.33676536441803</v>
      </c>
      <c r="CS70" s="85">
        <f t="shared" ca="1" si="87"/>
        <v>228.01905492182405</v>
      </c>
      <c r="CT70" s="85">
        <f t="shared" ca="1" si="88"/>
        <v>236.09176766205101</v>
      </c>
      <c r="CU70" s="85">
        <f t="shared" ca="1" si="89"/>
        <v>256.94750943095136</v>
      </c>
      <c r="CV70" s="85">
        <f t="shared" ca="1" si="90"/>
        <v>231.81017259388889</v>
      </c>
      <c r="CW70" s="85">
        <f t="shared" ca="1" si="91"/>
        <v>232.66814808066678</v>
      </c>
    </row>
    <row r="71" spans="1:101" x14ac:dyDescent="0.2">
      <c r="A71" s="115">
        <v>68</v>
      </c>
      <c r="B71" s="85">
        <f t="shared" ca="1" si="102"/>
        <v>228.19170338140188</v>
      </c>
      <c r="C71" s="85">
        <f t="shared" ca="1" si="4"/>
        <v>230.77601682699827</v>
      </c>
      <c r="D71" s="85">
        <f t="shared" ca="1" si="5"/>
        <v>242.6180271398056</v>
      </c>
      <c r="E71" s="85">
        <f t="shared" ca="1" si="6"/>
        <v>230.65191446503721</v>
      </c>
      <c r="F71" s="85">
        <f t="shared" ca="1" si="7"/>
        <v>233.01041358982798</v>
      </c>
      <c r="G71" s="85">
        <f t="shared" ca="1" si="8"/>
        <v>238.42980399830356</v>
      </c>
      <c r="H71" s="85">
        <f t="shared" ca="1" si="9"/>
        <v>239.53735795024389</v>
      </c>
      <c r="I71" s="85">
        <f t="shared" ca="1" si="10"/>
        <v>230.4035899391402</v>
      </c>
      <c r="J71" s="85">
        <f t="shared" ca="1" si="11"/>
        <v>232.59652943019867</v>
      </c>
      <c r="K71" s="85">
        <f t="shared" ca="1" si="12"/>
        <v>220.84759520440463</v>
      </c>
      <c r="L71" s="85">
        <f t="shared" ca="1" si="13"/>
        <v>254.53312144661103</v>
      </c>
      <c r="M71" s="85">
        <f t="shared" ca="1" si="14"/>
        <v>216.52777428358007</v>
      </c>
      <c r="N71" s="85">
        <f t="shared" ca="1" si="15"/>
        <v>234.59165641884087</v>
      </c>
      <c r="O71" s="85">
        <f t="shared" ca="1" si="16"/>
        <v>229.36284191068603</v>
      </c>
      <c r="P71" s="85">
        <f t="shared" ca="1" si="17"/>
        <v>234.32812345130077</v>
      </c>
      <c r="Q71" s="85">
        <f t="shared" ca="1" si="18"/>
        <v>240.90465994789773</v>
      </c>
      <c r="R71" s="85">
        <f t="shared" ca="1" si="19"/>
        <v>222.54500251054768</v>
      </c>
      <c r="S71" s="85">
        <f t="shared" ca="1" si="20"/>
        <v>243.53265596647833</v>
      </c>
      <c r="T71" s="85">
        <f t="shared" ca="1" si="21"/>
        <v>245.76501644018003</v>
      </c>
      <c r="U71" s="85">
        <f t="shared" ca="1" si="22"/>
        <v>204.29813618979054</v>
      </c>
      <c r="V71" s="85">
        <f t="shared" ca="1" si="23"/>
        <v>260.35047121709636</v>
      </c>
      <c r="W71" s="85">
        <f t="shared" ca="1" si="24"/>
        <v>239.66974972865395</v>
      </c>
      <c r="X71" s="85">
        <f t="shared" ca="1" si="25"/>
        <v>245.49157873983006</v>
      </c>
      <c r="Y71" s="85">
        <f t="shared" ca="1" si="26"/>
        <v>220.8075051539324</v>
      </c>
      <c r="Z71" s="85">
        <f t="shared" ca="1" si="27"/>
        <v>230.42140878339868</v>
      </c>
      <c r="AA71" s="85">
        <f t="shared" ca="1" si="28"/>
        <v>225.70511195274932</v>
      </c>
      <c r="AB71" s="85">
        <f t="shared" ca="1" si="29"/>
        <v>258.11991147013703</v>
      </c>
      <c r="AC71" s="85">
        <f t="shared" ca="1" si="30"/>
        <v>231.00841320511589</v>
      </c>
      <c r="AD71" s="85">
        <f t="shared" ca="1" si="31"/>
        <v>256.41589017454277</v>
      </c>
      <c r="AE71" s="85">
        <f t="shared" ca="1" si="32"/>
        <v>276.05588029156775</v>
      </c>
      <c r="AF71" s="85">
        <f t="shared" ca="1" si="33"/>
        <v>232.08516910576316</v>
      </c>
      <c r="AG71" s="85">
        <f t="shared" ca="1" si="34"/>
        <v>237.74656680975045</v>
      </c>
      <c r="AH71" s="85">
        <f t="shared" ca="1" si="35"/>
        <v>242.00260482986158</v>
      </c>
      <c r="AI71" s="85">
        <f t="shared" ca="1" si="36"/>
        <v>249.76537841460103</v>
      </c>
      <c r="AJ71" s="85">
        <f t="shared" ca="1" si="37"/>
        <v>261.56407594184907</v>
      </c>
      <c r="AK71" s="85">
        <f t="shared" ca="1" si="38"/>
        <v>246.86196788176574</v>
      </c>
      <c r="AL71" s="85">
        <f t="shared" ca="1" si="39"/>
        <v>254.27162890339676</v>
      </c>
      <c r="AM71" s="85">
        <f t="shared" ca="1" si="40"/>
        <v>226.12332366257505</v>
      </c>
      <c r="AN71" s="85">
        <f t="shared" ca="1" si="41"/>
        <v>244.15844430543839</v>
      </c>
      <c r="AO71" s="85">
        <f t="shared" ca="1" si="42"/>
        <v>240.52351142405104</v>
      </c>
      <c r="AP71" s="85">
        <f t="shared" ca="1" si="43"/>
        <v>247.51327715950751</v>
      </c>
      <c r="AQ71" s="85">
        <f t="shared" ca="1" si="44"/>
        <v>225.04029421827647</v>
      </c>
      <c r="AR71" s="85">
        <f t="shared" ca="1" si="45"/>
        <v>228.31623839905924</v>
      </c>
      <c r="AS71" s="85">
        <f t="shared" ca="1" si="46"/>
        <v>235.92964761301172</v>
      </c>
      <c r="AT71" s="85">
        <f t="shared" ca="1" si="47"/>
        <v>256.34854971959248</v>
      </c>
      <c r="AU71" s="85">
        <f t="shared" ca="1" si="48"/>
        <v>243.8974822781791</v>
      </c>
      <c r="AV71" s="85">
        <f t="shared" ca="1" si="49"/>
        <v>251.35155616385947</v>
      </c>
      <c r="AW71" s="85">
        <f t="shared" ca="1" si="50"/>
        <v>238.66504539997368</v>
      </c>
      <c r="AX71" s="85">
        <f t="shared" ca="1" si="51"/>
        <v>280.24501751572569</v>
      </c>
      <c r="AY71" s="85">
        <f t="shared" ca="1" si="52"/>
        <v>254.69963478030522</v>
      </c>
      <c r="AZ71" s="85">
        <f t="shared" ca="1" si="53"/>
        <v>224.59649373593311</v>
      </c>
      <c r="BA71" s="85">
        <f t="shared" ca="1" si="54"/>
        <v>250.63906858989114</v>
      </c>
      <c r="BB71" s="85">
        <f t="shared" ca="1" si="55"/>
        <v>226.38035935458998</v>
      </c>
      <c r="BC71" s="85">
        <f t="shared" ca="1" si="56"/>
        <v>238.15580451251779</v>
      </c>
      <c r="BD71" s="85">
        <f t="shared" ca="1" si="57"/>
        <v>241.43628370265125</v>
      </c>
      <c r="BE71" s="85">
        <f t="shared" ca="1" si="58"/>
        <v>225.52020848754913</v>
      </c>
      <c r="BF71" s="85">
        <f t="shared" ca="1" si="59"/>
        <v>248.24036402425457</v>
      </c>
      <c r="BG71" s="85">
        <f t="shared" ca="1" si="60"/>
        <v>217.16340060382618</v>
      </c>
      <c r="BH71" s="85">
        <f t="shared" ca="1" si="61"/>
        <v>243.43202846165505</v>
      </c>
      <c r="BI71" s="85">
        <f t="shared" ca="1" si="62"/>
        <v>235.31472253116743</v>
      </c>
      <c r="BJ71" s="85">
        <f t="shared" ca="1" si="63"/>
        <v>261.65518391787526</v>
      </c>
      <c r="BK71" s="85">
        <f t="shared" ca="1" si="64"/>
        <v>242.40052787054725</v>
      </c>
      <c r="BL71" s="85">
        <f t="shared" ca="1" si="65"/>
        <v>244.54011931244386</v>
      </c>
      <c r="BM71" s="85">
        <f t="shared" ca="1" si="66"/>
        <v>220.42028502781992</v>
      </c>
      <c r="BN71" s="85">
        <f t="shared" ref="BN71:BN134" ca="1" si="103">BN70*EXP(($C$259-0.5*$C$260^2)+$C$260*_xlfn.NORM.INV(RAND(),0,1))</f>
        <v>243.01009418235384</v>
      </c>
      <c r="BO71" s="85">
        <f t="shared" ca="1" si="92"/>
        <v>259.48386231651159</v>
      </c>
      <c r="BP71" s="85">
        <f t="shared" ca="1" si="93"/>
        <v>217.4777522686627</v>
      </c>
      <c r="BQ71" s="85">
        <f t="shared" ca="1" si="94"/>
        <v>232.74636799123795</v>
      </c>
      <c r="BR71" s="85">
        <f t="shared" ca="1" si="95"/>
        <v>221.74999253869333</v>
      </c>
      <c r="BS71" s="85">
        <f t="shared" ca="1" si="96"/>
        <v>240.85495370487163</v>
      </c>
      <c r="BT71" s="85">
        <f t="shared" ca="1" si="97"/>
        <v>243.72674477952896</v>
      </c>
      <c r="BU71" s="85">
        <f t="shared" ca="1" si="98"/>
        <v>256.56799153842132</v>
      </c>
      <c r="BV71" s="85">
        <f t="shared" ca="1" si="99"/>
        <v>246.78338495905399</v>
      </c>
      <c r="BW71" s="85">
        <f t="shared" ca="1" si="100"/>
        <v>252.89271873892062</v>
      </c>
      <c r="BX71" s="85">
        <f t="shared" ca="1" si="101"/>
        <v>244.55233175753469</v>
      </c>
      <c r="BY71" s="85">
        <f t="shared" ca="1" si="67"/>
        <v>240.25381236532124</v>
      </c>
      <c r="BZ71" s="85">
        <f t="shared" ca="1" si="68"/>
        <v>250.53688122845085</v>
      </c>
      <c r="CA71" s="85">
        <f t="shared" ca="1" si="69"/>
        <v>243.18836676154757</v>
      </c>
      <c r="CB71" s="85">
        <f t="shared" ca="1" si="70"/>
        <v>235.22049202963086</v>
      </c>
      <c r="CC71" s="85">
        <f t="shared" ca="1" si="71"/>
        <v>236.69437250840309</v>
      </c>
      <c r="CD71" s="85">
        <f t="shared" ca="1" si="72"/>
        <v>258.20882707478546</v>
      </c>
      <c r="CE71" s="85">
        <f t="shared" ca="1" si="73"/>
        <v>228.81456483146889</v>
      </c>
      <c r="CF71" s="85">
        <f t="shared" ca="1" si="74"/>
        <v>258.59286335701034</v>
      </c>
      <c r="CG71" s="85">
        <f t="shared" ca="1" si="75"/>
        <v>227.10160367887869</v>
      </c>
      <c r="CH71" s="85">
        <f t="shared" ca="1" si="76"/>
        <v>248.40194500552849</v>
      </c>
      <c r="CI71" s="85">
        <f t="shared" ca="1" si="77"/>
        <v>247.3559719283179</v>
      </c>
      <c r="CJ71" s="85">
        <f t="shared" ca="1" si="78"/>
        <v>232.04420139298713</v>
      </c>
      <c r="CK71" s="85">
        <f t="shared" ca="1" si="79"/>
        <v>232.84638178325039</v>
      </c>
      <c r="CL71" s="85">
        <f t="shared" ca="1" si="80"/>
        <v>221.14908367021792</v>
      </c>
      <c r="CM71" s="85">
        <f t="shared" ca="1" si="81"/>
        <v>249.61177399441314</v>
      </c>
      <c r="CN71" s="85">
        <f t="shared" ca="1" si="82"/>
        <v>231.78006634237749</v>
      </c>
      <c r="CO71" s="85">
        <f t="shared" ca="1" si="83"/>
        <v>228.78999378239672</v>
      </c>
      <c r="CP71" s="85">
        <f t="shared" ca="1" si="84"/>
        <v>273.5602164791166</v>
      </c>
      <c r="CQ71" s="85">
        <f t="shared" ca="1" si="85"/>
        <v>254.37345836661154</v>
      </c>
      <c r="CR71" s="85">
        <f t="shared" ca="1" si="86"/>
        <v>249.66109920249443</v>
      </c>
      <c r="CS71" s="85">
        <f t="shared" ca="1" si="87"/>
        <v>230.58413283629599</v>
      </c>
      <c r="CT71" s="85">
        <f t="shared" ca="1" si="88"/>
        <v>239.31444918065833</v>
      </c>
      <c r="CU71" s="85">
        <f t="shared" ca="1" si="89"/>
        <v>265.12383042685587</v>
      </c>
      <c r="CV71" s="85">
        <f t="shared" ca="1" si="90"/>
        <v>233.18253313194674</v>
      </c>
      <c r="CW71" s="85">
        <f t="shared" ca="1" si="91"/>
        <v>235.00969131235425</v>
      </c>
    </row>
    <row r="72" spans="1:101" x14ac:dyDescent="0.2">
      <c r="A72" s="115">
        <v>69</v>
      </c>
      <c r="B72" s="85">
        <f t="shared" ca="1" si="102"/>
        <v>230.16434704700086</v>
      </c>
      <c r="C72" s="85">
        <f t="shared" ref="C72:C135" ca="1" si="104">C71*EXP(($C$259-0.5*$C$260^2)+$C$260*_xlfn.NORM.INV(RAND(),0,1))</f>
        <v>233.21444814628063</v>
      </c>
      <c r="D72" s="85">
        <f t="shared" ref="D72:D135" ca="1" si="105">D71*EXP(($C$259-0.5*$C$260^2)+$C$260*_xlfn.NORM.INV(RAND(),0,1))</f>
        <v>245.11505330875801</v>
      </c>
      <c r="E72" s="85">
        <f t="shared" ref="E72:E135" ca="1" si="106">E71*EXP(($C$259-0.5*$C$260^2)+$C$260*_xlfn.NORM.INV(RAND(),0,1))</f>
        <v>233.48772767904575</v>
      </c>
      <c r="F72" s="85">
        <f t="shared" ref="F72:F135" ca="1" si="107">F71*EXP(($C$259-0.5*$C$260^2)+$C$260*_xlfn.NORM.INV(RAND(),0,1))</f>
        <v>234.52323379219948</v>
      </c>
      <c r="G72" s="85">
        <f t="shared" ref="G72:G135" ca="1" si="108">G71*EXP(($C$259-0.5*$C$260^2)+$C$260*_xlfn.NORM.INV(RAND(),0,1))</f>
        <v>240.25507116953457</v>
      </c>
      <c r="H72" s="85">
        <f t="shared" ref="H72:H135" ca="1" si="109">H71*EXP(($C$259-0.5*$C$260^2)+$C$260*_xlfn.NORM.INV(RAND(),0,1))</f>
        <v>243.69588526781902</v>
      </c>
      <c r="I72" s="85">
        <f t="shared" ref="I72:I135" ca="1" si="110">I71*EXP(($C$259-0.5*$C$260^2)+$C$260*_xlfn.NORM.INV(RAND(),0,1))</f>
        <v>235.20029541147412</v>
      </c>
      <c r="J72" s="85">
        <f t="shared" ref="J72:J135" ca="1" si="111">J71*EXP(($C$259-0.5*$C$260^2)+$C$260*_xlfn.NORM.INV(RAND(),0,1))</f>
        <v>237.26883424208717</v>
      </c>
      <c r="K72" s="85">
        <f t="shared" ref="K72:K135" ca="1" si="112">K71*EXP(($C$259-0.5*$C$260^2)+$C$260*_xlfn.NORM.INV(RAND(),0,1))</f>
        <v>226.18654521576121</v>
      </c>
      <c r="L72" s="85">
        <f t="shared" ref="L72:L135" ca="1" si="113">L71*EXP(($C$259-0.5*$C$260^2)+$C$260*_xlfn.NORM.INV(RAND(),0,1))</f>
        <v>257.16538886780705</v>
      </c>
      <c r="M72" s="85">
        <f t="shared" ref="M72:M135" ca="1" si="114">M71*EXP(($C$259-0.5*$C$260^2)+$C$260*_xlfn.NORM.INV(RAND(),0,1))</f>
        <v>218.78656119641249</v>
      </c>
      <c r="N72" s="85">
        <f t="shared" ref="N72:N135" ca="1" si="115">N71*EXP(($C$259-0.5*$C$260^2)+$C$260*_xlfn.NORM.INV(RAND(),0,1))</f>
        <v>238.53070579552599</v>
      </c>
      <c r="O72" s="85">
        <f t="shared" ref="O72:O135" ca="1" si="116">O71*EXP(($C$259-0.5*$C$260^2)+$C$260*_xlfn.NORM.INV(RAND(),0,1))</f>
        <v>232.5466766734171</v>
      </c>
      <c r="P72" s="85">
        <f t="shared" ref="P72:P135" ca="1" si="117">P71*EXP(($C$259-0.5*$C$260^2)+$C$260*_xlfn.NORM.INV(RAND(),0,1))</f>
        <v>239.84805061717336</v>
      </c>
      <c r="Q72" s="85">
        <f t="shared" ref="Q72:Q135" ca="1" si="118">Q71*EXP(($C$259-0.5*$C$260^2)+$C$260*_xlfn.NORM.INV(RAND(),0,1))</f>
        <v>244.99412480042588</v>
      </c>
      <c r="R72" s="85">
        <f t="shared" ref="R72:R135" ca="1" si="119">R71*EXP(($C$259-0.5*$C$260^2)+$C$260*_xlfn.NORM.INV(RAND(),0,1))</f>
        <v>224.65020261327263</v>
      </c>
      <c r="S72" s="85">
        <f t="shared" ref="S72:S135" ca="1" si="120">S71*EXP(($C$259-0.5*$C$260^2)+$C$260*_xlfn.NORM.INV(RAND(),0,1))</f>
        <v>249.09360305668025</v>
      </c>
      <c r="T72" s="85">
        <f t="shared" ref="T72:T135" ca="1" si="121">T71*EXP(($C$259-0.5*$C$260^2)+$C$260*_xlfn.NORM.INV(RAND(),0,1))</f>
        <v>249.18289901366595</v>
      </c>
      <c r="U72" s="85">
        <f t="shared" ref="U72:U135" ca="1" si="122">U71*EXP(($C$259-0.5*$C$260^2)+$C$260*_xlfn.NORM.INV(RAND(),0,1))</f>
        <v>209.48725696228121</v>
      </c>
      <c r="V72" s="85">
        <f t="shared" ref="V72:V135" ca="1" si="123">V71*EXP(($C$259-0.5*$C$260^2)+$C$260*_xlfn.NORM.INV(RAND(),0,1))</f>
        <v>262.65941826530445</v>
      </c>
      <c r="W72" s="85">
        <f t="shared" ref="W72:W135" ca="1" si="124">W71*EXP(($C$259-0.5*$C$260^2)+$C$260*_xlfn.NORM.INV(RAND(),0,1))</f>
        <v>242.24507766589252</v>
      </c>
      <c r="X72" s="85">
        <f t="shared" ref="X72:X135" ca="1" si="125">X71*EXP(($C$259-0.5*$C$260^2)+$C$260*_xlfn.NORM.INV(RAND(),0,1))</f>
        <v>243.53100127923079</v>
      </c>
      <c r="Y72" s="85">
        <f t="shared" ref="Y72:Y135" ca="1" si="126">Y71*EXP(($C$259-0.5*$C$260^2)+$C$260*_xlfn.NORM.INV(RAND(),0,1))</f>
        <v>225.84965414650503</v>
      </c>
      <c r="Z72" s="85">
        <f t="shared" ref="Z72:Z135" ca="1" si="127">Z71*EXP(($C$259-0.5*$C$260^2)+$C$260*_xlfn.NORM.INV(RAND(),0,1))</f>
        <v>232.11568976153384</v>
      </c>
      <c r="AA72" s="85">
        <f t="shared" ref="AA72:AA135" ca="1" si="128">AA71*EXP(($C$259-0.5*$C$260^2)+$C$260*_xlfn.NORM.INV(RAND(),0,1))</f>
        <v>228.04253730660545</v>
      </c>
      <c r="AB72" s="85">
        <f t="shared" ref="AB72:AB135" ca="1" si="129">AB71*EXP(($C$259-0.5*$C$260^2)+$C$260*_xlfn.NORM.INV(RAND(),0,1))</f>
        <v>260.37064761431986</v>
      </c>
      <c r="AC72" s="85">
        <f t="shared" ref="AC72:AC135" ca="1" si="130">AC71*EXP(($C$259-0.5*$C$260^2)+$C$260*_xlfn.NORM.INV(RAND(),0,1))</f>
        <v>235.21561749644817</v>
      </c>
      <c r="AD72" s="85">
        <f t="shared" ref="AD72:AD135" ca="1" si="131">AD71*EXP(($C$259-0.5*$C$260^2)+$C$260*_xlfn.NORM.INV(RAND(),0,1))</f>
        <v>257.93550110390487</v>
      </c>
      <c r="AE72" s="85">
        <f t="shared" ref="AE72:AE135" ca="1" si="132">AE71*EXP(($C$259-0.5*$C$260^2)+$C$260*_xlfn.NORM.INV(RAND(),0,1))</f>
        <v>279.29491468737069</v>
      </c>
      <c r="AF72" s="85">
        <f t="shared" ref="AF72:AF135" ca="1" si="133">AF71*EXP(($C$259-0.5*$C$260^2)+$C$260*_xlfn.NORM.INV(RAND(),0,1))</f>
        <v>236.52669110816916</v>
      </c>
      <c r="AG72" s="85">
        <f t="shared" ref="AG72:AG135" ca="1" si="134">AG71*EXP(($C$259-0.5*$C$260^2)+$C$260*_xlfn.NORM.INV(RAND(),0,1))</f>
        <v>240.52062584800964</v>
      </c>
      <c r="AH72" s="85">
        <f t="shared" ref="AH72:AH135" ca="1" si="135">AH71*EXP(($C$259-0.5*$C$260^2)+$C$260*_xlfn.NORM.INV(RAND(),0,1))</f>
        <v>242.49100310821677</v>
      </c>
      <c r="AI72" s="85">
        <f t="shared" ref="AI72:AI135" ca="1" si="136">AI71*EXP(($C$259-0.5*$C$260^2)+$C$260*_xlfn.NORM.INV(RAND(),0,1))</f>
        <v>252.84717375573112</v>
      </c>
      <c r="AJ72" s="85">
        <f t="shared" ref="AJ72:AJ135" ca="1" si="137">AJ71*EXP(($C$259-0.5*$C$260^2)+$C$260*_xlfn.NORM.INV(RAND(),0,1))</f>
        <v>266.9338268563597</v>
      </c>
      <c r="AK72" s="85">
        <f t="shared" ref="AK72:AK135" ca="1" si="138">AK71*EXP(($C$259-0.5*$C$260^2)+$C$260*_xlfn.NORM.INV(RAND(),0,1))</f>
        <v>244.6052747341231</v>
      </c>
      <c r="AL72" s="85">
        <f t="shared" ref="AL72:AL135" ca="1" si="139">AL71*EXP(($C$259-0.5*$C$260^2)+$C$260*_xlfn.NORM.INV(RAND(),0,1))</f>
        <v>256.73091765252326</v>
      </c>
      <c r="AM72" s="85">
        <f t="shared" ref="AM72:AM135" ca="1" si="140">AM71*EXP(($C$259-0.5*$C$260^2)+$C$260*_xlfn.NORM.INV(RAND(),0,1))</f>
        <v>229.09908945360456</v>
      </c>
      <c r="AN72" s="85">
        <f t="shared" ref="AN72:AN135" ca="1" si="141">AN71*EXP(($C$259-0.5*$C$260^2)+$C$260*_xlfn.NORM.INV(RAND(),0,1))</f>
        <v>246.69120985634737</v>
      </c>
      <c r="AO72" s="85">
        <f t="shared" ref="AO72:AO135" ca="1" si="142">AO71*EXP(($C$259-0.5*$C$260^2)+$C$260*_xlfn.NORM.INV(RAND(),0,1))</f>
        <v>244.67991448812595</v>
      </c>
      <c r="AP72" s="85">
        <f t="shared" ref="AP72:AP135" ca="1" si="143">AP71*EXP(($C$259-0.5*$C$260^2)+$C$260*_xlfn.NORM.INV(RAND(),0,1))</f>
        <v>250.31368379374646</v>
      </c>
      <c r="AQ72" s="85">
        <f t="shared" ref="AQ72:AQ135" ca="1" si="144">AQ71*EXP(($C$259-0.5*$C$260^2)+$C$260*_xlfn.NORM.INV(RAND(),0,1))</f>
        <v>227.97125860617584</v>
      </c>
      <c r="AR72" s="85">
        <f t="shared" ref="AR72:AR135" ca="1" si="145">AR71*EXP(($C$259-0.5*$C$260^2)+$C$260*_xlfn.NORM.INV(RAND(),0,1))</f>
        <v>230.35274416669742</v>
      </c>
      <c r="AS72" s="85">
        <f t="shared" ref="AS72:AS135" ca="1" si="146">AS71*EXP(($C$259-0.5*$C$260^2)+$C$260*_xlfn.NORM.INV(RAND(),0,1))</f>
        <v>238.03465985598393</v>
      </c>
      <c r="AT72" s="85">
        <f t="shared" ref="AT72:AT135" ca="1" si="147">AT71*EXP(($C$259-0.5*$C$260^2)+$C$260*_xlfn.NORM.INV(RAND(),0,1))</f>
        <v>263.44975991765716</v>
      </c>
      <c r="AU72" s="85">
        <f t="shared" ref="AU72:AU135" ca="1" si="148">AU71*EXP(($C$259-0.5*$C$260^2)+$C$260*_xlfn.NORM.INV(RAND(),0,1))</f>
        <v>249.24796402666146</v>
      </c>
      <c r="AV72" s="85">
        <f t="shared" ref="AV72:AV135" ca="1" si="149">AV71*EXP(($C$259-0.5*$C$260^2)+$C$260*_xlfn.NORM.INV(RAND(),0,1))</f>
        <v>251.39962275259833</v>
      </c>
      <c r="AW72" s="85">
        <f t="shared" ref="AW72:AW135" ca="1" si="150">AW71*EXP(($C$259-0.5*$C$260^2)+$C$260*_xlfn.NORM.INV(RAND(),0,1))</f>
        <v>239.80389945527472</v>
      </c>
      <c r="AX72" s="85">
        <f t="shared" ref="AX72:AX135" ca="1" si="151">AX71*EXP(($C$259-0.5*$C$260^2)+$C$260*_xlfn.NORM.INV(RAND(),0,1))</f>
        <v>282.86237033110712</v>
      </c>
      <c r="AY72" s="85">
        <f t="shared" ref="AY72:AY135" ca="1" si="152">AY71*EXP(($C$259-0.5*$C$260^2)+$C$260*_xlfn.NORM.INV(RAND(),0,1))</f>
        <v>258.85473504022929</v>
      </c>
      <c r="AZ72" s="85">
        <f t="shared" ref="AZ72:AZ135" ca="1" si="153">AZ71*EXP(($C$259-0.5*$C$260^2)+$C$260*_xlfn.NORM.INV(RAND(),0,1))</f>
        <v>226.18503226231761</v>
      </c>
      <c r="BA72" s="85">
        <f t="shared" ref="BA72:BA135" ca="1" si="154">BA71*EXP(($C$259-0.5*$C$260^2)+$C$260*_xlfn.NORM.INV(RAND(),0,1))</f>
        <v>254.58876738157082</v>
      </c>
      <c r="BB72" s="85">
        <f t="shared" ref="BB72:BB135" ca="1" si="155">BB71*EXP(($C$259-0.5*$C$260^2)+$C$260*_xlfn.NORM.INV(RAND(),0,1))</f>
        <v>232.3163838588496</v>
      </c>
      <c r="BC72" s="85">
        <f t="shared" ref="BC72:BC135" ca="1" si="156">BC71*EXP(($C$259-0.5*$C$260^2)+$C$260*_xlfn.NORM.INV(RAND(),0,1))</f>
        <v>242.83688264914801</v>
      </c>
      <c r="BD72" s="85">
        <f t="shared" ref="BD72:BD135" ca="1" si="157">BD71*EXP(($C$259-0.5*$C$260^2)+$C$260*_xlfn.NORM.INV(RAND(),0,1))</f>
        <v>246.50562334451462</v>
      </c>
      <c r="BE72" s="85">
        <f t="shared" ref="BE72:BE135" ca="1" si="158">BE71*EXP(($C$259-0.5*$C$260^2)+$C$260*_xlfn.NORM.INV(RAND(),0,1))</f>
        <v>227.06094463620178</v>
      </c>
      <c r="BF72" s="85">
        <f t="shared" ref="BF72:BF135" ca="1" si="159">BF71*EXP(($C$259-0.5*$C$260^2)+$C$260*_xlfn.NORM.INV(RAND(),0,1))</f>
        <v>253.6456778768474</v>
      </c>
      <c r="BG72" s="85">
        <f t="shared" ref="BG72:BG135" ca="1" si="160">BG71*EXP(($C$259-0.5*$C$260^2)+$C$260*_xlfn.NORM.INV(RAND(),0,1))</f>
        <v>218.01617682157263</v>
      </c>
      <c r="BH72" s="85">
        <f t="shared" ref="BH72:BH135" ca="1" si="161">BH71*EXP(($C$259-0.5*$C$260^2)+$C$260*_xlfn.NORM.INV(RAND(),0,1))</f>
        <v>241.43310612078957</v>
      </c>
      <c r="BI72" s="85">
        <f t="shared" ref="BI72:BI135" ca="1" si="162">BI71*EXP(($C$259-0.5*$C$260^2)+$C$260*_xlfn.NORM.INV(RAND(),0,1))</f>
        <v>238.03380193684154</v>
      </c>
      <c r="BJ72" s="85">
        <f t="shared" ref="BJ72:BJ135" ca="1" si="163">BJ71*EXP(($C$259-0.5*$C$260^2)+$C$260*_xlfn.NORM.INV(RAND(),0,1))</f>
        <v>265.83512894769649</v>
      </c>
      <c r="BK72" s="85">
        <f t="shared" ref="BK72:BK135" ca="1" si="164">BK71*EXP(($C$259-0.5*$C$260^2)+$C$260*_xlfn.NORM.INV(RAND(),0,1))</f>
        <v>247.38796473563576</v>
      </c>
      <c r="BL72" s="85">
        <f t="shared" ref="BL72:BL135" ca="1" si="165">BL71*EXP(($C$259-0.5*$C$260^2)+$C$260*_xlfn.NORM.INV(RAND(),0,1))</f>
        <v>246.9061638278713</v>
      </c>
      <c r="BM72" s="85">
        <f t="shared" ref="BM72:BM135" ca="1" si="166">BM71*EXP(($C$259-0.5*$C$260^2)+$C$260*_xlfn.NORM.INV(RAND(),0,1))</f>
        <v>222.10075268800006</v>
      </c>
      <c r="BN72" s="85">
        <f t="shared" ca="1" si="103"/>
        <v>246.98156426102446</v>
      </c>
      <c r="BO72" s="85">
        <f t="shared" ca="1" si="92"/>
        <v>264.99668264058965</v>
      </c>
      <c r="BP72" s="85">
        <f t="shared" ca="1" si="93"/>
        <v>220.90620300324025</v>
      </c>
      <c r="BQ72" s="85">
        <f t="shared" ca="1" si="94"/>
        <v>239.15419104162018</v>
      </c>
      <c r="BR72" s="85">
        <f t="shared" ca="1" si="95"/>
        <v>224.82893226831081</v>
      </c>
      <c r="BS72" s="85">
        <f t="shared" ca="1" si="96"/>
        <v>244.09289874773594</v>
      </c>
      <c r="BT72" s="85">
        <f t="shared" ca="1" si="97"/>
        <v>249.65544479122272</v>
      </c>
      <c r="BU72" s="85">
        <f t="shared" ca="1" si="98"/>
        <v>262.34680416128936</v>
      </c>
      <c r="BV72" s="85">
        <f t="shared" ca="1" si="99"/>
        <v>249.88937406330029</v>
      </c>
      <c r="BW72" s="85">
        <f t="shared" ca="1" si="100"/>
        <v>255.18765810863263</v>
      </c>
      <c r="BX72" s="85">
        <f t="shared" ca="1" si="101"/>
        <v>246.2849291597949</v>
      </c>
      <c r="BY72" s="85">
        <f t="shared" ca="1" si="67"/>
        <v>241.26910419630238</v>
      </c>
      <c r="BZ72" s="85">
        <f t="shared" ca="1" si="68"/>
        <v>251.03921994550754</v>
      </c>
      <c r="CA72" s="85">
        <f t="shared" ca="1" si="69"/>
        <v>243.5097544398609</v>
      </c>
      <c r="CB72" s="85">
        <f t="shared" ca="1" si="70"/>
        <v>242.49050857384731</v>
      </c>
      <c r="CC72" s="85">
        <f t="shared" ca="1" si="71"/>
        <v>239.81433874770192</v>
      </c>
      <c r="CD72" s="85">
        <f t="shared" ca="1" si="72"/>
        <v>265.16251564175758</v>
      </c>
      <c r="CE72" s="85">
        <f t="shared" ca="1" si="73"/>
        <v>232.61545211814837</v>
      </c>
      <c r="CF72" s="85">
        <f t="shared" ca="1" si="74"/>
        <v>261.93271088749634</v>
      </c>
      <c r="CG72" s="85">
        <f t="shared" ca="1" si="75"/>
        <v>232.00060074295217</v>
      </c>
      <c r="CH72" s="85">
        <f t="shared" ca="1" si="76"/>
        <v>247.48860962632813</v>
      </c>
      <c r="CI72" s="85">
        <f t="shared" ca="1" si="77"/>
        <v>249.28820337559952</v>
      </c>
      <c r="CJ72" s="85">
        <f t="shared" ca="1" si="78"/>
        <v>235.05137069160247</v>
      </c>
      <c r="CK72" s="85">
        <f t="shared" ca="1" si="79"/>
        <v>236.3624383627176</v>
      </c>
      <c r="CL72" s="85">
        <f t="shared" ca="1" si="80"/>
        <v>225.40652072037656</v>
      </c>
      <c r="CM72" s="85">
        <f t="shared" ca="1" si="81"/>
        <v>250.93475180289875</v>
      </c>
      <c r="CN72" s="85">
        <f t="shared" ca="1" si="82"/>
        <v>239.48047626430414</v>
      </c>
      <c r="CO72" s="85">
        <f t="shared" ca="1" si="83"/>
        <v>232.9625720761621</v>
      </c>
      <c r="CP72" s="85">
        <f t="shared" ca="1" si="84"/>
        <v>278.91664044712098</v>
      </c>
      <c r="CQ72" s="85">
        <f t="shared" ca="1" si="85"/>
        <v>256.05370056668573</v>
      </c>
      <c r="CR72" s="85">
        <f t="shared" ca="1" si="86"/>
        <v>252.8292343097319</v>
      </c>
      <c r="CS72" s="85">
        <f t="shared" ca="1" si="87"/>
        <v>232.889764023569</v>
      </c>
      <c r="CT72" s="85">
        <f t="shared" ca="1" si="88"/>
        <v>242.09241080663094</v>
      </c>
      <c r="CU72" s="85">
        <f t="shared" ca="1" si="89"/>
        <v>271.14640467098536</v>
      </c>
      <c r="CV72" s="85">
        <f t="shared" ca="1" si="90"/>
        <v>236.97109392057473</v>
      </c>
      <c r="CW72" s="85">
        <f t="shared" ca="1" si="91"/>
        <v>237.51917841506054</v>
      </c>
    </row>
    <row r="73" spans="1:101" x14ac:dyDescent="0.2">
      <c r="A73" s="115">
        <v>70</v>
      </c>
      <c r="B73" s="85">
        <f t="shared" ca="1" si="102"/>
        <v>230.37313451503391</v>
      </c>
      <c r="C73" s="85">
        <f t="shared" ca="1" si="104"/>
        <v>235.53272040245841</v>
      </c>
      <c r="D73" s="85">
        <f t="shared" ca="1" si="105"/>
        <v>250.58544839417826</v>
      </c>
      <c r="E73" s="85">
        <f t="shared" ca="1" si="106"/>
        <v>234.78733675116567</v>
      </c>
      <c r="F73" s="85">
        <f t="shared" ca="1" si="107"/>
        <v>237.78369655135916</v>
      </c>
      <c r="G73" s="85">
        <f t="shared" ca="1" si="108"/>
        <v>244.21233693627772</v>
      </c>
      <c r="H73" s="85">
        <f t="shared" ca="1" si="109"/>
        <v>248.19994361075342</v>
      </c>
      <c r="I73" s="85">
        <f t="shared" ca="1" si="110"/>
        <v>242.11330523891115</v>
      </c>
      <c r="J73" s="85">
        <f t="shared" ca="1" si="111"/>
        <v>241.07998897223487</v>
      </c>
      <c r="K73" s="85">
        <f t="shared" ca="1" si="112"/>
        <v>229.50097271893515</v>
      </c>
      <c r="L73" s="85">
        <f t="shared" ca="1" si="113"/>
        <v>262.69133125469915</v>
      </c>
      <c r="M73" s="85">
        <f t="shared" ca="1" si="114"/>
        <v>222.77999668730251</v>
      </c>
      <c r="N73" s="85">
        <f t="shared" ca="1" si="115"/>
        <v>241.69565939087411</v>
      </c>
      <c r="O73" s="85">
        <f t="shared" ca="1" si="116"/>
        <v>233.48960214798194</v>
      </c>
      <c r="P73" s="85">
        <f t="shared" ca="1" si="117"/>
        <v>242.01224767396695</v>
      </c>
      <c r="Q73" s="85">
        <f t="shared" ca="1" si="118"/>
        <v>247.44450086125073</v>
      </c>
      <c r="R73" s="85">
        <f t="shared" ca="1" si="119"/>
        <v>229.49237243318885</v>
      </c>
      <c r="S73" s="85">
        <f t="shared" ca="1" si="120"/>
        <v>253.20879212432823</v>
      </c>
      <c r="T73" s="85">
        <f t="shared" ca="1" si="121"/>
        <v>253.52711221504001</v>
      </c>
      <c r="U73" s="85">
        <f t="shared" ca="1" si="122"/>
        <v>210.6291250612866</v>
      </c>
      <c r="V73" s="85">
        <f t="shared" ca="1" si="123"/>
        <v>264.21434128585349</v>
      </c>
      <c r="W73" s="85">
        <f t="shared" ca="1" si="124"/>
        <v>246.4723493703971</v>
      </c>
      <c r="X73" s="85">
        <f t="shared" ca="1" si="125"/>
        <v>250.56643996617439</v>
      </c>
      <c r="Y73" s="85">
        <f t="shared" ca="1" si="126"/>
        <v>228.8714769595062</v>
      </c>
      <c r="Z73" s="85">
        <f t="shared" ca="1" si="127"/>
        <v>233.62091713418184</v>
      </c>
      <c r="AA73" s="85">
        <f t="shared" ca="1" si="128"/>
        <v>229.94617230919684</v>
      </c>
      <c r="AB73" s="85">
        <f t="shared" ca="1" si="129"/>
        <v>261.9147725458995</v>
      </c>
      <c r="AC73" s="85">
        <f t="shared" ca="1" si="130"/>
        <v>239.71770745019035</v>
      </c>
      <c r="AD73" s="85">
        <f t="shared" ca="1" si="131"/>
        <v>261.12637929454144</v>
      </c>
      <c r="AE73" s="85">
        <f t="shared" ca="1" si="132"/>
        <v>284.44444577977833</v>
      </c>
      <c r="AF73" s="85">
        <f t="shared" ca="1" si="133"/>
        <v>237.86852020235108</v>
      </c>
      <c r="AG73" s="85">
        <f t="shared" ca="1" si="134"/>
        <v>245.12759342072235</v>
      </c>
      <c r="AH73" s="85">
        <f t="shared" ca="1" si="135"/>
        <v>245.58719890807978</v>
      </c>
      <c r="AI73" s="85">
        <f t="shared" ca="1" si="136"/>
        <v>254.62978629918686</v>
      </c>
      <c r="AJ73" s="85">
        <f t="shared" ca="1" si="137"/>
        <v>268.72338448600124</v>
      </c>
      <c r="AK73" s="85">
        <f t="shared" ca="1" si="138"/>
        <v>246.48579811418799</v>
      </c>
      <c r="AL73" s="85">
        <f t="shared" ca="1" si="139"/>
        <v>261.88430426961446</v>
      </c>
      <c r="AM73" s="85">
        <f t="shared" ca="1" si="140"/>
        <v>233.7694863162655</v>
      </c>
      <c r="AN73" s="85">
        <f t="shared" ca="1" si="141"/>
        <v>248.71993180244252</v>
      </c>
      <c r="AO73" s="85">
        <f t="shared" ca="1" si="142"/>
        <v>246.40043423904311</v>
      </c>
      <c r="AP73" s="85">
        <f t="shared" ca="1" si="143"/>
        <v>253.35505013244287</v>
      </c>
      <c r="AQ73" s="85">
        <f t="shared" ca="1" si="144"/>
        <v>230.740905952096</v>
      </c>
      <c r="AR73" s="85">
        <f t="shared" ca="1" si="145"/>
        <v>232.752839713329</v>
      </c>
      <c r="AS73" s="85">
        <f t="shared" ca="1" si="146"/>
        <v>239.31244844928847</v>
      </c>
      <c r="AT73" s="85">
        <f t="shared" ca="1" si="147"/>
        <v>266.41387939453398</v>
      </c>
      <c r="AU73" s="85">
        <f t="shared" ca="1" si="148"/>
        <v>252.72232563102142</v>
      </c>
      <c r="AV73" s="85">
        <f t="shared" ca="1" si="149"/>
        <v>258.15734291291074</v>
      </c>
      <c r="AW73" s="85">
        <f t="shared" ca="1" si="150"/>
        <v>244.52856221955969</v>
      </c>
      <c r="AX73" s="85">
        <f t="shared" ca="1" si="151"/>
        <v>286.6005765668861</v>
      </c>
      <c r="AY73" s="85">
        <f t="shared" ca="1" si="152"/>
        <v>261.18679530080391</v>
      </c>
      <c r="AZ73" s="85">
        <f t="shared" ca="1" si="153"/>
        <v>230.45267263852821</v>
      </c>
      <c r="BA73" s="85">
        <f t="shared" ca="1" si="154"/>
        <v>256.35208796405328</v>
      </c>
      <c r="BB73" s="85">
        <f t="shared" ca="1" si="155"/>
        <v>234.10132989946948</v>
      </c>
      <c r="BC73" s="85">
        <f t="shared" ca="1" si="156"/>
        <v>246.84281483711217</v>
      </c>
      <c r="BD73" s="85">
        <f t="shared" ca="1" si="157"/>
        <v>250.01240739734902</v>
      </c>
      <c r="BE73" s="85">
        <f t="shared" ca="1" si="158"/>
        <v>228.63300480879911</v>
      </c>
      <c r="BF73" s="85">
        <f t="shared" ca="1" si="159"/>
        <v>260.05302485732017</v>
      </c>
      <c r="BG73" s="85">
        <f t="shared" ca="1" si="160"/>
        <v>222.5506821922408</v>
      </c>
      <c r="BH73" s="85">
        <f t="shared" ca="1" si="161"/>
        <v>246.65301812251664</v>
      </c>
      <c r="BI73" s="85">
        <f t="shared" ca="1" si="162"/>
        <v>239.64640747262908</v>
      </c>
      <c r="BJ73" s="85">
        <f t="shared" ca="1" si="163"/>
        <v>268.30852286656597</v>
      </c>
      <c r="BK73" s="85">
        <f t="shared" ca="1" si="164"/>
        <v>250.67393404791778</v>
      </c>
      <c r="BL73" s="85">
        <f t="shared" ca="1" si="165"/>
        <v>249.30970654969764</v>
      </c>
      <c r="BM73" s="85">
        <f t="shared" ca="1" si="166"/>
        <v>225.8077493039045</v>
      </c>
      <c r="BN73" s="85">
        <f t="shared" ca="1" si="103"/>
        <v>250.00779489644259</v>
      </c>
      <c r="BO73" s="85">
        <f t="shared" ca="1" si="92"/>
        <v>266.87886254474182</v>
      </c>
      <c r="BP73" s="85">
        <f t="shared" ca="1" si="93"/>
        <v>223.30179468426942</v>
      </c>
      <c r="BQ73" s="85">
        <f t="shared" ca="1" si="94"/>
        <v>239.96868657994585</v>
      </c>
      <c r="BR73" s="85">
        <f t="shared" ca="1" si="95"/>
        <v>230.42430822702266</v>
      </c>
      <c r="BS73" s="85">
        <f t="shared" ca="1" si="96"/>
        <v>246.13010129627955</v>
      </c>
      <c r="BT73" s="85">
        <f t="shared" ca="1" si="97"/>
        <v>255.28441110490095</v>
      </c>
      <c r="BU73" s="85">
        <f t="shared" ca="1" si="98"/>
        <v>266.55177224281186</v>
      </c>
      <c r="BV73" s="85">
        <f t="shared" ca="1" si="99"/>
        <v>254.02219425497157</v>
      </c>
      <c r="BW73" s="85">
        <f t="shared" ca="1" si="100"/>
        <v>256.64076122414104</v>
      </c>
      <c r="BX73" s="85">
        <f t="shared" ca="1" si="101"/>
        <v>248.44778523423594</v>
      </c>
      <c r="BY73" s="85">
        <f t="shared" ca="1" si="67"/>
        <v>245.8991129237931</v>
      </c>
      <c r="BZ73" s="85">
        <f t="shared" ca="1" si="68"/>
        <v>253.40042033733371</v>
      </c>
      <c r="CA73" s="85">
        <f t="shared" ca="1" si="69"/>
        <v>244.11904021618008</v>
      </c>
      <c r="CB73" s="85">
        <f t="shared" ca="1" si="70"/>
        <v>243.72918838789337</v>
      </c>
      <c r="CC73" s="85">
        <f t="shared" ca="1" si="71"/>
        <v>247.08854887024853</v>
      </c>
      <c r="CD73" s="85">
        <f t="shared" ca="1" si="72"/>
        <v>267.53439628576206</v>
      </c>
      <c r="CE73" s="85">
        <f t="shared" ca="1" si="73"/>
        <v>232.98007523458884</v>
      </c>
      <c r="CF73" s="85">
        <f t="shared" ca="1" si="74"/>
        <v>262.61564725877525</v>
      </c>
      <c r="CG73" s="85">
        <f t="shared" ca="1" si="75"/>
        <v>233.88028465858446</v>
      </c>
      <c r="CH73" s="85">
        <f t="shared" ca="1" si="76"/>
        <v>252.42528378119326</v>
      </c>
      <c r="CI73" s="85">
        <f t="shared" ca="1" si="77"/>
        <v>254.90216988779505</v>
      </c>
      <c r="CJ73" s="85">
        <f t="shared" ca="1" si="78"/>
        <v>237.53579102703384</v>
      </c>
      <c r="CK73" s="85">
        <f t="shared" ca="1" si="79"/>
        <v>237.48641401312912</v>
      </c>
      <c r="CL73" s="85">
        <f t="shared" ca="1" si="80"/>
        <v>229.67556794359911</v>
      </c>
      <c r="CM73" s="85">
        <f t="shared" ca="1" si="81"/>
        <v>254.94081096982751</v>
      </c>
      <c r="CN73" s="85">
        <f t="shared" ca="1" si="82"/>
        <v>242.15924922233046</v>
      </c>
      <c r="CO73" s="85">
        <f t="shared" ca="1" si="83"/>
        <v>236.58760491515955</v>
      </c>
      <c r="CP73" s="85">
        <f t="shared" ca="1" si="84"/>
        <v>282.59876952915272</v>
      </c>
      <c r="CQ73" s="85">
        <f t="shared" ca="1" si="85"/>
        <v>260.94015530219252</v>
      </c>
      <c r="CR73" s="85">
        <f t="shared" ca="1" si="86"/>
        <v>256.12468043720713</v>
      </c>
      <c r="CS73" s="85">
        <f t="shared" ca="1" si="87"/>
        <v>234.47371521289907</v>
      </c>
      <c r="CT73" s="85">
        <f t="shared" ca="1" si="88"/>
        <v>249.06375326192247</v>
      </c>
      <c r="CU73" s="85">
        <f t="shared" ca="1" si="89"/>
        <v>276.57319678615227</v>
      </c>
      <c r="CV73" s="85">
        <f t="shared" ca="1" si="90"/>
        <v>237.7389424398005</v>
      </c>
      <c r="CW73" s="85">
        <f t="shared" ca="1" si="91"/>
        <v>239.71264793937092</v>
      </c>
    </row>
    <row r="74" spans="1:101" x14ac:dyDescent="0.2">
      <c r="A74" s="115">
        <v>71</v>
      </c>
      <c r="B74" s="85">
        <f t="shared" ca="1" si="102"/>
        <v>235.3788213061506</v>
      </c>
      <c r="C74" s="85">
        <f t="shared" ca="1" si="104"/>
        <v>240.8563307741413</v>
      </c>
      <c r="D74" s="85">
        <f t="shared" ca="1" si="105"/>
        <v>256.02968273431043</v>
      </c>
      <c r="E74" s="85">
        <f t="shared" ca="1" si="106"/>
        <v>237.55592044613186</v>
      </c>
      <c r="F74" s="85">
        <f t="shared" ca="1" si="107"/>
        <v>239.55324850488043</v>
      </c>
      <c r="G74" s="85">
        <f t="shared" ca="1" si="108"/>
        <v>248.72698769882805</v>
      </c>
      <c r="H74" s="85">
        <f t="shared" ca="1" si="109"/>
        <v>248.55840126923522</v>
      </c>
      <c r="I74" s="85">
        <f t="shared" ca="1" si="110"/>
        <v>249.36415596910189</v>
      </c>
      <c r="J74" s="85">
        <f t="shared" ca="1" si="111"/>
        <v>247.02303790855376</v>
      </c>
      <c r="K74" s="85">
        <f t="shared" ca="1" si="112"/>
        <v>234.53727651704651</v>
      </c>
      <c r="L74" s="85">
        <f t="shared" ca="1" si="113"/>
        <v>267.68679169345171</v>
      </c>
      <c r="M74" s="85">
        <f t="shared" ca="1" si="114"/>
        <v>226.13695190217169</v>
      </c>
      <c r="N74" s="85">
        <f t="shared" ca="1" si="115"/>
        <v>244.56296351811008</v>
      </c>
      <c r="O74" s="85">
        <f t="shared" ca="1" si="116"/>
        <v>237.0725047966902</v>
      </c>
      <c r="P74" s="85">
        <f t="shared" ca="1" si="117"/>
        <v>245.7106490928247</v>
      </c>
      <c r="Q74" s="85">
        <f t="shared" ca="1" si="118"/>
        <v>249.2426263941112</v>
      </c>
      <c r="R74" s="85">
        <f t="shared" ca="1" si="119"/>
        <v>232.7077987512196</v>
      </c>
      <c r="S74" s="85">
        <f t="shared" ca="1" si="120"/>
        <v>257.68204822593719</v>
      </c>
      <c r="T74" s="85">
        <f t="shared" ca="1" si="121"/>
        <v>256.13426850648995</v>
      </c>
      <c r="U74" s="85">
        <f t="shared" ca="1" si="122"/>
        <v>215.30744165697561</v>
      </c>
      <c r="V74" s="85">
        <f t="shared" ca="1" si="123"/>
        <v>269.03362629631198</v>
      </c>
      <c r="W74" s="85">
        <f t="shared" ca="1" si="124"/>
        <v>248.94463936889335</v>
      </c>
      <c r="X74" s="85">
        <f t="shared" ca="1" si="125"/>
        <v>251.91843178103687</v>
      </c>
      <c r="Y74" s="85">
        <f t="shared" ca="1" si="126"/>
        <v>231.72558775274126</v>
      </c>
      <c r="Z74" s="85">
        <f t="shared" ca="1" si="127"/>
        <v>235.11575376261101</v>
      </c>
      <c r="AA74" s="85">
        <f t="shared" ca="1" si="128"/>
        <v>231.22353458582296</v>
      </c>
      <c r="AB74" s="85">
        <f t="shared" ca="1" si="129"/>
        <v>263.9724837010354</v>
      </c>
      <c r="AC74" s="85">
        <f t="shared" ca="1" si="130"/>
        <v>240.85329732581124</v>
      </c>
      <c r="AD74" s="85">
        <f t="shared" ca="1" si="131"/>
        <v>264.0157405329287</v>
      </c>
      <c r="AE74" s="85">
        <f t="shared" ca="1" si="132"/>
        <v>290.33837574950928</v>
      </c>
      <c r="AF74" s="85">
        <f t="shared" ca="1" si="133"/>
        <v>240.65412928399869</v>
      </c>
      <c r="AG74" s="85">
        <f t="shared" ca="1" si="134"/>
        <v>248.30601565658907</v>
      </c>
      <c r="AH74" s="85">
        <f t="shared" ca="1" si="135"/>
        <v>249.55622920184112</v>
      </c>
      <c r="AI74" s="85">
        <f t="shared" ca="1" si="136"/>
        <v>254.6101274649761</v>
      </c>
      <c r="AJ74" s="85">
        <f t="shared" ca="1" si="137"/>
        <v>270.71588137969036</v>
      </c>
      <c r="AK74" s="85">
        <f t="shared" ca="1" si="138"/>
        <v>249.53246383066084</v>
      </c>
      <c r="AL74" s="85">
        <f t="shared" ca="1" si="139"/>
        <v>264.55066709184598</v>
      </c>
      <c r="AM74" s="85">
        <f t="shared" ca="1" si="140"/>
        <v>236.15411907706022</v>
      </c>
      <c r="AN74" s="85">
        <f t="shared" ca="1" si="141"/>
        <v>252.41681732944201</v>
      </c>
      <c r="AO74" s="85">
        <f t="shared" ca="1" si="142"/>
        <v>247.2826938303036</v>
      </c>
      <c r="AP74" s="85">
        <f t="shared" ca="1" si="143"/>
        <v>260.41943965460598</v>
      </c>
      <c r="AQ74" s="85">
        <f t="shared" ca="1" si="144"/>
        <v>231.63724175879602</v>
      </c>
      <c r="AR74" s="85">
        <f t="shared" ca="1" si="145"/>
        <v>239.08854618326913</v>
      </c>
      <c r="AS74" s="85">
        <f t="shared" ca="1" si="146"/>
        <v>239.14621385664677</v>
      </c>
      <c r="AT74" s="85">
        <f t="shared" ca="1" si="147"/>
        <v>270.82929608066132</v>
      </c>
      <c r="AU74" s="85">
        <f t="shared" ca="1" si="148"/>
        <v>256.03386820975248</v>
      </c>
      <c r="AV74" s="85">
        <f t="shared" ca="1" si="149"/>
        <v>261.4639695907112</v>
      </c>
      <c r="AW74" s="85">
        <f t="shared" ca="1" si="150"/>
        <v>248.81899133369214</v>
      </c>
      <c r="AX74" s="85">
        <f t="shared" ca="1" si="151"/>
        <v>288.66423733700287</v>
      </c>
      <c r="AY74" s="85">
        <f t="shared" ca="1" si="152"/>
        <v>264.77279479001203</v>
      </c>
      <c r="AZ74" s="85">
        <f t="shared" ca="1" si="153"/>
        <v>231.93366501748469</v>
      </c>
      <c r="BA74" s="85">
        <f t="shared" ca="1" si="154"/>
        <v>263.77199787997756</v>
      </c>
      <c r="BB74" s="85">
        <f t="shared" ca="1" si="155"/>
        <v>238.41726764579266</v>
      </c>
      <c r="BC74" s="85">
        <f t="shared" ca="1" si="156"/>
        <v>252.80514931330029</v>
      </c>
      <c r="BD74" s="85">
        <f t="shared" ca="1" si="157"/>
        <v>251.93289278154333</v>
      </c>
      <c r="BE74" s="85">
        <f t="shared" ca="1" si="158"/>
        <v>230.79145619623768</v>
      </c>
      <c r="BF74" s="85">
        <f t="shared" ca="1" si="159"/>
        <v>260.84261440485091</v>
      </c>
      <c r="BG74" s="85">
        <f t="shared" ca="1" si="160"/>
        <v>222.53095244384241</v>
      </c>
      <c r="BH74" s="85">
        <f t="shared" ca="1" si="161"/>
        <v>251.51799781858568</v>
      </c>
      <c r="BI74" s="85">
        <f t="shared" ca="1" si="162"/>
        <v>242.42649759638027</v>
      </c>
      <c r="BJ74" s="85">
        <f t="shared" ca="1" si="163"/>
        <v>271.62259392741805</v>
      </c>
      <c r="BK74" s="85">
        <f t="shared" ca="1" si="164"/>
        <v>256.47874799957924</v>
      </c>
      <c r="BL74" s="85">
        <f t="shared" ca="1" si="165"/>
        <v>251.56168093839324</v>
      </c>
      <c r="BM74" s="85">
        <f t="shared" ca="1" si="166"/>
        <v>228.63440531316681</v>
      </c>
      <c r="BN74" s="85">
        <f t="shared" ca="1" si="103"/>
        <v>255.44196814590947</v>
      </c>
      <c r="BO74" s="85">
        <f t="shared" ca="1" si="92"/>
        <v>276.00171827619732</v>
      </c>
      <c r="BP74" s="85">
        <f t="shared" ca="1" si="93"/>
        <v>228.49371043557375</v>
      </c>
      <c r="BQ74" s="85">
        <f t="shared" ca="1" si="94"/>
        <v>242.80473388620155</v>
      </c>
      <c r="BR74" s="85">
        <f t="shared" ca="1" si="95"/>
        <v>234.64107161349042</v>
      </c>
      <c r="BS74" s="85">
        <f t="shared" ca="1" si="96"/>
        <v>249.51284724203651</v>
      </c>
      <c r="BT74" s="85">
        <f t="shared" ca="1" si="97"/>
        <v>260.84840900244109</v>
      </c>
      <c r="BU74" s="85">
        <f t="shared" ca="1" si="98"/>
        <v>268.2315114343254</v>
      </c>
      <c r="BV74" s="85">
        <f t="shared" ca="1" si="99"/>
        <v>257.68642895616642</v>
      </c>
      <c r="BW74" s="85">
        <f t="shared" ca="1" si="100"/>
        <v>259.63144893988925</v>
      </c>
      <c r="BX74" s="85">
        <f t="shared" ca="1" si="101"/>
        <v>249.95940852234295</v>
      </c>
      <c r="BY74" s="85">
        <f t="shared" ca="1" si="67"/>
        <v>247.16119563480567</v>
      </c>
      <c r="BZ74" s="85">
        <f t="shared" ca="1" si="68"/>
        <v>257.99294155164176</v>
      </c>
      <c r="CA74" s="85">
        <f t="shared" ca="1" si="69"/>
        <v>247.09768871070395</v>
      </c>
      <c r="CB74" s="85">
        <f t="shared" ca="1" si="70"/>
        <v>247.58276535082362</v>
      </c>
      <c r="CC74" s="85">
        <f t="shared" ca="1" si="71"/>
        <v>251.94330286798856</v>
      </c>
      <c r="CD74" s="85">
        <f t="shared" ca="1" si="72"/>
        <v>272.73069129773035</v>
      </c>
      <c r="CE74" s="85">
        <f t="shared" ca="1" si="73"/>
        <v>236.53522942855707</v>
      </c>
      <c r="CF74" s="85">
        <f t="shared" ca="1" si="74"/>
        <v>265.82003769901587</v>
      </c>
      <c r="CG74" s="85">
        <f t="shared" ca="1" si="75"/>
        <v>236.6397673355213</v>
      </c>
      <c r="CH74" s="85">
        <f t="shared" ca="1" si="76"/>
        <v>261.31963486526001</v>
      </c>
      <c r="CI74" s="85">
        <f t="shared" ca="1" si="77"/>
        <v>258.65729359117279</v>
      </c>
      <c r="CJ74" s="85">
        <f t="shared" ca="1" si="78"/>
        <v>238.99793603639978</v>
      </c>
      <c r="CK74" s="85">
        <f t="shared" ca="1" si="79"/>
        <v>240.33034026217356</v>
      </c>
      <c r="CL74" s="85">
        <f t="shared" ca="1" si="80"/>
        <v>231.96988839796512</v>
      </c>
      <c r="CM74" s="85">
        <f t="shared" ca="1" si="81"/>
        <v>260.18447494273141</v>
      </c>
      <c r="CN74" s="85">
        <f t="shared" ca="1" si="82"/>
        <v>245.23874921480123</v>
      </c>
      <c r="CO74" s="85">
        <f t="shared" ca="1" si="83"/>
        <v>240.4860492794609</v>
      </c>
      <c r="CP74" s="85">
        <f t="shared" ca="1" si="84"/>
        <v>287.97503451323308</v>
      </c>
      <c r="CQ74" s="85">
        <f t="shared" ca="1" si="85"/>
        <v>262.25798330785017</v>
      </c>
      <c r="CR74" s="85">
        <f t="shared" ca="1" si="86"/>
        <v>258.79725604414881</v>
      </c>
      <c r="CS74" s="85">
        <f t="shared" ca="1" si="87"/>
        <v>236.47144122410108</v>
      </c>
      <c r="CT74" s="85">
        <f t="shared" ca="1" si="88"/>
        <v>255.27389872175277</v>
      </c>
      <c r="CU74" s="85">
        <f t="shared" ca="1" si="89"/>
        <v>281.37962259528115</v>
      </c>
      <c r="CV74" s="85">
        <f t="shared" ca="1" si="90"/>
        <v>241.18274625623422</v>
      </c>
      <c r="CW74" s="85">
        <f t="shared" ca="1" si="91"/>
        <v>244.11790468413074</v>
      </c>
    </row>
    <row r="75" spans="1:101" x14ac:dyDescent="0.2">
      <c r="A75" s="115">
        <v>72</v>
      </c>
      <c r="B75" s="85">
        <f t="shared" ca="1" si="102"/>
        <v>239.35844402950124</v>
      </c>
      <c r="C75" s="85">
        <f t="shared" ca="1" si="104"/>
        <v>244.41852480618181</v>
      </c>
      <c r="D75" s="85">
        <f t="shared" ca="1" si="105"/>
        <v>261.02874613483874</v>
      </c>
      <c r="E75" s="85">
        <f t="shared" ca="1" si="106"/>
        <v>239.32187640986982</v>
      </c>
      <c r="F75" s="85">
        <f t="shared" ca="1" si="107"/>
        <v>245.08888825279891</v>
      </c>
      <c r="G75" s="85">
        <f t="shared" ca="1" si="108"/>
        <v>252.30033361793784</v>
      </c>
      <c r="H75" s="85">
        <f t="shared" ca="1" si="109"/>
        <v>255.00460599224033</v>
      </c>
      <c r="I75" s="85">
        <f t="shared" ca="1" si="110"/>
        <v>251.51441620065609</v>
      </c>
      <c r="J75" s="85">
        <f t="shared" ca="1" si="111"/>
        <v>250.24653585294396</v>
      </c>
      <c r="K75" s="85">
        <f t="shared" ca="1" si="112"/>
        <v>239.9513297378785</v>
      </c>
      <c r="L75" s="85">
        <f t="shared" ca="1" si="113"/>
        <v>273.92129630835268</v>
      </c>
      <c r="M75" s="85">
        <f t="shared" ca="1" si="114"/>
        <v>228.33646305130529</v>
      </c>
      <c r="N75" s="85">
        <f t="shared" ca="1" si="115"/>
        <v>248.58324585041876</v>
      </c>
      <c r="O75" s="85">
        <f t="shared" ca="1" si="116"/>
        <v>242.50109417154809</v>
      </c>
      <c r="P75" s="85">
        <f t="shared" ca="1" si="117"/>
        <v>249.61748847132844</v>
      </c>
      <c r="Q75" s="85">
        <f t="shared" ca="1" si="118"/>
        <v>251.26229574477776</v>
      </c>
      <c r="R75" s="85">
        <f t="shared" ca="1" si="119"/>
        <v>235.59601583349479</v>
      </c>
      <c r="S75" s="85">
        <f t="shared" ca="1" si="120"/>
        <v>261.69538085688856</v>
      </c>
      <c r="T75" s="85">
        <f t="shared" ca="1" si="121"/>
        <v>258.97819384964095</v>
      </c>
      <c r="U75" s="85">
        <f t="shared" ca="1" si="122"/>
        <v>215.46593378012949</v>
      </c>
      <c r="V75" s="85">
        <f t="shared" ca="1" si="123"/>
        <v>273.82944057494274</v>
      </c>
      <c r="W75" s="85">
        <f t="shared" ca="1" si="124"/>
        <v>252.91639199108619</v>
      </c>
      <c r="X75" s="85">
        <f t="shared" ca="1" si="125"/>
        <v>256.03023348029785</v>
      </c>
      <c r="Y75" s="85">
        <f t="shared" ca="1" si="126"/>
        <v>237.05927264975978</v>
      </c>
      <c r="Z75" s="85">
        <f t="shared" ca="1" si="127"/>
        <v>236.99758745449006</v>
      </c>
      <c r="AA75" s="85">
        <f t="shared" ca="1" si="128"/>
        <v>234.65997110104072</v>
      </c>
      <c r="AB75" s="85">
        <f t="shared" ca="1" si="129"/>
        <v>265.06675841464613</v>
      </c>
      <c r="AC75" s="85">
        <f t="shared" ca="1" si="130"/>
        <v>244.20803211380468</v>
      </c>
      <c r="AD75" s="85">
        <f t="shared" ca="1" si="131"/>
        <v>269.10422080073869</v>
      </c>
      <c r="AE75" s="85">
        <f t="shared" ca="1" si="132"/>
        <v>295.8798387940526</v>
      </c>
      <c r="AF75" s="85">
        <f t="shared" ca="1" si="133"/>
        <v>246.75360629157041</v>
      </c>
      <c r="AG75" s="85">
        <f t="shared" ca="1" si="134"/>
        <v>254.45822072630216</v>
      </c>
      <c r="AH75" s="85">
        <f t="shared" ca="1" si="135"/>
        <v>251.53059747501334</v>
      </c>
      <c r="AI75" s="85">
        <f t="shared" ca="1" si="136"/>
        <v>258.28215656254753</v>
      </c>
      <c r="AJ75" s="85">
        <f t="shared" ca="1" si="137"/>
        <v>275.05458951536491</v>
      </c>
      <c r="AK75" s="85">
        <f t="shared" ca="1" si="138"/>
        <v>251.72943931457232</v>
      </c>
      <c r="AL75" s="85">
        <f t="shared" ca="1" si="139"/>
        <v>270.13922016798807</v>
      </c>
      <c r="AM75" s="85">
        <f t="shared" ca="1" si="140"/>
        <v>238.36099440254088</v>
      </c>
      <c r="AN75" s="85">
        <f t="shared" ca="1" si="141"/>
        <v>254.16873244701455</v>
      </c>
      <c r="AO75" s="85">
        <f t="shared" ca="1" si="142"/>
        <v>252.39963393876309</v>
      </c>
      <c r="AP75" s="85">
        <f t="shared" ca="1" si="143"/>
        <v>262.32283961864573</v>
      </c>
      <c r="AQ75" s="85">
        <f t="shared" ca="1" si="144"/>
        <v>236.75981764049149</v>
      </c>
      <c r="AR75" s="85">
        <f t="shared" ca="1" si="145"/>
        <v>240.41902100608885</v>
      </c>
      <c r="AS75" s="85">
        <f t="shared" ca="1" si="146"/>
        <v>239.77506391539831</v>
      </c>
      <c r="AT75" s="85">
        <f t="shared" ca="1" si="147"/>
        <v>276.37323388935118</v>
      </c>
      <c r="AU75" s="85">
        <f t="shared" ca="1" si="148"/>
        <v>260.49626983240671</v>
      </c>
      <c r="AV75" s="85">
        <f t="shared" ca="1" si="149"/>
        <v>263.31177457246258</v>
      </c>
      <c r="AW75" s="85">
        <f t="shared" ca="1" si="150"/>
        <v>252.69454927423578</v>
      </c>
      <c r="AX75" s="85">
        <f t="shared" ca="1" si="151"/>
        <v>290.13415268411069</v>
      </c>
      <c r="AY75" s="85">
        <f t="shared" ca="1" si="152"/>
        <v>272.2106785670058</v>
      </c>
      <c r="AZ75" s="85">
        <f t="shared" ca="1" si="153"/>
        <v>236.56153465809447</v>
      </c>
      <c r="BA75" s="85">
        <f t="shared" ca="1" si="154"/>
        <v>264.26740233549765</v>
      </c>
      <c r="BB75" s="85">
        <f t="shared" ca="1" si="155"/>
        <v>240.76216917933507</v>
      </c>
      <c r="BC75" s="85">
        <f t="shared" ca="1" si="156"/>
        <v>254.95640880878432</v>
      </c>
      <c r="BD75" s="85">
        <f t="shared" ca="1" si="157"/>
        <v>256.49533678880533</v>
      </c>
      <c r="BE75" s="85">
        <f t="shared" ca="1" si="158"/>
        <v>237.86468660199182</v>
      </c>
      <c r="BF75" s="85">
        <f t="shared" ca="1" si="159"/>
        <v>268.11956498107537</v>
      </c>
      <c r="BG75" s="85">
        <f t="shared" ca="1" si="160"/>
        <v>225.11525783883383</v>
      </c>
      <c r="BH75" s="85">
        <f t="shared" ca="1" si="161"/>
        <v>253.21898567624132</v>
      </c>
      <c r="BI75" s="85">
        <f t="shared" ca="1" si="162"/>
        <v>246.46815358525805</v>
      </c>
      <c r="BJ75" s="85">
        <f t="shared" ca="1" si="163"/>
        <v>275.58639504910536</v>
      </c>
      <c r="BK75" s="85">
        <f t="shared" ca="1" si="164"/>
        <v>258.88643876741565</v>
      </c>
      <c r="BL75" s="85">
        <f t="shared" ca="1" si="165"/>
        <v>254.83461878269441</v>
      </c>
      <c r="BM75" s="85">
        <f t="shared" ca="1" si="166"/>
        <v>230.73414960003731</v>
      </c>
      <c r="BN75" s="85">
        <f t="shared" ca="1" si="103"/>
        <v>259.46722598941898</v>
      </c>
      <c r="BO75" s="85">
        <f t="shared" ca="1" si="92"/>
        <v>282.19150950497306</v>
      </c>
      <c r="BP75" s="85">
        <f t="shared" ca="1" si="93"/>
        <v>231.20727980044583</v>
      </c>
      <c r="BQ75" s="85">
        <f t="shared" ca="1" si="94"/>
        <v>245.59459073750216</v>
      </c>
      <c r="BR75" s="85">
        <f t="shared" ca="1" si="95"/>
        <v>236.82367423523618</v>
      </c>
      <c r="BS75" s="85">
        <f t="shared" ca="1" si="96"/>
        <v>251.51093412445601</v>
      </c>
      <c r="BT75" s="85">
        <f t="shared" ca="1" si="97"/>
        <v>266.08575348737895</v>
      </c>
      <c r="BU75" s="85">
        <f t="shared" ca="1" si="98"/>
        <v>266.95419293030898</v>
      </c>
      <c r="BV75" s="85">
        <f t="shared" ca="1" si="99"/>
        <v>258.81352598336491</v>
      </c>
      <c r="BW75" s="85">
        <f t="shared" ca="1" si="100"/>
        <v>263.29480440282697</v>
      </c>
      <c r="BX75" s="85">
        <f t="shared" ca="1" si="101"/>
        <v>254.1966940268415</v>
      </c>
      <c r="BY75" s="85">
        <f t="shared" ref="BY75:BY138" ca="1" si="167">BY74*EXP(($C$259-0.5*$C$260^2)+$C$260*_xlfn.NORM.INV(RAND(),0,1))</f>
        <v>251.51862368616318</v>
      </c>
      <c r="BZ75" s="85">
        <f t="shared" ref="BZ75:BZ138" ca="1" si="168">BZ74*EXP(($C$259-0.5*$C$260^2)+$C$260*_xlfn.NORM.INV(RAND(),0,1))</f>
        <v>261.59201823227244</v>
      </c>
      <c r="CA75" s="85">
        <f t="shared" ref="CA75:CA138" ca="1" si="169">CA74*EXP(($C$259-0.5*$C$260^2)+$C$260*_xlfn.NORM.INV(RAND(),0,1))</f>
        <v>247.92940811810885</v>
      </c>
      <c r="CB75" s="85">
        <f t="shared" ref="CB75:CB138" ca="1" si="170">CB74*EXP(($C$259-0.5*$C$260^2)+$C$260*_xlfn.NORM.INV(RAND(),0,1))</f>
        <v>247.28198612987308</v>
      </c>
      <c r="CC75" s="85">
        <f t="shared" ref="CC75:CC138" ca="1" si="171">CC74*EXP(($C$259-0.5*$C$260^2)+$C$260*_xlfn.NORM.INV(RAND(),0,1))</f>
        <v>256.67451321181875</v>
      </c>
      <c r="CD75" s="85">
        <f t="shared" ref="CD75:CD138" ca="1" si="172">CD74*EXP(($C$259-0.5*$C$260^2)+$C$260*_xlfn.NORM.INV(RAND(),0,1))</f>
        <v>275.50961340596905</v>
      </c>
      <c r="CE75" s="85">
        <f t="shared" ref="CE75:CE138" ca="1" si="173">CE74*EXP(($C$259-0.5*$C$260^2)+$C$260*_xlfn.NORM.INV(RAND(),0,1))</f>
        <v>240.28067515117499</v>
      </c>
      <c r="CF75" s="85">
        <f t="shared" ref="CF75:CF138" ca="1" si="174">CF74*EXP(($C$259-0.5*$C$260^2)+$C$260*_xlfn.NORM.INV(RAND(),0,1))</f>
        <v>270.67515769812661</v>
      </c>
      <c r="CG75" s="85">
        <f t="shared" ref="CG75:CG138" ca="1" si="175">CG74*EXP(($C$259-0.5*$C$260^2)+$C$260*_xlfn.NORM.INV(RAND(),0,1))</f>
        <v>237.77180337465379</v>
      </c>
      <c r="CH75" s="85">
        <f t="shared" ref="CH75:CH138" ca="1" si="176">CH74*EXP(($C$259-0.5*$C$260^2)+$C$260*_xlfn.NORM.INV(RAND(),0,1))</f>
        <v>266.33919461389382</v>
      </c>
      <c r="CI75" s="85">
        <f t="shared" ref="CI75:CI138" ca="1" si="177">CI74*EXP(($C$259-0.5*$C$260^2)+$C$260*_xlfn.NORM.INV(RAND(),0,1))</f>
        <v>264.31145267862422</v>
      </c>
      <c r="CJ75" s="85">
        <f t="shared" ref="CJ75:CJ138" ca="1" si="178">CJ74*EXP(($C$259-0.5*$C$260^2)+$C$260*_xlfn.NORM.INV(RAND(),0,1))</f>
        <v>241.74131281121981</v>
      </c>
      <c r="CK75" s="85">
        <f t="shared" ref="CK75:CK138" ca="1" si="179">CK74*EXP(($C$259-0.5*$C$260^2)+$C$260*_xlfn.NORM.INV(RAND(),0,1))</f>
        <v>245.18793840509883</v>
      </c>
      <c r="CL75" s="85">
        <f t="shared" ref="CL75:CL138" ca="1" si="180">CL74*EXP(($C$259-0.5*$C$260^2)+$C$260*_xlfn.NORM.INV(RAND(),0,1))</f>
        <v>238.49882775305522</v>
      </c>
      <c r="CM75" s="85">
        <f t="shared" ref="CM75:CM138" ca="1" si="181">CM74*EXP(($C$259-0.5*$C$260^2)+$C$260*_xlfn.NORM.INV(RAND(),0,1))</f>
        <v>262.75780154196815</v>
      </c>
      <c r="CN75" s="85">
        <f t="shared" ref="CN75:CN138" ca="1" si="182">CN74*EXP(($C$259-0.5*$C$260^2)+$C$260*_xlfn.NORM.INV(RAND(),0,1))</f>
        <v>249.35324482771099</v>
      </c>
      <c r="CO75" s="85">
        <f t="shared" ref="CO75:CO138" ca="1" si="183">CO74*EXP(($C$259-0.5*$C$260^2)+$C$260*_xlfn.NORM.INV(RAND(),0,1))</f>
        <v>243.76655401523121</v>
      </c>
      <c r="CP75" s="85">
        <f t="shared" ref="CP75:CP138" ca="1" si="184">CP74*EXP(($C$259-0.5*$C$260^2)+$C$260*_xlfn.NORM.INV(RAND(),0,1))</f>
        <v>293.37531518053709</v>
      </c>
      <c r="CQ75" s="85">
        <f t="shared" ref="CQ75:CQ138" ca="1" si="185">CQ74*EXP(($C$259-0.5*$C$260^2)+$C$260*_xlfn.NORM.INV(RAND(),0,1))</f>
        <v>266.86935424542861</v>
      </c>
      <c r="CR75" s="85">
        <f t="shared" ref="CR75:CR138" ca="1" si="186">CR74*EXP(($C$259-0.5*$C$260^2)+$C$260*_xlfn.NORM.INV(RAND(),0,1))</f>
        <v>262.68559141045802</v>
      </c>
      <c r="CS75" s="85">
        <f t="shared" ref="CS75:CS138" ca="1" si="187">CS74*EXP(($C$259-0.5*$C$260^2)+$C$260*_xlfn.NORM.INV(RAND(),0,1))</f>
        <v>240.01336823035001</v>
      </c>
      <c r="CT75" s="85">
        <f t="shared" ref="CT75:CT138" ca="1" si="188">CT74*EXP(($C$259-0.5*$C$260^2)+$C$260*_xlfn.NORM.INV(RAND(),0,1))</f>
        <v>259.53657232412735</v>
      </c>
      <c r="CU75" s="85">
        <f t="shared" ref="CU75:CU138" ca="1" si="189">CU74*EXP(($C$259-0.5*$C$260^2)+$C$260*_xlfn.NORM.INV(RAND(),0,1))</f>
        <v>285.0183349106286</v>
      </c>
      <c r="CV75" s="85">
        <f t="shared" ref="CV75:CV138" ca="1" si="190">CV74*EXP(($C$259-0.5*$C$260^2)+$C$260*_xlfn.NORM.INV(RAND(),0,1))</f>
        <v>242.82465655797932</v>
      </c>
      <c r="CW75" s="85">
        <f t="shared" ref="CW75:CW138" ca="1" si="191">CW74*EXP(($C$259-0.5*$C$260^2)+$C$260*_xlfn.NORM.INV(RAND(),0,1))</f>
        <v>247.68555226817588</v>
      </c>
    </row>
    <row r="76" spans="1:101" x14ac:dyDescent="0.2">
      <c r="A76" s="115">
        <v>73</v>
      </c>
      <c r="B76" s="85">
        <f t="shared" ca="1" si="102"/>
        <v>243.47069805955414</v>
      </c>
      <c r="C76" s="85">
        <f t="shared" ca="1" si="104"/>
        <v>245.6019259136612</v>
      </c>
      <c r="D76" s="85">
        <f t="shared" ca="1" si="105"/>
        <v>263.13338948386189</v>
      </c>
      <c r="E76" s="85">
        <f t="shared" ca="1" si="106"/>
        <v>241.87664815340216</v>
      </c>
      <c r="F76" s="85">
        <f t="shared" ca="1" si="107"/>
        <v>247.55031663514134</v>
      </c>
      <c r="G76" s="85">
        <f t="shared" ca="1" si="108"/>
        <v>252.83066160460109</v>
      </c>
      <c r="H76" s="85">
        <f t="shared" ca="1" si="109"/>
        <v>258.39593136943989</v>
      </c>
      <c r="I76" s="85">
        <f t="shared" ca="1" si="110"/>
        <v>252.54676351617886</v>
      </c>
      <c r="J76" s="85">
        <f t="shared" ca="1" si="111"/>
        <v>255.41238918750648</v>
      </c>
      <c r="K76" s="85">
        <f t="shared" ca="1" si="112"/>
        <v>242.98765343796561</v>
      </c>
      <c r="L76" s="85">
        <f t="shared" ca="1" si="113"/>
        <v>275.82243310361889</v>
      </c>
      <c r="M76" s="85">
        <f t="shared" ca="1" si="114"/>
        <v>234.4824467869108</v>
      </c>
      <c r="N76" s="85">
        <f t="shared" ca="1" si="115"/>
        <v>251.88079107726583</v>
      </c>
      <c r="O76" s="85">
        <f t="shared" ca="1" si="116"/>
        <v>245.30726884487365</v>
      </c>
      <c r="P76" s="85">
        <f t="shared" ca="1" si="117"/>
        <v>252.6929522236492</v>
      </c>
      <c r="Q76" s="85">
        <f t="shared" ca="1" si="118"/>
        <v>255.14625950649605</v>
      </c>
      <c r="R76" s="85">
        <f t="shared" ca="1" si="119"/>
        <v>238.56213882810226</v>
      </c>
      <c r="S76" s="85">
        <f t="shared" ca="1" si="120"/>
        <v>264.1897833726527</v>
      </c>
      <c r="T76" s="85">
        <f t="shared" ca="1" si="121"/>
        <v>265.16792713365425</v>
      </c>
      <c r="U76" s="85">
        <f t="shared" ca="1" si="122"/>
        <v>217.78846234583025</v>
      </c>
      <c r="V76" s="85">
        <f t="shared" ca="1" si="123"/>
        <v>277.07503389743391</v>
      </c>
      <c r="W76" s="85">
        <f t="shared" ca="1" si="124"/>
        <v>256.27128788240907</v>
      </c>
      <c r="X76" s="85">
        <f t="shared" ca="1" si="125"/>
        <v>258.93298659521332</v>
      </c>
      <c r="Y76" s="85">
        <f t="shared" ca="1" si="126"/>
        <v>237.74534605113999</v>
      </c>
      <c r="Z76" s="85">
        <f t="shared" ca="1" si="127"/>
        <v>241.04934409728236</v>
      </c>
      <c r="AA76" s="85">
        <f t="shared" ca="1" si="128"/>
        <v>238.33538989826201</v>
      </c>
      <c r="AB76" s="85">
        <f t="shared" ca="1" si="129"/>
        <v>270.30387524821333</v>
      </c>
      <c r="AC76" s="85">
        <f t="shared" ca="1" si="130"/>
        <v>249.17553486634495</v>
      </c>
      <c r="AD76" s="85">
        <f t="shared" ca="1" si="131"/>
        <v>271.368553573795</v>
      </c>
      <c r="AE76" s="85">
        <f t="shared" ca="1" si="132"/>
        <v>301.18872080474858</v>
      </c>
      <c r="AF76" s="85">
        <f t="shared" ca="1" si="133"/>
        <v>252.47744161966074</v>
      </c>
      <c r="AG76" s="85">
        <f t="shared" ca="1" si="134"/>
        <v>258.10452393059006</v>
      </c>
      <c r="AH76" s="85">
        <f t="shared" ca="1" si="135"/>
        <v>254.36345307062302</v>
      </c>
      <c r="AI76" s="85">
        <f t="shared" ca="1" si="136"/>
        <v>263.86122143203795</v>
      </c>
      <c r="AJ76" s="85">
        <f t="shared" ca="1" si="137"/>
        <v>278.93332638168425</v>
      </c>
      <c r="AK76" s="85">
        <f t="shared" ca="1" si="138"/>
        <v>253.24262731150782</v>
      </c>
      <c r="AL76" s="85">
        <f t="shared" ca="1" si="139"/>
        <v>268.70346496198164</v>
      </c>
      <c r="AM76" s="85">
        <f t="shared" ca="1" si="140"/>
        <v>241.67706982629477</v>
      </c>
      <c r="AN76" s="85">
        <f t="shared" ca="1" si="141"/>
        <v>254.65235545577602</v>
      </c>
      <c r="AO76" s="85">
        <f t="shared" ca="1" si="142"/>
        <v>257.27573802857262</v>
      </c>
      <c r="AP76" s="85">
        <f t="shared" ca="1" si="143"/>
        <v>268.9518492627742</v>
      </c>
      <c r="AQ76" s="85">
        <f t="shared" ca="1" si="144"/>
        <v>240.70782724149544</v>
      </c>
      <c r="AR76" s="85">
        <f t="shared" ca="1" si="145"/>
        <v>243.22102237417494</v>
      </c>
      <c r="AS76" s="85">
        <f t="shared" ca="1" si="146"/>
        <v>244.35342664467785</v>
      </c>
      <c r="AT76" s="85">
        <f t="shared" ca="1" si="147"/>
        <v>282.9579124554196</v>
      </c>
      <c r="AU76" s="85">
        <f t="shared" ca="1" si="148"/>
        <v>263.47406624498444</v>
      </c>
      <c r="AV76" s="85">
        <f t="shared" ca="1" si="149"/>
        <v>265.87403528949358</v>
      </c>
      <c r="AW76" s="85">
        <f t="shared" ca="1" si="150"/>
        <v>253.31815741644806</v>
      </c>
      <c r="AX76" s="85">
        <f t="shared" ca="1" si="151"/>
        <v>294.66377937360221</v>
      </c>
      <c r="AY76" s="85">
        <f t="shared" ca="1" si="152"/>
        <v>277.27253195018761</v>
      </c>
      <c r="AZ76" s="85">
        <f t="shared" ca="1" si="153"/>
        <v>241.91607618454137</v>
      </c>
      <c r="BA76" s="85">
        <f t="shared" ca="1" si="154"/>
        <v>267.24005707001794</v>
      </c>
      <c r="BB76" s="85">
        <f t="shared" ca="1" si="155"/>
        <v>244.55846659808392</v>
      </c>
      <c r="BC76" s="85">
        <f t="shared" ca="1" si="156"/>
        <v>258.93102075632947</v>
      </c>
      <c r="BD76" s="85">
        <f t="shared" ca="1" si="157"/>
        <v>260.27102300013377</v>
      </c>
      <c r="BE76" s="85">
        <f t="shared" ca="1" si="158"/>
        <v>243.11207721369124</v>
      </c>
      <c r="BF76" s="85">
        <f t="shared" ca="1" si="159"/>
        <v>269.91264789266808</v>
      </c>
      <c r="BG76" s="85">
        <f t="shared" ca="1" si="160"/>
        <v>228.29002302841303</v>
      </c>
      <c r="BH76" s="85">
        <f t="shared" ca="1" si="161"/>
        <v>255.56666373737644</v>
      </c>
      <c r="BI76" s="85">
        <f t="shared" ca="1" si="162"/>
        <v>251.60904600115572</v>
      </c>
      <c r="BJ76" s="85">
        <f t="shared" ca="1" si="163"/>
        <v>280.0717692348129</v>
      </c>
      <c r="BK76" s="85">
        <f t="shared" ca="1" si="164"/>
        <v>261.05830620925349</v>
      </c>
      <c r="BL76" s="85">
        <f t="shared" ca="1" si="165"/>
        <v>254.79014137868242</v>
      </c>
      <c r="BM76" s="85">
        <f t="shared" ca="1" si="166"/>
        <v>230.73410825898333</v>
      </c>
      <c r="BN76" s="85">
        <f t="shared" ca="1" si="103"/>
        <v>264.30779612834692</v>
      </c>
      <c r="BO76" s="85">
        <f t="shared" ref="BO76:BO139" ca="1" si="192">BO75*EXP(($C$259-0.5*$C$260^2)+$C$260*_xlfn.NORM.INV(RAND(),0,1))</f>
        <v>288.10236873635324</v>
      </c>
      <c r="BP76" s="85">
        <f t="shared" ref="BP76:BP139" ca="1" si="193">BP75*EXP(($C$259-0.5*$C$260^2)+$C$260*_xlfn.NORM.INV(RAND(),0,1))</f>
        <v>232.14207910921331</v>
      </c>
      <c r="BQ76" s="85">
        <f t="shared" ref="BQ76:BQ139" ca="1" si="194">BQ75*EXP(($C$259-0.5*$C$260^2)+$C$260*_xlfn.NORM.INV(RAND(),0,1))</f>
        <v>250.95857438917449</v>
      </c>
      <c r="BR76" s="85">
        <f t="shared" ref="BR76:BR139" ca="1" si="195">BR75*EXP(($C$259-0.5*$C$260^2)+$C$260*_xlfn.NORM.INV(RAND(),0,1))</f>
        <v>239.30164655069282</v>
      </c>
      <c r="BS76" s="85">
        <f t="shared" ref="BS76:BS139" ca="1" si="196">BS75*EXP(($C$259-0.5*$C$260^2)+$C$260*_xlfn.NORM.INV(RAND(),0,1))</f>
        <v>257.13174697382181</v>
      </c>
      <c r="BT76" s="85">
        <f t="shared" ref="BT76:BT139" ca="1" si="197">BT75*EXP(($C$259-0.5*$C$260^2)+$C$260*_xlfn.NORM.INV(RAND(),0,1))</f>
        <v>269.08691201944748</v>
      </c>
      <c r="BU76" s="85">
        <f t="shared" ref="BU76:BU139" ca="1" si="198">BU75*EXP(($C$259-0.5*$C$260^2)+$C$260*_xlfn.NORM.INV(RAND(),0,1))</f>
        <v>273.93207967815738</v>
      </c>
      <c r="BV76" s="85">
        <f t="shared" ref="BV76:BV139" ca="1" si="199">BV75*EXP(($C$259-0.5*$C$260^2)+$C$260*_xlfn.NORM.INV(RAND(),0,1))</f>
        <v>263.48837954288473</v>
      </c>
      <c r="BW76" s="85">
        <f t="shared" ref="BW76:BW139" ca="1" si="200">BW75*EXP(($C$259-0.5*$C$260^2)+$C$260*_xlfn.NORM.INV(RAND(),0,1))</f>
        <v>265.54424372972096</v>
      </c>
      <c r="BX76" s="85">
        <f t="shared" ref="BX76:BX139" ca="1" si="201">BX75*EXP(($C$259-0.5*$C$260^2)+$C$260*_xlfn.NORM.INV(RAND(),0,1))</f>
        <v>258.18543770600724</v>
      </c>
      <c r="BY76" s="85">
        <f t="shared" ca="1" si="167"/>
        <v>256.00791981702321</v>
      </c>
      <c r="BZ76" s="85">
        <f t="shared" ca="1" si="168"/>
        <v>264.12237597530736</v>
      </c>
      <c r="CA76" s="85">
        <f t="shared" ca="1" si="169"/>
        <v>250.61729769206119</v>
      </c>
      <c r="CB76" s="85">
        <f t="shared" ca="1" si="170"/>
        <v>250.24766045520616</v>
      </c>
      <c r="CC76" s="85">
        <f t="shared" ca="1" si="171"/>
        <v>261.7070077822915</v>
      </c>
      <c r="CD76" s="85">
        <f t="shared" ca="1" si="172"/>
        <v>280.18192861372268</v>
      </c>
      <c r="CE76" s="85">
        <f t="shared" ca="1" si="173"/>
        <v>241.65185843675476</v>
      </c>
      <c r="CF76" s="85">
        <f t="shared" ca="1" si="174"/>
        <v>276.70874533144132</v>
      </c>
      <c r="CG76" s="85">
        <f t="shared" ca="1" si="175"/>
        <v>243.59535489603115</v>
      </c>
      <c r="CH76" s="85">
        <f t="shared" ca="1" si="176"/>
        <v>270.89951636978799</v>
      </c>
      <c r="CI76" s="85">
        <f t="shared" ca="1" si="177"/>
        <v>266.09672818143639</v>
      </c>
      <c r="CJ76" s="85">
        <f t="shared" ca="1" si="178"/>
        <v>241.62265277916438</v>
      </c>
      <c r="CK76" s="85">
        <f t="shared" ca="1" si="179"/>
        <v>248.96665783441935</v>
      </c>
      <c r="CL76" s="85">
        <f t="shared" ca="1" si="180"/>
        <v>239.58926217450593</v>
      </c>
      <c r="CM76" s="85">
        <f t="shared" ca="1" si="181"/>
        <v>265.94185749375208</v>
      </c>
      <c r="CN76" s="85">
        <f t="shared" ca="1" si="182"/>
        <v>251.03822283620693</v>
      </c>
      <c r="CO76" s="85">
        <f t="shared" ca="1" si="183"/>
        <v>244.71131011099251</v>
      </c>
      <c r="CP76" s="85">
        <f t="shared" ca="1" si="184"/>
        <v>297.6070867697531</v>
      </c>
      <c r="CQ76" s="85">
        <f t="shared" ca="1" si="185"/>
        <v>267.70088015738816</v>
      </c>
      <c r="CR76" s="85">
        <f t="shared" ca="1" si="186"/>
        <v>269.25529375820355</v>
      </c>
      <c r="CS76" s="85">
        <f t="shared" ca="1" si="187"/>
        <v>243.0799535378662</v>
      </c>
      <c r="CT76" s="85">
        <f t="shared" ca="1" si="188"/>
        <v>263.48322173713069</v>
      </c>
      <c r="CU76" s="85">
        <f t="shared" ca="1" si="189"/>
        <v>289.04420310509983</v>
      </c>
      <c r="CV76" s="85">
        <f t="shared" ca="1" si="190"/>
        <v>244.27575377347182</v>
      </c>
      <c r="CW76" s="85">
        <f t="shared" ca="1" si="191"/>
        <v>252.53457685759534</v>
      </c>
    </row>
    <row r="77" spans="1:101" x14ac:dyDescent="0.2">
      <c r="A77" s="115">
        <v>74</v>
      </c>
      <c r="B77" s="85">
        <f t="shared" ca="1" si="102"/>
        <v>248.34284132355722</v>
      </c>
      <c r="C77" s="85">
        <f t="shared" ca="1" si="104"/>
        <v>247.52794468476895</v>
      </c>
      <c r="D77" s="85">
        <f t="shared" ca="1" si="105"/>
        <v>265.12870484978737</v>
      </c>
      <c r="E77" s="85">
        <f t="shared" ca="1" si="106"/>
        <v>244.52799334235189</v>
      </c>
      <c r="F77" s="85">
        <f t="shared" ca="1" si="107"/>
        <v>249.6177336053486</v>
      </c>
      <c r="G77" s="85">
        <f t="shared" ca="1" si="108"/>
        <v>255.29367994283632</v>
      </c>
      <c r="H77" s="85">
        <f t="shared" ca="1" si="109"/>
        <v>259.3873006949313</v>
      </c>
      <c r="I77" s="85">
        <f t="shared" ca="1" si="110"/>
        <v>256.23584980812927</v>
      </c>
      <c r="J77" s="85">
        <f t="shared" ca="1" si="111"/>
        <v>260.29991814129664</v>
      </c>
      <c r="K77" s="85">
        <f t="shared" ca="1" si="112"/>
        <v>243.62535570726669</v>
      </c>
      <c r="L77" s="85">
        <f t="shared" ca="1" si="113"/>
        <v>277.94966007765487</v>
      </c>
      <c r="M77" s="85">
        <f t="shared" ca="1" si="114"/>
        <v>239.89007850760228</v>
      </c>
      <c r="N77" s="85">
        <f t="shared" ca="1" si="115"/>
        <v>253.58743433713107</v>
      </c>
      <c r="O77" s="85">
        <f t="shared" ca="1" si="116"/>
        <v>247.44226687918868</v>
      </c>
      <c r="P77" s="85">
        <f t="shared" ca="1" si="117"/>
        <v>256.32391407667319</v>
      </c>
      <c r="Q77" s="85">
        <f t="shared" ca="1" si="118"/>
        <v>258.78610998469384</v>
      </c>
      <c r="R77" s="85">
        <f t="shared" ca="1" si="119"/>
        <v>244.34320094412345</v>
      </c>
      <c r="S77" s="85">
        <f t="shared" ca="1" si="120"/>
        <v>269.60903143448866</v>
      </c>
      <c r="T77" s="85">
        <f t="shared" ca="1" si="121"/>
        <v>266.57782881043073</v>
      </c>
      <c r="U77" s="85">
        <f t="shared" ca="1" si="122"/>
        <v>221.59552310798784</v>
      </c>
      <c r="V77" s="85">
        <f t="shared" ca="1" si="123"/>
        <v>281.35440777995399</v>
      </c>
      <c r="W77" s="85">
        <f t="shared" ca="1" si="124"/>
        <v>260.83071494253392</v>
      </c>
      <c r="X77" s="85">
        <f t="shared" ca="1" si="125"/>
        <v>261.3443387320944</v>
      </c>
      <c r="Y77" s="85">
        <f t="shared" ca="1" si="126"/>
        <v>242.83648834465811</v>
      </c>
      <c r="Z77" s="85">
        <f t="shared" ca="1" si="127"/>
        <v>246.98624196290348</v>
      </c>
      <c r="AA77" s="85">
        <f t="shared" ca="1" si="128"/>
        <v>243.03506823411891</v>
      </c>
      <c r="AB77" s="85">
        <f t="shared" ca="1" si="129"/>
        <v>276.45231861557238</v>
      </c>
      <c r="AC77" s="85">
        <f t="shared" ca="1" si="130"/>
        <v>251.59851174866506</v>
      </c>
      <c r="AD77" s="85">
        <f t="shared" ca="1" si="131"/>
        <v>275.72032493474973</v>
      </c>
      <c r="AE77" s="85">
        <f t="shared" ca="1" si="132"/>
        <v>303.72808363054185</v>
      </c>
      <c r="AF77" s="85">
        <f t="shared" ca="1" si="133"/>
        <v>255.53744412129043</v>
      </c>
      <c r="AG77" s="85">
        <f t="shared" ca="1" si="134"/>
        <v>259.76958475366001</v>
      </c>
      <c r="AH77" s="85">
        <f t="shared" ca="1" si="135"/>
        <v>253.44698797142539</v>
      </c>
      <c r="AI77" s="85">
        <f t="shared" ca="1" si="136"/>
        <v>267.11653884206396</v>
      </c>
      <c r="AJ77" s="85">
        <f t="shared" ca="1" si="137"/>
        <v>281.42813665149731</v>
      </c>
      <c r="AK77" s="85">
        <f t="shared" ca="1" si="138"/>
        <v>257.57648389537803</v>
      </c>
      <c r="AL77" s="85">
        <f t="shared" ca="1" si="139"/>
        <v>273.54033571959468</v>
      </c>
      <c r="AM77" s="85">
        <f t="shared" ca="1" si="140"/>
        <v>245.09721149853416</v>
      </c>
      <c r="AN77" s="85">
        <f t="shared" ca="1" si="141"/>
        <v>259.34069620909378</v>
      </c>
      <c r="AO77" s="85">
        <f t="shared" ca="1" si="142"/>
        <v>261.30338692880002</v>
      </c>
      <c r="AP77" s="85">
        <f t="shared" ca="1" si="143"/>
        <v>275.77301537716824</v>
      </c>
      <c r="AQ77" s="85">
        <f t="shared" ca="1" si="144"/>
        <v>246.74481083094463</v>
      </c>
      <c r="AR77" s="85">
        <f t="shared" ca="1" si="145"/>
        <v>248.23919506133049</v>
      </c>
      <c r="AS77" s="85">
        <f t="shared" ca="1" si="146"/>
        <v>246.56449864291562</v>
      </c>
      <c r="AT77" s="85">
        <f t="shared" ca="1" si="147"/>
        <v>286.9976454958998</v>
      </c>
      <c r="AU77" s="85">
        <f t="shared" ca="1" si="148"/>
        <v>267.47839047543641</v>
      </c>
      <c r="AV77" s="85">
        <f t="shared" ca="1" si="149"/>
        <v>272.02684545053853</v>
      </c>
      <c r="AW77" s="85">
        <f t="shared" ca="1" si="150"/>
        <v>258.8348924970976</v>
      </c>
      <c r="AX77" s="85">
        <f t="shared" ca="1" si="151"/>
        <v>295.34193581838525</v>
      </c>
      <c r="AY77" s="85">
        <f t="shared" ca="1" si="152"/>
        <v>282.88550709424783</v>
      </c>
      <c r="AZ77" s="85">
        <f t="shared" ca="1" si="153"/>
        <v>242.94726698821853</v>
      </c>
      <c r="BA77" s="85">
        <f t="shared" ca="1" si="154"/>
        <v>272.04028110331734</v>
      </c>
      <c r="BB77" s="85">
        <f t="shared" ca="1" si="155"/>
        <v>246.1620826535661</v>
      </c>
      <c r="BC77" s="85">
        <f t="shared" ca="1" si="156"/>
        <v>260.97224638048908</v>
      </c>
      <c r="BD77" s="85">
        <f t="shared" ca="1" si="157"/>
        <v>264.5529394090899</v>
      </c>
      <c r="BE77" s="85">
        <f t="shared" ca="1" si="158"/>
        <v>249.27680848943038</v>
      </c>
      <c r="BF77" s="85">
        <f t="shared" ca="1" si="159"/>
        <v>271.6663832614056</v>
      </c>
      <c r="BG77" s="85">
        <f t="shared" ca="1" si="160"/>
        <v>231.67434632084164</v>
      </c>
      <c r="BH77" s="85">
        <f t="shared" ca="1" si="161"/>
        <v>256.86619738335236</v>
      </c>
      <c r="BI77" s="85">
        <f t="shared" ca="1" si="162"/>
        <v>257.46036214966398</v>
      </c>
      <c r="BJ77" s="85">
        <f t="shared" ca="1" si="163"/>
        <v>282.32257355929755</v>
      </c>
      <c r="BK77" s="85">
        <f t="shared" ca="1" si="164"/>
        <v>266.16865180158999</v>
      </c>
      <c r="BL77" s="85">
        <f t="shared" ca="1" si="165"/>
        <v>258.96669326600818</v>
      </c>
      <c r="BM77" s="85">
        <f t="shared" ca="1" si="166"/>
        <v>231.35416149328861</v>
      </c>
      <c r="BN77" s="85">
        <f t="shared" ca="1" si="103"/>
        <v>269.53375622096178</v>
      </c>
      <c r="BO77" s="85">
        <f t="shared" ca="1" si="192"/>
        <v>291.84062783686426</v>
      </c>
      <c r="BP77" s="85">
        <f t="shared" ca="1" si="193"/>
        <v>237.15670544224622</v>
      </c>
      <c r="BQ77" s="85">
        <f t="shared" ca="1" si="194"/>
        <v>255.09627504698005</v>
      </c>
      <c r="BR77" s="85">
        <f t="shared" ca="1" si="195"/>
        <v>243.46210310113486</v>
      </c>
      <c r="BS77" s="85">
        <f t="shared" ca="1" si="196"/>
        <v>257.98089254378237</v>
      </c>
      <c r="BT77" s="85">
        <f t="shared" ca="1" si="197"/>
        <v>274.25802074855955</v>
      </c>
      <c r="BU77" s="85">
        <f t="shared" ca="1" si="198"/>
        <v>276.63044146113157</v>
      </c>
      <c r="BV77" s="85">
        <f t="shared" ca="1" si="199"/>
        <v>264.84012978463949</v>
      </c>
      <c r="BW77" s="85">
        <f t="shared" ca="1" si="200"/>
        <v>268.84778213063379</v>
      </c>
      <c r="BX77" s="85">
        <f t="shared" ca="1" si="201"/>
        <v>262.27132425058062</v>
      </c>
      <c r="BY77" s="85">
        <f t="shared" ca="1" si="167"/>
        <v>261.39072556966403</v>
      </c>
      <c r="BZ77" s="85">
        <f t="shared" ca="1" si="168"/>
        <v>269.3457010184456</v>
      </c>
      <c r="CA77" s="85">
        <f t="shared" ca="1" si="169"/>
        <v>253.55346349304671</v>
      </c>
      <c r="CB77" s="85">
        <f t="shared" ca="1" si="170"/>
        <v>252.91121615226817</v>
      </c>
      <c r="CC77" s="85">
        <f t="shared" ca="1" si="171"/>
        <v>266.6636571954067</v>
      </c>
      <c r="CD77" s="85">
        <f t="shared" ca="1" si="172"/>
        <v>283.82711627237546</v>
      </c>
      <c r="CE77" s="85">
        <f t="shared" ca="1" si="173"/>
        <v>243.66794503046353</v>
      </c>
      <c r="CF77" s="85">
        <f t="shared" ca="1" si="174"/>
        <v>282.6749861873069</v>
      </c>
      <c r="CG77" s="85">
        <f t="shared" ca="1" si="175"/>
        <v>247.08404408837029</v>
      </c>
      <c r="CH77" s="85">
        <f t="shared" ca="1" si="176"/>
        <v>275.77749839125124</v>
      </c>
      <c r="CI77" s="85">
        <f t="shared" ca="1" si="177"/>
        <v>269.96701926386135</v>
      </c>
      <c r="CJ77" s="85">
        <f t="shared" ca="1" si="178"/>
        <v>243.35102378489782</v>
      </c>
      <c r="CK77" s="85">
        <f t="shared" ca="1" si="179"/>
        <v>252.10442414974824</v>
      </c>
      <c r="CL77" s="85">
        <f t="shared" ca="1" si="180"/>
        <v>243.16729948257154</v>
      </c>
      <c r="CM77" s="85">
        <f t="shared" ca="1" si="181"/>
        <v>267.44524618824511</v>
      </c>
      <c r="CN77" s="85">
        <f t="shared" ca="1" si="182"/>
        <v>252.08430344407174</v>
      </c>
      <c r="CO77" s="85">
        <f t="shared" ca="1" si="183"/>
        <v>247.55291161659295</v>
      </c>
      <c r="CP77" s="85">
        <f t="shared" ca="1" si="184"/>
        <v>302.11189671690192</v>
      </c>
      <c r="CQ77" s="85">
        <f t="shared" ca="1" si="185"/>
        <v>268.06639991202803</v>
      </c>
      <c r="CR77" s="85">
        <f t="shared" ca="1" si="186"/>
        <v>274.41811197895515</v>
      </c>
      <c r="CS77" s="85">
        <f t="shared" ca="1" si="187"/>
        <v>247.33157276316163</v>
      </c>
      <c r="CT77" s="85">
        <f t="shared" ca="1" si="188"/>
        <v>266.44147126291466</v>
      </c>
      <c r="CU77" s="85">
        <f t="shared" ca="1" si="189"/>
        <v>296.27426285435564</v>
      </c>
      <c r="CV77" s="85">
        <f t="shared" ca="1" si="190"/>
        <v>244.41833220710649</v>
      </c>
      <c r="CW77" s="85">
        <f t="shared" ca="1" si="191"/>
        <v>253.9180018637162</v>
      </c>
    </row>
    <row r="78" spans="1:101" x14ac:dyDescent="0.2">
      <c r="A78" s="115">
        <v>75</v>
      </c>
      <c r="B78" s="85">
        <f t="shared" ca="1" si="102"/>
        <v>251.13192551779346</v>
      </c>
      <c r="C78" s="85">
        <f t="shared" ca="1" si="104"/>
        <v>250.03127168378572</v>
      </c>
      <c r="D78" s="85">
        <f t="shared" ca="1" si="105"/>
        <v>265.48044127726826</v>
      </c>
      <c r="E78" s="85">
        <f t="shared" ca="1" si="106"/>
        <v>246.98908505797627</v>
      </c>
      <c r="F78" s="85">
        <f t="shared" ca="1" si="107"/>
        <v>254.54281342355833</v>
      </c>
      <c r="G78" s="85">
        <f t="shared" ca="1" si="108"/>
        <v>258.56772109609517</v>
      </c>
      <c r="H78" s="85">
        <f t="shared" ca="1" si="109"/>
        <v>264.17565237827097</v>
      </c>
      <c r="I78" s="85">
        <f t="shared" ca="1" si="110"/>
        <v>257.34250166227133</v>
      </c>
      <c r="J78" s="85">
        <f t="shared" ca="1" si="111"/>
        <v>263.94700374128382</v>
      </c>
      <c r="K78" s="85">
        <f t="shared" ca="1" si="112"/>
        <v>244.80738063689543</v>
      </c>
      <c r="L78" s="85">
        <f t="shared" ca="1" si="113"/>
        <v>281.85563559215785</v>
      </c>
      <c r="M78" s="85">
        <f t="shared" ca="1" si="114"/>
        <v>242.25561274153219</v>
      </c>
      <c r="N78" s="85">
        <f t="shared" ca="1" si="115"/>
        <v>255.50447019907693</v>
      </c>
      <c r="O78" s="85">
        <f t="shared" ca="1" si="116"/>
        <v>250.54692266127563</v>
      </c>
      <c r="P78" s="85">
        <f t="shared" ca="1" si="117"/>
        <v>263.43348830497797</v>
      </c>
      <c r="Q78" s="85">
        <f t="shared" ca="1" si="118"/>
        <v>261.6164262411117</v>
      </c>
      <c r="R78" s="85">
        <f t="shared" ca="1" si="119"/>
        <v>247.84103125139615</v>
      </c>
      <c r="S78" s="85">
        <f t="shared" ca="1" si="120"/>
        <v>271.69830271514735</v>
      </c>
      <c r="T78" s="85">
        <f t="shared" ca="1" si="121"/>
        <v>271.94515203456035</v>
      </c>
      <c r="U78" s="85">
        <f t="shared" ca="1" si="122"/>
        <v>224.19325533797678</v>
      </c>
      <c r="V78" s="85">
        <f t="shared" ca="1" si="123"/>
        <v>283.47027457382967</v>
      </c>
      <c r="W78" s="85">
        <f t="shared" ca="1" si="124"/>
        <v>264.95848403304007</v>
      </c>
      <c r="X78" s="85">
        <f t="shared" ca="1" si="125"/>
        <v>264.74531312498806</v>
      </c>
      <c r="Y78" s="85">
        <f t="shared" ca="1" si="126"/>
        <v>244.61814369760197</v>
      </c>
      <c r="Z78" s="85">
        <f t="shared" ca="1" si="127"/>
        <v>249.67627676080107</v>
      </c>
      <c r="AA78" s="85">
        <f t="shared" ca="1" si="128"/>
        <v>247.8867351520941</v>
      </c>
      <c r="AB78" s="85">
        <f t="shared" ca="1" si="129"/>
        <v>283.33042847770497</v>
      </c>
      <c r="AC78" s="85">
        <f t="shared" ca="1" si="130"/>
        <v>256.35867431213802</v>
      </c>
      <c r="AD78" s="85">
        <f t="shared" ca="1" si="131"/>
        <v>281.51128531762072</v>
      </c>
      <c r="AE78" s="85">
        <f t="shared" ca="1" si="132"/>
        <v>309.28025415226369</v>
      </c>
      <c r="AF78" s="85">
        <f t="shared" ca="1" si="133"/>
        <v>258.09406716939327</v>
      </c>
      <c r="AG78" s="85">
        <f t="shared" ca="1" si="134"/>
        <v>263.53989729610959</v>
      </c>
      <c r="AH78" s="85">
        <f t="shared" ca="1" si="135"/>
        <v>254.46394528021193</v>
      </c>
      <c r="AI78" s="85">
        <f t="shared" ca="1" si="136"/>
        <v>272.15829752622039</v>
      </c>
      <c r="AJ78" s="85">
        <f t="shared" ca="1" si="137"/>
        <v>286.14890849624118</v>
      </c>
      <c r="AK78" s="85">
        <f t="shared" ca="1" si="138"/>
        <v>263.90427119911453</v>
      </c>
      <c r="AL78" s="85">
        <f t="shared" ca="1" si="139"/>
        <v>278.18629231712515</v>
      </c>
      <c r="AM78" s="85">
        <f t="shared" ca="1" si="140"/>
        <v>250.15082116812192</v>
      </c>
      <c r="AN78" s="85">
        <f t="shared" ca="1" si="141"/>
        <v>267.91480362327025</v>
      </c>
      <c r="AO78" s="85">
        <f t="shared" ca="1" si="142"/>
        <v>266.88134764181837</v>
      </c>
      <c r="AP78" s="85">
        <f t="shared" ca="1" si="143"/>
        <v>277.31372489062528</v>
      </c>
      <c r="AQ78" s="85">
        <f t="shared" ca="1" si="144"/>
        <v>245.04190857259255</v>
      </c>
      <c r="AR78" s="85">
        <f t="shared" ca="1" si="145"/>
        <v>251.62914498204307</v>
      </c>
      <c r="AS78" s="85">
        <f t="shared" ca="1" si="146"/>
        <v>248.74229194180785</v>
      </c>
      <c r="AT78" s="85">
        <f t="shared" ca="1" si="147"/>
        <v>293.93007446103883</v>
      </c>
      <c r="AU78" s="85">
        <f t="shared" ca="1" si="148"/>
        <v>273.57755934066665</v>
      </c>
      <c r="AV78" s="85">
        <f t="shared" ca="1" si="149"/>
        <v>275.89528703639138</v>
      </c>
      <c r="AW78" s="85">
        <f t="shared" ca="1" si="150"/>
        <v>262.36861123047635</v>
      </c>
      <c r="AX78" s="85">
        <f t="shared" ca="1" si="151"/>
        <v>300.33876512458892</v>
      </c>
      <c r="AY78" s="85">
        <f t="shared" ca="1" si="152"/>
        <v>286.05449336478966</v>
      </c>
      <c r="AZ78" s="85">
        <f t="shared" ca="1" si="153"/>
        <v>247.50644090293915</v>
      </c>
      <c r="BA78" s="85">
        <f t="shared" ca="1" si="154"/>
        <v>274.09210521763094</v>
      </c>
      <c r="BB78" s="85">
        <f t="shared" ca="1" si="155"/>
        <v>248.5833342208019</v>
      </c>
      <c r="BC78" s="85">
        <f t="shared" ca="1" si="156"/>
        <v>266.1056390530257</v>
      </c>
      <c r="BD78" s="85">
        <f t="shared" ca="1" si="157"/>
        <v>269.85574106702836</v>
      </c>
      <c r="BE78" s="85">
        <f t="shared" ca="1" si="158"/>
        <v>252.81951373664347</v>
      </c>
      <c r="BF78" s="85">
        <f t="shared" ca="1" si="159"/>
        <v>275.05993044023285</v>
      </c>
      <c r="BG78" s="85">
        <f t="shared" ca="1" si="160"/>
        <v>235.41095854427175</v>
      </c>
      <c r="BH78" s="85">
        <f t="shared" ca="1" si="161"/>
        <v>262.51065718960672</v>
      </c>
      <c r="BI78" s="85">
        <f t="shared" ca="1" si="162"/>
        <v>260.47625131143548</v>
      </c>
      <c r="BJ78" s="85">
        <f t="shared" ca="1" si="163"/>
        <v>287.8696327337363</v>
      </c>
      <c r="BK78" s="85">
        <f t="shared" ca="1" si="164"/>
        <v>271.29285836330666</v>
      </c>
      <c r="BL78" s="85">
        <f t="shared" ca="1" si="165"/>
        <v>261.76385855604451</v>
      </c>
      <c r="BM78" s="85">
        <f t="shared" ca="1" si="166"/>
        <v>232.5579766886797</v>
      </c>
      <c r="BN78" s="85">
        <f t="shared" ca="1" si="103"/>
        <v>274.03512071077864</v>
      </c>
      <c r="BO78" s="85">
        <f t="shared" ca="1" si="192"/>
        <v>294.25364632593539</v>
      </c>
      <c r="BP78" s="85">
        <f t="shared" ca="1" si="193"/>
        <v>240.05771225766523</v>
      </c>
      <c r="BQ78" s="85">
        <f t="shared" ca="1" si="194"/>
        <v>257.69220969986912</v>
      </c>
      <c r="BR78" s="85">
        <f t="shared" ca="1" si="195"/>
        <v>247.314439959346</v>
      </c>
      <c r="BS78" s="85">
        <f t="shared" ca="1" si="196"/>
        <v>258.29823973651747</v>
      </c>
      <c r="BT78" s="85">
        <f t="shared" ca="1" si="197"/>
        <v>281.20272612175341</v>
      </c>
      <c r="BU78" s="85">
        <f t="shared" ca="1" si="198"/>
        <v>281.83948777140535</v>
      </c>
      <c r="BV78" s="85">
        <f t="shared" ca="1" si="199"/>
        <v>268.99301939524133</v>
      </c>
      <c r="BW78" s="85">
        <f t="shared" ca="1" si="200"/>
        <v>271.59062118505801</v>
      </c>
      <c r="BX78" s="85">
        <f t="shared" ca="1" si="201"/>
        <v>266.00718222959699</v>
      </c>
      <c r="BY78" s="85">
        <f t="shared" ca="1" si="167"/>
        <v>263.47885744625216</v>
      </c>
      <c r="BZ78" s="85">
        <f t="shared" ca="1" si="168"/>
        <v>271.88553028990748</v>
      </c>
      <c r="CA78" s="85">
        <f t="shared" ca="1" si="169"/>
        <v>256.13522798813176</v>
      </c>
      <c r="CB78" s="85">
        <f t="shared" ca="1" si="170"/>
        <v>254.72842275703658</v>
      </c>
      <c r="CC78" s="85">
        <f t="shared" ca="1" si="171"/>
        <v>269.48281532171075</v>
      </c>
      <c r="CD78" s="85">
        <f t="shared" ca="1" si="172"/>
        <v>288.30252185591263</v>
      </c>
      <c r="CE78" s="85">
        <f t="shared" ca="1" si="173"/>
        <v>247.55530277048308</v>
      </c>
      <c r="CF78" s="85">
        <f t="shared" ca="1" si="174"/>
        <v>282.17727720536067</v>
      </c>
      <c r="CG78" s="85">
        <f t="shared" ca="1" si="175"/>
        <v>252.21876318006008</v>
      </c>
      <c r="CH78" s="85">
        <f t="shared" ca="1" si="176"/>
        <v>278.545593779375</v>
      </c>
      <c r="CI78" s="85">
        <f t="shared" ca="1" si="177"/>
        <v>273.66613763932929</v>
      </c>
      <c r="CJ78" s="85">
        <f t="shared" ca="1" si="178"/>
        <v>246.49937407828747</v>
      </c>
      <c r="CK78" s="85">
        <f t="shared" ca="1" si="179"/>
        <v>255.25484067464578</v>
      </c>
      <c r="CL78" s="85">
        <f t="shared" ca="1" si="180"/>
        <v>246.41028276275765</v>
      </c>
      <c r="CM78" s="85">
        <f t="shared" ca="1" si="181"/>
        <v>272.10041274152644</v>
      </c>
      <c r="CN78" s="85">
        <f t="shared" ca="1" si="182"/>
        <v>257.62957265956112</v>
      </c>
      <c r="CO78" s="85">
        <f t="shared" ca="1" si="183"/>
        <v>252.27808914240214</v>
      </c>
      <c r="CP78" s="85">
        <f t="shared" ca="1" si="184"/>
        <v>306.44320562087802</v>
      </c>
      <c r="CQ78" s="85">
        <f t="shared" ca="1" si="185"/>
        <v>272.14471724026458</v>
      </c>
      <c r="CR78" s="85">
        <f t="shared" ca="1" si="186"/>
        <v>279.45275954919896</v>
      </c>
      <c r="CS78" s="85">
        <f t="shared" ca="1" si="187"/>
        <v>247.1134047508678</v>
      </c>
      <c r="CT78" s="85">
        <f t="shared" ca="1" si="188"/>
        <v>273.76929057571766</v>
      </c>
      <c r="CU78" s="85">
        <f t="shared" ca="1" si="189"/>
        <v>300.95785650081763</v>
      </c>
      <c r="CV78" s="85">
        <f t="shared" ca="1" si="190"/>
        <v>248.2425559046074</v>
      </c>
      <c r="CW78" s="85">
        <f t="shared" ca="1" si="191"/>
        <v>255.27068926838825</v>
      </c>
    </row>
    <row r="79" spans="1:101" x14ac:dyDescent="0.2">
      <c r="A79" s="115">
        <v>76</v>
      </c>
      <c r="B79" s="85">
        <f t="shared" ca="1" si="102"/>
        <v>255.43735867542711</v>
      </c>
      <c r="C79" s="85">
        <f t="shared" ca="1" si="104"/>
        <v>257.15239518398647</v>
      </c>
      <c r="D79" s="85">
        <f t="shared" ca="1" si="105"/>
        <v>268.15624354605137</v>
      </c>
      <c r="E79" s="85">
        <f t="shared" ca="1" si="106"/>
        <v>248.68259519953986</v>
      </c>
      <c r="F79" s="85">
        <f t="shared" ca="1" si="107"/>
        <v>256.91115150519994</v>
      </c>
      <c r="G79" s="85">
        <f t="shared" ca="1" si="108"/>
        <v>262.09129273335833</v>
      </c>
      <c r="H79" s="85">
        <f t="shared" ca="1" si="109"/>
        <v>268.01906286854859</v>
      </c>
      <c r="I79" s="85">
        <f t="shared" ca="1" si="110"/>
        <v>262.06948249803241</v>
      </c>
      <c r="J79" s="85">
        <f t="shared" ca="1" si="111"/>
        <v>268.43184665853107</v>
      </c>
      <c r="K79" s="85">
        <f t="shared" ca="1" si="112"/>
        <v>249.83554272944809</v>
      </c>
      <c r="L79" s="85">
        <f t="shared" ca="1" si="113"/>
        <v>286.13271766614065</v>
      </c>
      <c r="M79" s="85">
        <f t="shared" ca="1" si="114"/>
        <v>244.18038493102847</v>
      </c>
      <c r="N79" s="85">
        <f t="shared" ca="1" si="115"/>
        <v>259.88119095265773</v>
      </c>
      <c r="O79" s="85">
        <f t="shared" ca="1" si="116"/>
        <v>255.83310662670851</v>
      </c>
      <c r="P79" s="85">
        <f t="shared" ca="1" si="117"/>
        <v>266.7520496363486</v>
      </c>
      <c r="Q79" s="85">
        <f t="shared" ca="1" si="118"/>
        <v>263.6317817984683</v>
      </c>
      <c r="R79" s="85">
        <f t="shared" ca="1" si="119"/>
        <v>253.40388985656872</v>
      </c>
      <c r="S79" s="85">
        <f t="shared" ca="1" si="120"/>
        <v>276.70962312109089</v>
      </c>
      <c r="T79" s="85">
        <f t="shared" ca="1" si="121"/>
        <v>273.174541967614</v>
      </c>
      <c r="U79" s="85">
        <f t="shared" ca="1" si="122"/>
        <v>225.69415774960484</v>
      </c>
      <c r="V79" s="85">
        <f t="shared" ca="1" si="123"/>
        <v>285.12545759721587</v>
      </c>
      <c r="W79" s="85">
        <f t="shared" ca="1" si="124"/>
        <v>269.44671370453585</v>
      </c>
      <c r="X79" s="85">
        <f t="shared" ca="1" si="125"/>
        <v>269.28971013315231</v>
      </c>
      <c r="Y79" s="85">
        <f t="shared" ca="1" si="126"/>
        <v>250.38019392923033</v>
      </c>
      <c r="Z79" s="85">
        <f t="shared" ca="1" si="127"/>
        <v>253.75512867233948</v>
      </c>
      <c r="AA79" s="85">
        <f t="shared" ca="1" si="128"/>
        <v>254.30255433121567</v>
      </c>
      <c r="AB79" s="85">
        <f t="shared" ca="1" si="129"/>
        <v>288.35679120021683</v>
      </c>
      <c r="AC79" s="85">
        <f t="shared" ca="1" si="130"/>
        <v>256.63260067502733</v>
      </c>
      <c r="AD79" s="85">
        <f t="shared" ca="1" si="131"/>
        <v>284.73586108270825</v>
      </c>
      <c r="AE79" s="85">
        <f t="shared" ca="1" si="132"/>
        <v>310.92056346187894</v>
      </c>
      <c r="AF79" s="85">
        <f t="shared" ca="1" si="133"/>
        <v>259.39446988952676</v>
      </c>
      <c r="AG79" s="85">
        <f t="shared" ca="1" si="134"/>
        <v>266.21138065805542</v>
      </c>
      <c r="AH79" s="85">
        <f t="shared" ca="1" si="135"/>
        <v>255.44131357133227</v>
      </c>
      <c r="AI79" s="85">
        <f t="shared" ca="1" si="136"/>
        <v>274.90189399933826</v>
      </c>
      <c r="AJ79" s="85">
        <f t="shared" ca="1" si="137"/>
        <v>289.31752800708563</v>
      </c>
      <c r="AK79" s="85">
        <f t="shared" ca="1" si="138"/>
        <v>270.68849185025209</v>
      </c>
      <c r="AL79" s="85">
        <f t="shared" ca="1" si="139"/>
        <v>279.76129413826021</v>
      </c>
      <c r="AM79" s="85">
        <f t="shared" ca="1" si="140"/>
        <v>255.86967073587761</v>
      </c>
      <c r="AN79" s="85">
        <f t="shared" ca="1" si="141"/>
        <v>272.11672815970007</v>
      </c>
      <c r="AO79" s="85">
        <f t="shared" ca="1" si="142"/>
        <v>271.22268163311173</v>
      </c>
      <c r="AP79" s="85">
        <f t="shared" ca="1" si="143"/>
        <v>281.66587340991236</v>
      </c>
      <c r="AQ79" s="85">
        <f t="shared" ca="1" si="144"/>
        <v>247.74076877140794</v>
      </c>
      <c r="AR79" s="85">
        <f t="shared" ca="1" si="145"/>
        <v>256.09057151436906</v>
      </c>
      <c r="AS79" s="85">
        <f t="shared" ca="1" si="146"/>
        <v>252.45329315444823</v>
      </c>
      <c r="AT79" s="85">
        <f t="shared" ca="1" si="147"/>
        <v>299.96966431089106</v>
      </c>
      <c r="AU79" s="85">
        <f t="shared" ca="1" si="148"/>
        <v>278.08299186905583</v>
      </c>
      <c r="AV79" s="85">
        <f t="shared" ca="1" si="149"/>
        <v>282.60146782390558</v>
      </c>
      <c r="AW79" s="85">
        <f t="shared" ca="1" si="150"/>
        <v>261.80513813742209</v>
      </c>
      <c r="AX79" s="85">
        <f t="shared" ca="1" si="151"/>
        <v>307.10626543972927</v>
      </c>
      <c r="AY79" s="85">
        <f t="shared" ca="1" si="152"/>
        <v>295.77897972641233</v>
      </c>
      <c r="AZ79" s="85">
        <f t="shared" ca="1" si="153"/>
        <v>252.19413329299746</v>
      </c>
      <c r="BA79" s="85">
        <f t="shared" ca="1" si="154"/>
        <v>274.70691808877615</v>
      </c>
      <c r="BB79" s="85">
        <f t="shared" ca="1" si="155"/>
        <v>253.04683936079721</v>
      </c>
      <c r="BC79" s="85">
        <f t="shared" ca="1" si="156"/>
        <v>270.45882476213211</v>
      </c>
      <c r="BD79" s="85">
        <f t="shared" ca="1" si="157"/>
        <v>275.55201632451286</v>
      </c>
      <c r="BE79" s="85">
        <f t="shared" ca="1" si="158"/>
        <v>254.87354753943313</v>
      </c>
      <c r="BF79" s="85">
        <f t="shared" ca="1" si="159"/>
        <v>278.55591597434551</v>
      </c>
      <c r="BG79" s="85">
        <f t="shared" ca="1" si="160"/>
        <v>237.32298358567735</v>
      </c>
      <c r="BH79" s="85">
        <f t="shared" ca="1" si="161"/>
        <v>264.51292217508137</v>
      </c>
      <c r="BI79" s="85">
        <f t="shared" ca="1" si="162"/>
        <v>262.84002857366266</v>
      </c>
      <c r="BJ79" s="85">
        <f t="shared" ca="1" si="163"/>
        <v>290.88009452003519</v>
      </c>
      <c r="BK79" s="85">
        <f t="shared" ca="1" si="164"/>
        <v>274.54163981005968</v>
      </c>
      <c r="BL79" s="85">
        <f t="shared" ca="1" si="165"/>
        <v>264.09011958232134</v>
      </c>
      <c r="BM79" s="85">
        <f t="shared" ca="1" si="166"/>
        <v>236.93581043046251</v>
      </c>
      <c r="BN79" s="85">
        <f t="shared" ca="1" si="103"/>
        <v>279.9098937715151</v>
      </c>
      <c r="BO79" s="85">
        <f t="shared" ca="1" si="192"/>
        <v>300.97369487485298</v>
      </c>
      <c r="BP79" s="85">
        <f t="shared" ca="1" si="193"/>
        <v>242.68586255789205</v>
      </c>
      <c r="BQ79" s="85">
        <f t="shared" ca="1" si="194"/>
        <v>259.25014505310071</v>
      </c>
      <c r="BR79" s="85">
        <f t="shared" ca="1" si="195"/>
        <v>248.46581746367485</v>
      </c>
      <c r="BS79" s="85">
        <f t="shared" ca="1" si="196"/>
        <v>262.39386247864297</v>
      </c>
      <c r="BT79" s="85">
        <f t="shared" ca="1" si="197"/>
        <v>286.93172932349796</v>
      </c>
      <c r="BU79" s="85">
        <f t="shared" ca="1" si="198"/>
        <v>287.33978569785313</v>
      </c>
      <c r="BV79" s="85">
        <f t="shared" ca="1" si="199"/>
        <v>271.70839726161245</v>
      </c>
      <c r="BW79" s="85">
        <f t="shared" ca="1" si="200"/>
        <v>277.74829564619375</v>
      </c>
      <c r="BX79" s="85">
        <f t="shared" ca="1" si="201"/>
        <v>269.4587335907994</v>
      </c>
      <c r="BY79" s="85">
        <f t="shared" ca="1" si="167"/>
        <v>267.04543812192259</v>
      </c>
      <c r="BZ79" s="85">
        <f t="shared" ca="1" si="168"/>
        <v>275.70609169512767</v>
      </c>
      <c r="CA79" s="85">
        <f t="shared" ca="1" si="169"/>
        <v>258.34383237518944</v>
      </c>
      <c r="CB79" s="85">
        <f t="shared" ca="1" si="170"/>
        <v>256.8545721849099</v>
      </c>
      <c r="CC79" s="85">
        <f t="shared" ca="1" si="171"/>
        <v>271.88188435483727</v>
      </c>
      <c r="CD79" s="85">
        <f t="shared" ca="1" si="172"/>
        <v>291.74847362175461</v>
      </c>
      <c r="CE79" s="85">
        <f t="shared" ca="1" si="173"/>
        <v>249.45347442830709</v>
      </c>
      <c r="CF79" s="85">
        <f t="shared" ca="1" si="174"/>
        <v>289.40880358399778</v>
      </c>
      <c r="CG79" s="85">
        <f t="shared" ca="1" si="175"/>
        <v>255.66301439388732</v>
      </c>
      <c r="CH79" s="85">
        <f t="shared" ca="1" si="176"/>
        <v>284.24152202600862</v>
      </c>
      <c r="CI79" s="85">
        <f t="shared" ca="1" si="177"/>
        <v>277.89692364665751</v>
      </c>
      <c r="CJ79" s="85">
        <f t="shared" ca="1" si="178"/>
        <v>248.16384544138819</v>
      </c>
      <c r="CK79" s="85">
        <f t="shared" ca="1" si="179"/>
        <v>260.58450300747933</v>
      </c>
      <c r="CL79" s="85">
        <f t="shared" ca="1" si="180"/>
        <v>248.60505128131666</v>
      </c>
      <c r="CM79" s="85">
        <f t="shared" ca="1" si="181"/>
        <v>275.69513135484601</v>
      </c>
      <c r="CN79" s="85">
        <f t="shared" ca="1" si="182"/>
        <v>260.39202349629647</v>
      </c>
      <c r="CO79" s="85">
        <f t="shared" ca="1" si="183"/>
        <v>255.72536021774644</v>
      </c>
      <c r="CP79" s="85">
        <f t="shared" ca="1" si="184"/>
        <v>305.92250664234285</v>
      </c>
      <c r="CQ79" s="85">
        <f t="shared" ca="1" si="185"/>
        <v>274.49045121024699</v>
      </c>
      <c r="CR79" s="85">
        <f t="shared" ca="1" si="186"/>
        <v>280.10360746041573</v>
      </c>
      <c r="CS79" s="85">
        <f t="shared" ca="1" si="187"/>
        <v>249.17644565831654</v>
      </c>
      <c r="CT79" s="85">
        <f t="shared" ca="1" si="188"/>
        <v>277.90593591835949</v>
      </c>
      <c r="CU79" s="85">
        <f t="shared" ca="1" si="189"/>
        <v>306.18293163866207</v>
      </c>
      <c r="CV79" s="85">
        <f t="shared" ca="1" si="190"/>
        <v>251.86669542305202</v>
      </c>
      <c r="CW79" s="85">
        <f t="shared" ca="1" si="191"/>
        <v>254.29255611307323</v>
      </c>
    </row>
    <row r="80" spans="1:101" x14ac:dyDescent="0.2">
      <c r="A80" s="115">
        <v>77</v>
      </c>
      <c r="B80" s="85">
        <f t="shared" ca="1" si="102"/>
        <v>258.80685928051207</v>
      </c>
      <c r="C80" s="85">
        <f t="shared" ca="1" si="104"/>
        <v>259.46747173785468</v>
      </c>
      <c r="D80" s="85">
        <f t="shared" ca="1" si="105"/>
        <v>269.73748858463046</v>
      </c>
      <c r="E80" s="85">
        <f t="shared" ca="1" si="106"/>
        <v>253.94244346439623</v>
      </c>
      <c r="F80" s="85">
        <f t="shared" ca="1" si="107"/>
        <v>258.70779721860924</v>
      </c>
      <c r="G80" s="85">
        <f t="shared" ca="1" si="108"/>
        <v>267.49156720542794</v>
      </c>
      <c r="H80" s="85">
        <f t="shared" ca="1" si="109"/>
        <v>271.53994696448785</v>
      </c>
      <c r="I80" s="85">
        <f t="shared" ca="1" si="110"/>
        <v>268.91944536468304</v>
      </c>
      <c r="J80" s="85">
        <f t="shared" ca="1" si="111"/>
        <v>269.44537293528026</v>
      </c>
      <c r="K80" s="85">
        <f t="shared" ca="1" si="112"/>
        <v>254.75147705242915</v>
      </c>
      <c r="L80" s="85">
        <f t="shared" ca="1" si="113"/>
        <v>290.85644269061231</v>
      </c>
      <c r="M80" s="85">
        <f t="shared" ca="1" si="114"/>
        <v>246.14825994371805</v>
      </c>
      <c r="N80" s="85">
        <f t="shared" ca="1" si="115"/>
        <v>264.52077438167032</v>
      </c>
      <c r="O80" s="85">
        <f t="shared" ca="1" si="116"/>
        <v>259.92925824818064</v>
      </c>
      <c r="P80" s="85">
        <f t="shared" ca="1" si="117"/>
        <v>271.54710684791678</v>
      </c>
      <c r="Q80" s="85">
        <f t="shared" ca="1" si="118"/>
        <v>265.20589503872617</v>
      </c>
      <c r="R80" s="85">
        <f t="shared" ca="1" si="119"/>
        <v>255.52902312456629</v>
      </c>
      <c r="S80" s="85">
        <f t="shared" ca="1" si="120"/>
        <v>279.22766208740785</v>
      </c>
      <c r="T80" s="85">
        <f t="shared" ca="1" si="121"/>
        <v>276.47101385797532</v>
      </c>
      <c r="U80" s="85">
        <f t="shared" ca="1" si="122"/>
        <v>226.83769931124672</v>
      </c>
      <c r="V80" s="85">
        <f t="shared" ca="1" si="123"/>
        <v>287.47516149317192</v>
      </c>
      <c r="W80" s="85">
        <f t="shared" ca="1" si="124"/>
        <v>271.33427707793089</v>
      </c>
      <c r="X80" s="85">
        <f t="shared" ca="1" si="125"/>
        <v>271.73170962105934</v>
      </c>
      <c r="Y80" s="85">
        <f t="shared" ca="1" si="126"/>
        <v>250.51183857671347</v>
      </c>
      <c r="Z80" s="85">
        <f t="shared" ca="1" si="127"/>
        <v>259.47780818172839</v>
      </c>
      <c r="AA80" s="85">
        <f t="shared" ca="1" si="128"/>
        <v>256.27961792436861</v>
      </c>
      <c r="AB80" s="85">
        <f t="shared" ca="1" si="129"/>
        <v>290.84034527779551</v>
      </c>
      <c r="AC80" s="85">
        <f t="shared" ca="1" si="130"/>
        <v>261.95902404676275</v>
      </c>
      <c r="AD80" s="85">
        <f t="shared" ca="1" si="131"/>
        <v>290.12853259507278</v>
      </c>
      <c r="AE80" s="85">
        <f t="shared" ca="1" si="132"/>
        <v>318.28096519204473</v>
      </c>
      <c r="AF80" s="85">
        <f t="shared" ca="1" si="133"/>
        <v>262.91573738721917</v>
      </c>
      <c r="AG80" s="85">
        <f t="shared" ca="1" si="134"/>
        <v>266.07354619587966</v>
      </c>
      <c r="AH80" s="85">
        <f t="shared" ca="1" si="135"/>
        <v>258.40706728597604</v>
      </c>
      <c r="AI80" s="85">
        <f t="shared" ca="1" si="136"/>
        <v>281.66388154723319</v>
      </c>
      <c r="AJ80" s="85">
        <f t="shared" ca="1" si="137"/>
        <v>296.09605450279355</v>
      </c>
      <c r="AK80" s="85">
        <f t="shared" ca="1" si="138"/>
        <v>271.60494480654432</v>
      </c>
      <c r="AL80" s="85">
        <f t="shared" ca="1" si="139"/>
        <v>284.33812607531593</v>
      </c>
      <c r="AM80" s="85">
        <f t="shared" ca="1" si="140"/>
        <v>260.44998721282229</v>
      </c>
      <c r="AN80" s="85">
        <f t="shared" ca="1" si="141"/>
        <v>277.74189036514673</v>
      </c>
      <c r="AO80" s="85">
        <f t="shared" ca="1" si="142"/>
        <v>273.80704752053163</v>
      </c>
      <c r="AP80" s="85">
        <f t="shared" ca="1" si="143"/>
        <v>286.22124719502574</v>
      </c>
      <c r="AQ80" s="85">
        <f t="shared" ca="1" si="144"/>
        <v>251.74242323053787</v>
      </c>
      <c r="AR80" s="85">
        <f t="shared" ca="1" si="145"/>
        <v>258.69734206388887</v>
      </c>
      <c r="AS80" s="85">
        <f t="shared" ca="1" si="146"/>
        <v>254.08717966434469</v>
      </c>
      <c r="AT80" s="85">
        <f t="shared" ca="1" si="147"/>
        <v>302.69819289497246</v>
      </c>
      <c r="AU80" s="85">
        <f t="shared" ca="1" si="148"/>
        <v>280.92874603732133</v>
      </c>
      <c r="AV80" s="85">
        <f t="shared" ca="1" si="149"/>
        <v>286.01920610188358</v>
      </c>
      <c r="AW80" s="85">
        <f t="shared" ca="1" si="150"/>
        <v>263.55337438062014</v>
      </c>
      <c r="AX80" s="85">
        <f t="shared" ca="1" si="151"/>
        <v>313.54042323084815</v>
      </c>
      <c r="AY80" s="85">
        <f t="shared" ca="1" si="152"/>
        <v>303.04661768304823</v>
      </c>
      <c r="AZ80" s="85">
        <f t="shared" ca="1" si="153"/>
        <v>257.21345085447467</v>
      </c>
      <c r="BA80" s="85">
        <f t="shared" ca="1" si="154"/>
        <v>279.87568923740912</v>
      </c>
      <c r="BB80" s="85">
        <f t="shared" ca="1" si="155"/>
        <v>256.08433717132601</v>
      </c>
      <c r="BC80" s="85">
        <f t="shared" ca="1" si="156"/>
        <v>272.3458561258891</v>
      </c>
      <c r="BD80" s="85">
        <f t="shared" ca="1" si="157"/>
        <v>278.36813189305491</v>
      </c>
      <c r="BE80" s="85">
        <f t="shared" ca="1" si="158"/>
        <v>257.3720405146571</v>
      </c>
      <c r="BF80" s="85">
        <f t="shared" ca="1" si="159"/>
        <v>283.19720740867098</v>
      </c>
      <c r="BG80" s="85">
        <f t="shared" ca="1" si="160"/>
        <v>243.75037048679829</v>
      </c>
      <c r="BH80" s="85">
        <f t="shared" ca="1" si="161"/>
        <v>267.586830346093</v>
      </c>
      <c r="BI80" s="85">
        <f t="shared" ca="1" si="162"/>
        <v>264.23465407748739</v>
      </c>
      <c r="BJ80" s="85">
        <f t="shared" ca="1" si="163"/>
        <v>292.95279711547079</v>
      </c>
      <c r="BK80" s="85">
        <f t="shared" ca="1" si="164"/>
        <v>276.00874710570793</v>
      </c>
      <c r="BL80" s="85">
        <f t="shared" ca="1" si="165"/>
        <v>269.35936698575102</v>
      </c>
      <c r="BM80" s="85">
        <f t="shared" ca="1" si="166"/>
        <v>238.81804389702813</v>
      </c>
      <c r="BN80" s="85">
        <f t="shared" ca="1" si="103"/>
        <v>280.12647560829265</v>
      </c>
      <c r="BO80" s="85">
        <f t="shared" ca="1" si="192"/>
        <v>304.86691442480145</v>
      </c>
      <c r="BP80" s="85">
        <f t="shared" ca="1" si="193"/>
        <v>245.67414594908558</v>
      </c>
      <c r="BQ80" s="85">
        <f t="shared" ca="1" si="194"/>
        <v>263.13467540176822</v>
      </c>
      <c r="BR80" s="85">
        <f t="shared" ca="1" si="195"/>
        <v>253.81542211290693</v>
      </c>
      <c r="BS80" s="85">
        <f t="shared" ca="1" si="196"/>
        <v>264.37964198386311</v>
      </c>
      <c r="BT80" s="85">
        <f t="shared" ca="1" si="197"/>
        <v>293.98686507552861</v>
      </c>
      <c r="BU80" s="85">
        <f t="shared" ca="1" si="198"/>
        <v>290.58575093844809</v>
      </c>
      <c r="BV80" s="85">
        <f t="shared" ca="1" si="199"/>
        <v>275.1248688690668</v>
      </c>
      <c r="BW80" s="85">
        <f t="shared" ca="1" si="200"/>
        <v>278.86559482259429</v>
      </c>
      <c r="BX80" s="85">
        <f t="shared" ca="1" si="201"/>
        <v>270.57718359909808</v>
      </c>
      <c r="BY80" s="85">
        <f t="shared" ca="1" si="167"/>
        <v>271.91247994877131</v>
      </c>
      <c r="BZ80" s="85">
        <f t="shared" ca="1" si="168"/>
        <v>281.92579467034824</v>
      </c>
      <c r="CA80" s="85">
        <f t="shared" ca="1" si="169"/>
        <v>260.80962746135788</v>
      </c>
      <c r="CB80" s="85">
        <f t="shared" ca="1" si="170"/>
        <v>259.60124465934206</v>
      </c>
      <c r="CC80" s="85">
        <f t="shared" ca="1" si="171"/>
        <v>274.11000029076939</v>
      </c>
      <c r="CD80" s="85">
        <f t="shared" ca="1" si="172"/>
        <v>296.09275308270924</v>
      </c>
      <c r="CE80" s="85">
        <f t="shared" ca="1" si="173"/>
        <v>250.0238197349365</v>
      </c>
      <c r="CF80" s="85">
        <f t="shared" ca="1" si="174"/>
        <v>295.92548744883516</v>
      </c>
      <c r="CG80" s="85">
        <f t="shared" ca="1" si="175"/>
        <v>259.28977739400023</v>
      </c>
      <c r="CH80" s="85">
        <f t="shared" ca="1" si="176"/>
        <v>288.1125901958236</v>
      </c>
      <c r="CI80" s="85">
        <f t="shared" ca="1" si="177"/>
        <v>279.98473049065103</v>
      </c>
      <c r="CJ80" s="85">
        <f t="shared" ca="1" si="178"/>
        <v>252.63550764769889</v>
      </c>
      <c r="CK80" s="85">
        <f t="shared" ca="1" si="179"/>
        <v>263.02171415048252</v>
      </c>
      <c r="CL80" s="85">
        <f t="shared" ca="1" si="180"/>
        <v>253.10450139042814</v>
      </c>
      <c r="CM80" s="85">
        <f t="shared" ca="1" si="181"/>
        <v>278.78285353623698</v>
      </c>
      <c r="CN80" s="85">
        <f t="shared" ca="1" si="182"/>
        <v>262.76836857331915</v>
      </c>
      <c r="CO80" s="85">
        <f t="shared" ca="1" si="183"/>
        <v>260.64469983611042</v>
      </c>
      <c r="CP80" s="85">
        <f t="shared" ca="1" si="184"/>
        <v>312.67547002190753</v>
      </c>
      <c r="CQ80" s="85">
        <f t="shared" ca="1" si="185"/>
        <v>279.00086016134605</v>
      </c>
      <c r="CR80" s="85">
        <f t="shared" ca="1" si="186"/>
        <v>288.10920571174404</v>
      </c>
      <c r="CS80" s="85">
        <f t="shared" ca="1" si="187"/>
        <v>251.48536978789974</v>
      </c>
      <c r="CT80" s="85">
        <f t="shared" ca="1" si="188"/>
        <v>279.60356139315866</v>
      </c>
      <c r="CU80" s="85">
        <f t="shared" ca="1" si="189"/>
        <v>308.80534271705204</v>
      </c>
      <c r="CV80" s="85">
        <f t="shared" ca="1" si="190"/>
        <v>255.19274532132559</v>
      </c>
      <c r="CW80" s="85">
        <f t="shared" ca="1" si="191"/>
        <v>255.59839313369918</v>
      </c>
    </row>
    <row r="81" spans="1:101" x14ac:dyDescent="0.2">
      <c r="A81" s="115">
        <v>78</v>
      </c>
      <c r="B81" s="85">
        <f t="shared" ca="1" si="102"/>
        <v>263.72664740642512</v>
      </c>
      <c r="C81" s="85">
        <f t="shared" ca="1" si="104"/>
        <v>262.41986524922731</v>
      </c>
      <c r="D81" s="85">
        <f t="shared" ca="1" si="105"/>
        <v>272.24944656179815</v>
      </c>
      <c r="E81" s="85">
        <f t="shared" ca="1" si="106"/>
        <v>254.48660948282421</v>
      </c>
      <c r="F81" s="85">
        <f t="shared" ca="1" si="107"/>
        <v>261.39815252275469</v>
      </c>
      <c r="G81" s="85">
        <f t="shared" ca="1" si="108"/>
        <v>271.55664678703522</v>
      </c>
      <c r="H81" s="85">
        <f t="shared" ca="1" si="109"/>
        <v>276.62584165406076</v>
      </c>
      <c r="I81" s="85">
        <f t="shared" ca="1" si="110"/>
        <v>275.968308879836</v>
      </c>
      <c r="J81" s="85">
        <f t="shared" ca="1" si="111"/>
        <v>270.00572328247983</v>
      </c>
      <c r="K81" s="85">
        <f t="shared" ca="1" si="112"/>
        <v>260.13094270794369</v>
      </c>
      <c r="L81" s="85">
        <f t="shared" ca="1" si="113"/>
        <v>296.37948401102551</v>
      </c>
      <c r="M81" s="85">
        <f t="shared" ca="1" si="114"/>
        <v>248.39954821751292</v>
      </c>
      <c r="N81" s="85">
        <f t="shared" ca="1" si="115"/>
        <v>264.98344999987535</v>
      </c>
      <c r="O81" s="85">
        <f t="shared" ca="1" si="116"/>
        <v>261.78737067564941</v>
      </c>
      <c r="P81" s="85">
        <f t="shared" ca="1" si="117"/>
        <v>276.1218634532612</v>
      </c>
      <c r="Q81" s="85">
        <f t="shared" ca="1" si="118"/>
        <v>271.78929503195997</v>
      </c>
      <c r="R81" s="85">
        <f t="shared" ca="1" si="119"/>
        <v>259.11431723440279</v>
      </c>
      <c r="S81" s="85">
        <f t="shared" ca="1" si="120"/>
        <v>284.25560962390205</v>
      </c>
      <c r="T81" s="85">
        <f t="shared" ca="1" si="121"/>
        <v>274.83173492425669</v>
      </c>
      <c r="U81" s="85">
        <f t="shared" ca="1" si="122"/>
        <v>230.7168346925921</v>
      </c>
      <c r="V81" s="85">
        <f t="shared" ca="1" si="123"/>
        <v>292.5451562044496</v>
      </c>
      <c r="W81" s="85">
        <f t="shared" ca="1" si="124"/>
        <v>276.05670540829209</v>
      </c>
      <c r="X81" s="85">
        <f t="shared" ca="1" si="125"/>
        <v>273.71648166199992</v>
      </c>
      <c r="Y81" s="85">
        <f t="shared" ca="1" si="126"/>
        <v>251.24743089677051</v>
      </c>
      <c r="Z81" s="85">
        <f t="shared" ca="1" si="127"/>
        <v>259.16806182036652</v>
      </c>
      <c r="AA81" s="85">
        <f t="shared" ca="1" si="128"/>
        <v>260.72174480648846</v>
      </c>
      <c r="AB81" s="85">
        <f t="shared" ca="1" si="129"/>
        <v>297.12544486721237</v>
      </c>
      <c r="AC81" s="85">
        <f t="shared" ca="1" si="130"/>
        <v>262.14107201972513</v>
      </c>
      <c r="AD81" s="85">
        <f t="shared" ca="1" si="131"/>
        <v>296.61186825949977</v>
      </c>
      <c r="AE81" s="85">
        <f t="shared" ca="1" si="132"/>
        <v>324.48064271531359</v>
      </c>
      <c r="AF81" s="85">
        <f t="shared" ca="1" si="133"/>
        <v>265.73571151843913</v>
      </c>
      <c r="AG81" s="85">
        <f t="shared" ca="1" si="134"/>
        <v>270.17473641650207</v>
      </c>
      <c r="AH81" s="85">
        <f t="shared" ca="1" si="135"/>
        <v>260.58973601362317</v>
      </c>
      <c r="AI81" s="85">
        <f t="shared" ca="1" si="136"/>
        <v>284.31417816652231</v>
      </c>
      <c r="AJ81" s="85">
        <f t="shared" ca="1" si="137"/>
        <v>302.89732039762794</v>
      </c>
      <c r="AK81" s="85">
        <f t="shared" ca="1" si="138"/>
        <v>278.36523012723819</v>
      </c>
      <c r="AL81" s="85">
        <f t="shared" ca="1" si="139"/>
        <v>291.29490056766957</v>
      </c>
      <c r="AM81" s="85">
        <f t="shared" ca="1" si="140"/>
        <v>263.54541251664676</v>
      </c>
      <c r="AN81" s="85">
        <f t="shared" ca="1" si="141"/>
        <v>282.82030060727288</v>
      </c>
      <c r="AO81" s="85">
        <f t="shared" ca="1" si="142"/>
        <v>274.7228219720472</v>
      </c>
      <c r="AP81" s="85">
        <f t="shared" ca="1" si="143"/>
        <v>292.02767888288571</v>
      </c>
      <c r="AQ81" s="85">
        <f t="shared" ca="1" si="144"/>
        <v>255.2784295285999</v>
      </c>
      <c r="AR81" s="85">
        <f t="shared" ca="1" si="145"/>
        <v>262.68382052064294</v>
      </c>
      <c r="AS81" s="85">
        <f t="shared" ca="1" si="146"/>
        <v>256.07007725566905</v>
      </c>
      <c r="AT81" s="85">
        <f t="shared" ca="1" si="147"/>
        <v>309.09383474905275</v>
      </c>
      <c r="AU81" s="85">
        <f t="shared" ca="1" si="148"/>
        <v>287.08288583357631</v>
      </c>
      <c r="AV81" s="85">
        <f t="shared" ca="1" si="149"/>
        <v>289.03497427801489</v>
      </c>
      <c r="AW81" s="85">
        <f t="shared" ca="1" si="150"/>
        <v>267.23334762301442</v>
      </c>
      <c r="AX81" s="85">
        <f t="shared" ca="1" si="151"/>
        <v>318.73507084854054</v>
      </c>
      <c r="AY81" s="85">
        <f t="shared" ca="1" si="152"/>
        <v>309.54203805299159</v>
      </c>
      <c r="AZ81" s="85">
        <f t="shared" ca="1" si="153"/>
        <v>260.55933350855923</v>
      </c>
      <c r="BA81" s="85">
        <f t="shared" ca="1" si="154"/>
        <v>286.71083228333111</v>
      </c>
      <c r="BB81" s="85">
        <f t="shared" ca="1" si="155"/>
        <v>259.3234077393314</v>
      </c>
      <c r="BC81" s="85">
        <f t="shared" ca="1" si="156"/>
        <v>278.87370450189246</v>
      </c>
      <c r="BD81" s="85">
        <f t="shared" ca="1" si="157"/>
        <v>287.75079634964254</v>
      </c>
      <c r="BE81" s="85">
        <f t="shared" ca="1" si="158"/>
        <v>260.57609438123006</v>
      </c>
      <c r="BF81" s="85">
        <f t="shared" ca="1" si="159"/>
        <v>288.29628914481191</v>
      </c>
      <c r="BG81" s="85">
        <f t="shared" ca="1" si="160"/>
        <v>246.30480262050315</v>
      </c>
      <c r="BH81" s="85">
        <f t="shared" ca="1" si="161"/>
        <v>270.98502916205979</v>
      </c>
      <c r="BI81" s="85">
        <f t="shared" ca="1" si="162"/>
        <v>264.21175311849544</v>
      </c>
      <c r="BJ81" s="85">
        <f t="shared" ca="1" si="163"/>
        <v>299.45546632338215</v>
      </c>
      <c r="BK81" s="85">
        <f t="shared" ca="1" si="164"/>
        <v>279.34405822008438</v>
      </c>
      <c r="BL81" s="85">
        <f t="shared" ca="1" si="165"/>
        <v>269.9220571303938</v>
      </c>
      <c r="BM81" s="85">
        <f t="shared" ca="1" si="166"/>
        <v>243.48850160872459</v>
      </c>
      <c r="BN81" s="85">
        <f t="shared" ca="1" si="103"/>
        <v>284.16459275451922</v>
      </c>
      <c r="BO81" s="85">
        <f t="shared" ca="1" si="192"/>
        <v>306.94601645588369</v>
      </c>
      <c r="BP81" s="85">
        <f t="shared" ca="1" si="193"/>
        <v>247.11120500172089</v>
      </c>
      <c r="BQ81" s="85">
        <f t="shared" ca="1" si="194"/>
        <v>263.80302122505111</v>
      </c>
      <c r="BR81" s="85">
        <f t="shared" ca="1" si="195"/>
        <v>253.92625990614624</v>
      </c>
      <c r="BS81" s="85">
        <f t="shared" ca="1" si="196"/>
        <v>267.54502105195371</v>
      </c>
      <c r="BT81" s="85">
        <f t="shared" ca="1" si="197"/>
        <v>299.79785730336607</v>
      </c>
      <c r="BU81" s="85">
        <f t="shared" ca="1" si="198"/>
        <v>295.91170211237221</v>
      </c>
      <c r="BV81" s="85">
        <f t="shared" ca="1" si="199"/>
        <v>274.82875792849984</v>
      </c>
      <c r="BW81" s="85">
        <f t="shared" ca="1" si="200"/>
        <v>284.05617447601281</v>
      </c>
      <c r="BX81" s="85">
        <f t="shared" ca="1" si="201"/>
        <v>271.93409168434783</v>
      </c>
      <c r="BY81" s="85">
        <f t="shared" ca="1" si="167"/>
        <v>278.11359097486462</v>
      </c>
      <c r="BZ81" s="85">
        <f t="shared" ca="1" si="168"/>
        <v>284.95545944206941</v>
      </c>
      <c r="CA81" s="85">
        <f t="shared" ca="1" si="169"/>
        <v>263.56648109720618</v>
      </c>
      <c r="CB81" s="85">
        <f t="shared" ca="1" si="170"/>
        <v>263.4195490525999</v>
      </c>
      <c r="CC81" s="85">
        <f t="shared" ca="1" si="171"/>
        <v>278.00758812678299</v>
      </c>
      <c r="CD81" s="85">
        <f t="shared" ca="1" si="172"/>
        <v>302.18131569916306</v>
      </c>
      <c r="CE81" s="85">
        <f t="shared" ca="1" si="173"/>
        <v>251.88383141042718</v>
      </c>
      <c r="CF81" s="85">
        <f t="shared" ca="1" si="174"/>
        <v>302.13462761247661</v>
      </c>
      <c r="CG81" s="85">
        <f t="shared" ca="1" si="175"/>
        <v>262.15463059679894</v>
      </c>
      <c r="CH81" s="85">
        <f t="shared" ca="1" si="176"/>
        <v>290.8364299866405</v>
      </c>
      <c r="CI81" s="85">
        <f t="shared" ca="1" si="177"/>
        <v>282.8686124433209</v>
      </c>
      <c r="CJ81" s="85">
        <f t="shared" ca="1" si="178"/>
        <v>255.02281066184293</v>
      </c>
      <c r="CK81" s="85">
        <f t="shared" ca="1" si="179"/>
        <v>265.41803641706753</v>
      </c>
      <c r="CL81" s="85">
        <f t="shared" ca="1" si="180"/>
        <v>256.95108318614177</v>
      </c>
      <c r="CM81" s="85">
        <f t="shared" ca="1" si="181"/>
        <v>281.7469151773106</v>
      </c>
      <c r="CN81" s="85">
        <f t="shared" ca="1" si="182"/>
        <v>268.77591890513537</v>
      </c>
      <c r="CO81" s="85">
        <f t="shared" ca="1" si="183"/>
        <v>264.51783388756979</v>
      </c>
      <c r="CP81" s="85">
        <f t="shared" ca="1" si="184"/>
        <v>317.53862104505032</v>
      </c>
      <c r="CQ81" s="85">
        <f t="shared" ca="1" si="185"/>
        <v>283.85934700648534</v>
      </c>
      <c r="CR81" s="85">
        <f t="shared" ca="1" si="186"/>
        <v>291.74259529042513</v>
      </c>
      <c r="CS81" s="85">
        <f t="shared" ca="1" si="187"/>
        <v>252.7798913674971</v>
      </c>
      <c r="CT81" s="85">
        <f t="shared" ca="1" si="188"/>
        <v>280.80064108382317</v>
      </c>
      <c r="CU81" s="85">
        <f t="shared" ca="1" si="189"/>
        <v>316.55262239291591</v>
      </c>
      <c r="CV81" s="85">
        <f t="shared" ca="1" si="190"/>
        <v>257.45718323880425</v>
      </c>
      <c r="CW81" s="85">
        <f t="shared" ca="1" si="191"/>
        <v>258.27210100087552</v>
      </c>
    </row>
    <row r="82" spans="1:101" x14ac:dyDescent="0.2">
      <c r="A82" s="115">
        <v>79</v>
      </c>
      <c r="B82" s="85">
        <f t="shared" ca="1" si="102"/>
        <v>267.64012115047325</v>
      </c>
      <c r="C82" s="85">
        <f t="shared" ca="1" si="104"/>
        <v>264.72382912838884</v>
      </c>
      <c r="D82" s="85">
        <f t="shared" ca="1" si="105"/>
        <v>275.46446100852069</v>
      </c>
      <c r="E82" s="85">
        <f t="shared" ca="1" si="106"/>
        <v>259.4986748818261</v>
      </c>
      <c r="F82" s="85">
        <f t="shared" ca="1" si="107"/>
        <v>266.60065092457427</v>
      </c>
      <c r="G82" s="85">
        <f t="shared" ca="1" si="108"/>
        <v>274.0559610500265</v>
      </c>
      <c r="H82" s="85">
        <f t="shared" ca="1" si="109"/>
        <v>280.44475711184987</v>
      </c>
      <c r="I82" s="85">
        <f t="shared" ca="1" si="110"/>
        <v>278.79671744637807</v>
      </c>
      <c r="J82" s="85">
        <f t="shared" ca="1" si="111"/>
        <v>272.4699487242396</v>
      </c>
      <c r="K82" s="85">
        <f t="shared" ca="1" si="112"/>
        <v>264.59048764277168</v>
      </c>
      <c r="L82" s="85">
        <f t="shared" ca="1" si="113"/>
        <v>299.85282618416466</v>
      </c>
      <c r="M82" s="85">
        <f t="shared" ca="1" si="114"/>
        <v>252.10253508201771</v>
      </c>
      <c r="N82" s="85">
        <f t="shared" ca="1" si="115"/>
        <v>269.05393221159829</v>
      </c>
      <c r="O82" s="85">
        <f t="shared" ca="1" si="116"/>
        <v>266.31605202538094</v>
      </c>
      <c r="P82" s="85">
        <f t="shared" ca="1" si="117"/>
        <v>278.78403205148766</v>
      </c>
      <c r="Q82" s="85">
        <f t="shared" ca="1" si="118"/>
        <v>279.1446251567142</v>
      </c>
      <c r="R82" s="85">
        <f t="shared" ca="1" si="119"/>
        <v>260.44000123314106</v>
      </c>
      <c r="S82" s="85">
        <f t="shared" ca="1" si="120"/>
        <v>287.79130876579217</v>
      </c>
      <c r="T82" s="85">
        <f t="shared" ca="1" si="121"/>
        <v>279.3929722125867</v>
      </c>
      <c r="U82" s="85">
        <f t="shared" ca="1" si="122"/>
        <v>233.76066031009685</v>
      </c>
      <c r="V82" s="85">
        <f t="shared" ca="1" si="123"/>
        <v>299.67367836683559</v>
      </c>
      <c r="W82" s="85">
        <f t="shared" ca="1" si="124"/>
        <v>282.31286429823228</v>
      </c>
      <c r="X82" s="85">
        <f t="shared" ca="1" si="125"/>
        <v>276.30757572540119</v>
      </c>
      <c r="Y82" s="85">
        <f t="shared" ca="1" si="126"/>
        <v>255.34094514534843</v>
      </c>
      <c r="Z82" s="85">
        <f t="shared" ca="1" si="127"/>
        <v>260.27456354968683</v>
      </c>
      <c r="AA82" s="85">
        <f t="shared" ca="1" si="128"/>
        <v>261.86748647000292</v>
      </c>
      <c r="AB82" s="85">
        <f t="shared" ca="1" si="129"/>
        <v>300.24265415119646</v>
      </c>
      <c r="AC82" s="85">
        <f t="shared" ca="1" si="130"/>
        <v>265.3658582019242</v>
      </c>
      <c r="AD82" s="85">
        <f t="shared" ca="1" si="131"/>
        <v>303.72453378386615</v>
      </c>
      <c r="AE82" s="85">
        <f t="shared" ca="1" si="132"/>
        <v>325.23934622925651</v>
      </c>
      <c r="AF82" s="85">
        <f t="shared" ca="1" si="133"/>
        <v>268.4483230827156</v>
      </c>
      <c r="AG82" s="85">
        <f t="shared" ca="1" si="134"/>
        <v>274.65190713792941</v>
      </c>
      <c r="AH82" s="85">
        <f t="shared" ca="1" si="135"/>
        <v>263.56721797996897</v>
      </c>
      <c r="AI82" s="85">
        <f t="shared" ca="1" si="136"/>
        <v>286.54604452344182</v>
      </c>
      <c r="AJ82" s="85">
        <f t="shared" ca="1" si="137"/>
        <v>308.97398832713446</v>
      </c>
      <c r="AK82" s="85">
        <f t="shared" ca="1" si="138"/>
        <v>286.84081074621258</v>
      </c>
      <c r="AL82" s="85">
        <f t="shared" ca="1" si="139"/>
        <v>298.0682445355356</v>
      </c>
      <c r="AM82" s="85">
        <f t="shared" ca="1" si="140"/>
        <v>264.94024678811161</v>
      </c>
      <c r="AN82" s="85">
        <f t="shared" ca="1" si="141"/>
        <v>287.61447532624288</v>
      </c>
      <c r="AO82" s="85">
        <f t="shared" ca="1" si="142"/>
        <v>277.1504708158368</v>
      </c>
      <c r="AP82" s="85">
        <f t="shared" ca="1" si="143"/>
        <v>298.65230546516085</v>
      </c>
      <c r="AQ82" s="85">
        <f t="shared" ca="1" si="144"/>
        <v>259.24205831924223</v>
      </c>
      <c r="AR82" s="85">
        <f t="shared" ca="1" si="145"/>
        <v>261.86906093660889</v>
      </c>
      <c r="AS82" s="85">
        <f t="shared" ca="1" si="146"/>
        <v>260.02497861357796</v>
      </c>
      <c r="AT82" s="85">
        <f t="shared" ca="1" si="147"/>
        <v>312.4566907796069</v>
      </c>
      <c r="AU82" s="85">
        <f t="shared" ca="1" si="148"/>
        <v>290.32385280238708</v>
      </c>
      <c r="AV82" s="85">
        <f t="shared" ca="1" si="149"/>
        <v>290.18684235115842</v>
      </c>
      <c r="AW82" s="85">
        <f t="shared" ca="1" si="150"/>
        <v>270.60844788060302</v>
      </c>
      <c r="AX82" s="85">
        <f t="shared" ca="1" si="151"/>
        <v>329.29935829040051</v>
      </c>
      <c r="AY82" s="85">
        <f t="shared" ca="1" si="152"/>
        <v>312.51355525913874</v>
      </c>
      <c r="AZ82" s="85">
        <f t="shared" ca="1" si="153"/>
        <v>264.02458638763136</v>
      </c>
      <c r="BA82" s="85">
        <f t="shared" ca="1" si="154"/>
        <v>291.53406331174477</v>
      </c>
      <c r="BB82" s="85">
        <f t="shared" ca="1" si="155"/>
        <v>261.25436045315837</v>
      </c>
      <c r="BC82" s="85">
        <f t="shared" ca="1" si="156"/>
        <v>284.53333016057752</v>
      </c>
      <c r="BD82" s="85">
        <f t="shared" ca="1" si="157"/>
        <v>292.12101972782165</v>
      </c>
      <c r="BE82" s="85">
        <f t="shared" ca="1" si="158"/>
        <v>269.787177264452</v>
      </c>
      <c r="BF82" s="85">
        <f t="shared" ca="1" si="159"/>
        <v>291.53205495776598</v>
      </c>
      <c r="BG82" s="85">
        <f t="shared" ca="1" si="160"/>
        <v>250.59113421361602</v>
      </c>
      <c r="BH82" s="85">
        <f t="shared" ca="1" si="161"/>
        <v>268.7845010855479</v>
      </c>
      <c r="BI82" s="85">
        <f t="shared" ca="1" si="162"/>
        <v>268.65155771277102</v>
      </c>
      <c r="BJ82" s="85">
        <f t="shared" ca="1" si="163"/>
        <v>305.64726950975751</v>
      </c>
      <c r="BK82" s="85">
        <f t="shared" ca="1" si="164"/>
        <v>282.71989358532113</v>
      </c>
      <c r="BL82" s="85">
        <f t="shared" ca="1" si="165"/>
        <v>273.58079697273314</v>
      </c>
      <c r="BM82" s="85">
        <f t="shared" ca="1" si="166"/>
        <v>246.21767367643307</v>
      </c>
      <c r="BN82" s="85">
        <f t="shared" ca="1" si="103"/>
        <v>287.87402903124962</v>
      </c>
      <c r="BO82" s="85">
        <f t="shared" ca="1" si="192"/>
        <v>310.98358449625624</v>
      </c>
      <c r="BP82" s="85">
        <f t="shared" ca="1" si="193"/>
        <v>253.11085039969728</v>
      </c>
      <c r="BQ82" s="85">
        <f t="shared" ca="1" si="194"/>
        <v>265.68848539201639</v>
      </c>
      <c r="BR82" s="85">
        <f t="shared" ca="1" si="195"/>
        <v>260.05718782801478</v>
      </c>
      <c r="BS82" s="85">
        <f t="shared" ca="1" si="196"/>
        <v>270.85317572370116</v>
      </c>
      <c r="BT82" s="85">
        <f t="shared" ca="1" si="197"/>
        <v>302.84246601472557</v>
      </c>
      <c r="BU82" s="85">
        <f t="shared" ca="1" si="198"/>
        <v>300.76710355977241</v>
      </c>
      <c r="BV82" s="85">
        <f t="shared" ca="1" si="199"/>
        <v>280.24706718466734</v>
      </c>
      <c r="BW82" s="85">
        <f t="shared" ca="1" si="200"/>
        <v>289.45093396086861</v>
      </c>
      <c r="BX82" s="85">
        <f t="shared" ca="1" si="201"/>
        <v>277.00148433305816</v>
      </c>
      <c r="BY82" s="85">
        <f t="shared" ca="1" si="167"/>
        <v>280.68160239221572</v>
      </c>
      <c r="BZ82" s="85">
        <f t="shared" ca="1" si="168"/>
        <v>285.72677605394728</v>
      </c>
      <c r="CA82" s="85">
        <f t="shared" ca="1" si="169"/>
        <v>268.61673081884118</v>
      </c>
      <c r="CB82" s="85">
        <f t="shared" ca="1" si="170"/>
        <v>265.5551521089634</v>
      </c>
      <c r="CC82" s="85">
        <f t="shared" ca="1" si="171"/>
        <v>282.44628428387568</v>
      </c>
      <c r="CD82" s="85">
        <f t="shared" ca="1" si="172"/>
        <v>308.37144548602026</v>
      </c>
      <c r="CE82" s="85">
        <f t="shared" ca="1" si="173"/>
        <v>256.82443863652634</v>
      </c>
      <c r="CF82" s="85">
        <f t="shared" ca="1" si="174"/>
        <v>308.03405966508802</v>
      </c>
      <c r="CG82" s="85">
        <f t="shared" ca="1" si="175"/>
        <v>265.57053131242475</v>
      </c>
      <c r="CH82" s="85">
        <f t="shared" ca="1" si="176"/>
        <v>290.86246063368441</v>
      </c>
      <c r="CI82" s="85">
        <f t="shared" ca="1" si="177"/>
        <v>287.48062068953379</v>
      </c>
      <c r="CJ82" s="85">
        <f t="shared" ca="1" si="178"/>
        <v>264.02500059957106</v>
      </c>
      <c r="CK82" s="85">
        <f t="shared" ca="1" si="179"/>
        <v>270.74246254464805</v>
      </c>
      <c r="CL82" s="85">
        <f t="shared" ca="1" si="180"/>
        <v>259.28745605019276</v>
      </c>
      <c r="CM82" s="85">
        <f t="shared" ca="1" si="181"/>
        <v>286.250010941097</v>
      </c>
      <c r="CN82" s="85">
        <f t="shared" ca="1" si="182"/>
        <v>270.42058437747176</v>
      </c>
      <c r="CO82" s="85">
        <f t="shared" ca="1" si="183"/>
        <v>268.07411057424042</v>
      </c>
      <c r="CP82" s="85">
        <f t="shared" ca="1" si="184"/>
        <v>320.6754841217811</v>
      </c>
      <c r="CQ82" s="85">
        <f t="shared" ca="1" si="185"/>
        <v>284.62167431221428</v>
      </c>
      <c r="CR82" s="85">
        <f t="shared" ca="1" si="186"/>
        <v>291.47884369548024</v>
      </c>
      <c r="CS82" s="85">
        <f t="shared" ca="1" si="187"/>
        <v>252.81518733685255</v>
      </c>
      <c r="CT82" s="85">
        <f t="shared" ca="1" si="188"/>
        <v>282.8963941775018</v>
      </c>
      <c r="CU82" s="85">
        <f t="shared" ca="1" si="189"/>
        <v>323.15155290424468</v>
      </c>
      <c r="CV82" s="85">
        <f t="shared" ca="1" si="190"/>
        <v>264.87762484787032</v>
      </c>
      <c r="CW82" s="85">
        <f t="shared" ca="1" si="191"/>
        <v>262.70175666202658</v>
      </c>
    </row>
    <row r="83" spans="1:101" x14ac:dyDescent="0.2">
      <c r="A83" s="115">
        <v>80</v>
      </c>
      <c r="B83" s="85">
        <f t="shared" ca="1" si="102"/>
        <v>270.95397589425346</v>
      </c>
      <c r="C83" s="85">
        <f t="shared" ca="1" si="104"/>
        <v>265.12635345578298</v>
      </c>
      <c r="D83" s="85">
        <f t="shared" ca="1" si="105"/>
        <v>278.60662164265148</v>
      </c>
      <c r="E83" s="85">
        <f t="shared" ca="1" si="106"/>
        <v>260.91332198301575</v>
      </c>
      <c r="F83" s="85">
        <f t="shared" ca="1" si="107"/>
        <v>269.19339240453792</v>
      </c>
      <c r="G83" s="85">
        <f t="shared" ca="1" si="108"/>
        <v>280.29455349074033</v>
      </c>
      <c r="H83" s="85">
        <f t="shared" ca="1" si="109"/>
        <v>281.07126352450064</v>
      </c>
      <c r="I83" s="85">
        <f t="shared" ca="1" si="110"/>
        <v>281.09411818033738</v>
      </c>
      <c r="J83" s="85">
        <f t="shared" ca="1" si="111"/>
        <v>275.62720790274994</v>
      </c>
      <c r="K83" s="85">
        <f t="shared" ca="1" si="112"/>
        <v>266.54954834068275</v>
      </c>
      <c r="L83" s="85">
        <f t="shared" ca="1" si="113"/>
        <v>304.37355256468976</v>
      </c>
      <c r="M83" s="85">
        <f t="shared" ca="1" si="114"/>
        <v>255.47981691044953</v>
      </c>
      <c r="N83" s="85">
        <f t="shared" ca="1" si="115"/>
        <v>274.22260665258091</v>
      </c>
      <c r="O83" s="85">
        <f t="shared" ca="1" si="116"/>
        <v>270.79849101053122</v>
      </c>
      <c r="P83" s="85">
        <f t="shared" ca="1" si="117"/>
        <v>282.53457413556362</v>
      </c>
      <c r="Q83" s="85">
        <f t="shared" ca="1" si="118"/>
        <v>282.70111443246054</v>
      </c>
      <c r="R83" s="85">
        <f t="shared" ca="1" si="119"/>
        <v>261.49440776062556</v>
      </c>
      <c r="S83" s="85">
        <f t="shared" ca="1" si="120"/>
        <v>287.2543066410642</v>
      </c>
      <c r="T83" s="85">
        <f t="shared" ca="1" si="121"/>
        <v>284.95560454382723</v>
      </c>
      <c r="U83" s="85">
        <f t="shared" ca="1" si="122"/>
        <v>237.7430979216185</v>
      </c>
      <c r="V83" s="85">
        <f t="shared" ca="1" si="123"/>
        <v>304.01328319510583</v>
      </c>
      <c r="W83" s="85">
        <f t="shared" ca="1" si="124"/>
        <v>285.49958386639707</v>
      </c>
      <c r="X83" s="85">
        <f t="shared" ca="1" si="125"/>
        <v>276.17498462107301</v>
      </c>
      <c r="Y83" s="85">
        <f t="shared" ca="1" si="126"/>
        <v>258.4489729791938</v>
      </c>
      <c r="Z83" s="85">
        <f t="shared" ca="1" si="127"/>
        <v>264.44557055971575</v>
      </c>
      <c r="AA83" s="85">
        <f t="shared" ca="1" si="128"/>
        <v>266.09784234651431</v>
      </c>
      <c r="AB83" s="85">
        <f t="shared" ca="1" si="129"/>
        <v>302.176953345887</v>
      </c>
      <c r="AC83" s="85">
        <f t="shared" ca="1" si="130"/>
        <v>269.51005829342364</v>
      </c>
      <c r="AD83" s="85">
        <f t="shared" ca="1" si="131"/>
        <v>306.15529984658144</v>
      </c>
      <c r="AE83" s="85">
        <f t="shared" ca="1" si="132"/>
        <v>330.44462344475431</v>
      </c>
      <c r="AF83" s="85">
        <f t="shared" ca="1" si="133"/>
        <v>270.159538328319</v>
      </c>
      <c r="AG83" s="85">
        <f t="shared" ca="1" si="134"/>
        <v>281.52763703517439</v>
      </c>
      <c r="AH83" s="85">
        <f t="shared" ca="1" si="135"/>
        <v>266.98829658870909</v>
      </c>
      <c r="AI83" s="85">
        <f t="shared" ca="1" si="136"/>
        <v>289.38099663301227</v>
      </c>
      <c r="AJ83" s="85">
        <f t="shared" ca="1" si="137"/>
        <v>313.24904776305232</v>
      </c>
      <c r="AK83" s="85">
        <f t="shared" ca="1" si="138"/>
        <v>290.21285449436562</v>
      </c>
      <c r="AL83" s="85">
        <f t="shared" ca="1" si="139"/>
        <v>298.37892816916377</v>
      </c>
      <c r="AM83" s="85">
        <f t="shared" ca="1" si="140"/>
        <v>266.14507115419684</v>
      </c>
      <c r="AN83" s="85">
        <f t="shared" ca="1" si="141"/>
        <v>290.34229187523954</v>
      </c>
      <c r="AO83" s="85">
        <f t="shared" ca="1" si="142"/>
        <v>279.09759230804019</v>
      </c>
      <c r="AP83" s="85">
        <f t="shared" ca="1" si="143"/>
        <v>302.54867328748071</v>
      </c>
      <c r="AQ83" s="85">
        <f t="shared" ca="1" si="144"/>
        <v>261.49314736888925</v>
      </c>
      <c r="AR83" s="85">
        <f t="shared" ca="1" si="145"/>
        <v>265.78346624011317</v>
      </c>
      <c r="AS83" s="85">
        <f t="shared" ca="1" si="146"/>
        <v>262.95944973030356</v>
      </c>
      <c r="AT83" s="85">
        <f t="shared" ca="1" si="147"/>
        <v>315.41116856889346</v>
      </c>
      <c r="AU83" s="85">
        <f t="shared" ca="1" si="148"/>
        <v>293.92831425503886</v>
      </c>
      <c r="AV83" s="85">
        <f t="shared" ca="1" si="149"/>
        <v>298.31926054842296</v>
      </c>
      <c r="AW83" s="85">
        <f t="shared" ca="1" si="150"/>
        <v>273.13842430586527</v>
      </c>
      <c r="AX83" s="85">
        <f t="shared" ca="1" si="151"/>
        <v>332.19759415036452</v>
      </c>
      <c r="AY83" s="85">
        <f t="shared" ca="1" si="152"/>
        <v>314.78112294191033</v>
      </c>
      <c r="AZ83" s="85">
        <f t="shared" ca="1" si="153"/>
        <v>267.08637260873166</v>
      </c>
      <c r="BA83" s="85">
        <f t="shared" ca="1" si="154"/>
        <v>294.7266251990261</v>
      </c>
      <c r="BB83" s="85">
        <f t="shared" ca="1" si="155"/>
        <v>265.42745822833893</v>
      </c>
      <c r="BC83" s="85">
        <f t="shared" ca="1" si="156"/>
        <v>288.60870439953158</v>
      </c>
      <c r="BD83" s="85">
        <f t="shared" ca="1" si="157"/>
        <v>296.04429008965712</v>
      </c>
      <c r="BE83" s="85">
        <f t="shared" ca="1" si="158"/>
        <v>274.83139717315493</v>
      </c>
      <c r="BF83" s="85">
        <f t="shared" ca="1" si="159"/>
        <v>294.05809841297196</v>
      </c>
      <c r="BG83" s="85">
        <f t="shared" ca="1" si="160"/>
        <v>255.97793390410811</v>
      </c>
      <c r="BH83" s="85">
        <f t="shared" ca="1" si="161"/>
        <v>270.17985564838631</v>
      </c>
      <c r="BI83" s="85">
        <f t="shared" ca="1" si="162"/>
        <v>272.63340782996551</v>
      </c>
      <c r="BJ83" s="85">
        <f t="shared" ca="1" si="163"/>
        <v>310.99003659146325</v>
      </c>
      <c r="BK83" s="85">
        <f t="shared" ca="1" si="164"/>
        <v>286.90786587762886</v>
      </c>
      <c r="BL83" s="85">
        <f t="shared" ca="1" si="165"/>
        <v>278.22022933532747</v>
      </c>
      <c r="BM83" s="85">
        <f t="shared" ca="1" si="166"/>
        <v>250.11495162660816</v>
      </c>
      <c r="BN83" s="85">
        <f t="shared" ca="1" si="103"/>
        <v>294.0889250960941</v>
      </c>
      <c r="BO83" s="85">
        <f t="shared" ca="1" si="192"/>
        <v>317.06885757980734</v>
      </c>
      <c r="BP83" s="85">
        <f t="shared" ca="1" si="193"/>
        <v>257.45893478694205</v>
      </c>
      <c r="BQ83" s="85">
        <f t="shared" ca="1" si="194"/>
        <v>269.24173127245467</v>
      </c>
      <c r="BR83" s="85">
        <f t="shared" ca="1" si="195"/>
        <v>262.60223726065959</v>
      </c>
      <c r="BS83" s="85">
        <f t="shared" ca="1" si="196"/>
        <v>277.98554884223188</v>
      </c>
      <c r="BT83" s="85">
        <f t="shared" ca="1" si="197"/>
        <v>308.70559434008692</v>
      </c>
      <c r="BU83" s="85">
        <f t="shared" ca="1" si="198"/>
        <v>304.8970874656307</v>
      </c>
      <c r="BV83" s="85">
        <f t="shared" ca="1" si="199"/>
        <v>282.65742589764864</v>
      </c>
      <c r="BW83" s="85">
        <f t="shared" ca="1" si="200"/>
        <v>294.05801061107763</v>
      </c>
      <c r="BX83" s="85">
        <f t="shared" ca="1" si="201"/>
        <v>277.37410246502952</v>
      </c>
      <c r="BY83" s="85">
        <f t="shared" ca="1" si="167"/>
        <v>285.05470793836042</v>
      </c>
      <c r="BZ83" s="85">
        <f t="shared" ca="1" si="168"/>
        <v>290.71696244100633</v>
      </c>
      <c r="CA83" s="85">
        <f t="shared" ca="1" si="169"/>
        <v>268.69398730894716</v>
      </c>
      <c r="CB83" s="85">
        <f t="shared" ca="1" si="170"/>
        <v>266.33331880854263</v>
      </c>
      <c r="CC83" s="85">
        <f t="shared" ca="1" si="171"/>
        <v>286.90046607056433</v>
      </c>
      <c r="CD83" s="85">
        <f t="shared" ca="1" si="172"/>
        <v>313.35314160434183</v>
      </c>
      <c r="CE83" s="85">
        <f t="shared" ca="1" si="173"/>
        <v>260.02567598981051</v>
      </c>
      <c r="CF83" s="85">
        <f t="shared" ca="1" si="174"/>
        <v>312.11440153352453</v>
      </c>
      <c r="CG83" s="85">
        <f t="shared" ca="1" si="175"/>
        <v>269.92887567545705</v>
      </c>
      <c r="CH83" s="85">
        <f t="shared" ca="1" si="176"/>
        <v>298.17752967217643</v>
      </c>
      <c r="CI83" s="85">
        <f t="shared" ca="1" si="177"/>
        <v>292.00163219209225</v>
      </c>
      <c r="CJ83" s="85">
        <f t="shared" ca="1" si="178"/>
        <v>265.09409755836953</v>
      </c>
      <c r="CK83" s="85">
        <f t="shared" ca="1" si="179"/>
        <v>276.6226661857026</v>
      </c>
      <c r="CL83" s="85">
        <f t="shared" ca="1" si="180"/>
        <v>262.44839151958979</v>
      </c>
      <c r="CM83" s="85">
        <f t="shared" ca="1" si="181"/>
        <v>290.56838301311666</v>
      </c>
      <c r="CN83" s="85">
        <f t="shared" ca="1" si="182"/>
        <v>272.58562063413763</v>
      </c>
      <c r="CO83" s="85">
        <f t="shared" ca="1" si="183"/>
        <v>268.2467657811535</v>
      </c>
      <c r="CP83" s="85">
        <f t="shared" ca="1" si="184"/>
        <v>327.70195804730338</v>
      </c>
      <c r="CQ83" s="85">
        <f t="shared" ca="1" si="185"/>
        <v>288.67987156129993</v>
      </c>
      <c r="CR83" s="85">
        <f t="shared" ca="1" si="186"/>
        <v>295.03969361427511</v>
      </c>
      <c r="CS83" s="85">
        <f t="shared" ca="1" si="187"/>
        <v>252.70449013989477</v>
      </c>
      <c r="CT83" s="85">
        <f t="shared" ca="1" si="188"/>
        <v>283.52142014087275</v>
      </c>
      <c r="CU83" s="85">
        <f t="shared" ca="1" si="189"/>
        <v>330.51133756774834</v>
      </c>
      <c r="CV83" s="85">
        <f t="shared" ca="1" si="190"/>
        <v>271.02913541175604</v>
      </c>
      <c r="CW83" s="85">
        <f t="shared" ca="1" si="191"/>
        <v>265.58581715595824</v>
      </c>
    </row>
    <row r="84" spans="1:101" x14ac:dyDescent="0.2">
      <c r="A84" s="115">
        <v>81</v>
      </c>
      <c r="B84" s="85">
        <f t="shared" ca="1" si="102"/>
        <v>275.40193350119785</v>
      </c>
      <c r="C84" s="85">
        <f t="shared" ca="1" si="104"/>
        <v>267.38493915529813</v>
      </c>
      <c r="D84" s="85">
        <f t="shared" ca="1" si="105"/>
        <v>284.81315769309111</v>
      </c>
      <c r="E84" s="85">
        <f t="shared" ca="1" si="106"/>
        <v>264.91812685147329</v>
      </c>
      <c r="F84" s="85">
        <f t="shared" ca="1" si="107"/>
        <v>274.08935881796634</v>
      </c>
      <c r="G84" s="85">
        <f t="shared" ca="1" si="108"/>
        <v>283.22397205956173</v>
      </c>
      <c r="H84" s="85">
        <f t="shared" ca="1" si="109"/>
        <v>285.80747846216133</v>
      </c>
      <c r="I84" s="85">
        <f t="shared" ca="1" si="110"/>
        <v>283.38973832638777</v>
      </c>
      <c r="J84" s="85">
        <f t="shared" ca="1" si="111"/>
        <v>280.55128296617858</v>
      </c>
      <c r="K84" s="85">
        <f t="shared" ca="1" si="112"/>
        <v>268.57143087449566</v>
      </c>
      <c r="L84" s="85">
        <f t="shared" ca="1" si="113"/>
        <v>307.75088682629166</v>
      </c>
      <c r="M84" s="85">
        <f t="shared" ca="1" si="114"/>
        <v>258.05181633796298</v>
      </c>
      <c r="N84" s="85">
        <f t="shared" ca="1" si="115"/>
        <v>278.83610821747965</v>
      </c>
      <c r="O84" s="85">
        <f t="shared" ca="1" si="116"/>
        <v>274.35070723320547</v>
      </c>
      <c r="P84" s="85">
        <f t="shared" ca="1" si="117"/>
        <v>280.89591118811279</v>
      </c>
      <c r="Q84" s="85">
        <f t="shared" ca="1" si="118"/>
        <v>287.45817312869349</v>
      </c>
      <c r="R84" s="85">
        <f t="shared" ca="1" si="119"/>
        <v>266.71158095403104</v>
      </c>
      <c r="S84" s="85">
        <f t="shared" ca="1" si="120"/>
        <v>292.85686772388715</v>
      </c>
      <c r="T84" s="85">
        <f t="shared" ca="1" si="121"/>
        <v>284.0113058655154</v>
      </c>
      <c r="U84" s="85">
        <f t="shared" ca="1" si="122"/>
        <v>238.66007354114691</v>
      </c>
      <c r="V84" s="85">
        <f t="shared" ca="1" si="123"/>
        <v>310.27734515343519</v>
      </c>
      <c r="W84" s="85">
        <f t="shared" ca="1" si="124"/>
        <v>290.99421302620902</v>
      </c>
      <c r="X84" s="85">
        <f t="shared" ca="1" si="125"/>
        <v>282.23902926715755</v>
      </c>
      <c r="Y84" s="85">
        <f t="shared" ca="1" si="126"/>
        <v>261.83422837769359</v>
      </c>
      <c r="Z84" s="85">
        <f t="shared" ca="1" si="127"/>
        <v>270.28653755297825</v>
      </c>
      <c r="AA84" s="85">
        <f t="shared" ca="1" si="128"/>
        <v>271.30531396929331</v>
      </c>
      <c r="AB84" s="85">
        <f t="shared" ca="1" si="129"/>
        <v>302.85400880827791</v>
      </c>
      <c r="AC84" s="85">
        <f t="shared" ca="1" si="130"/>
        <v>272.63107404047679</v>
      </c>
      <c r="AD84" s="85">
        <f t="shared" ca="1" si="131"/>
        <v>305.93470380061723</v>
      </c>
      <c r="AE84" s="85">
        <f t="shared" ca="1" si="132"/>
        <v>336.21122800480634</v>
      </c>
      <c r="AF84" s="85">
        <f t="shared" ca="1" si="133"/>
        <v>272.38399994771129</v>
      </c>
      <c r="AG84" s="85">
        <f t="shared" ca="1" si="134"/>
        <v>282.90761513334252</v>
      </c>
      <c r="AH84" s="85">
        <f t="shared" ca="1" si="135"/>
        <v>264.30655917019499</v>
      </c>
      <c r="AI84" s="85">
        <f t="shared" ca="1" si="136"/>
        <v>292.20864393825116</v>
      </c>
      <c r="AJ84" s="85">
        <f t="shared" ca="1" si="137"/>
        <v>321.20342171129812</v>
      </c>
      <c r="AK84" s="85">
        <f t="shared" ca="1" si="138"/>
        <v>294.81595676039552</v>
      </c>
      <c r="AL84" s="85">
        <f t="shared" ca="1" si="139"/>
        <v>302.33559527912962</v>
      </c>
      <c r="AM84" s="85">
        <f t="shared" ca="1" si="140"/>
        <v>271.06630069848717</v>
      </c>
      <c r="AN84" s="85">
        <f t="shared" ca="1" si="141"/>
        <v>295.24402370794661</v>
      </c>
      <c r="AO84" s="85">
        <f t="shared" ca="1" si="142"/>
        <v>285.55421494755763</v>
      </c>
      <c r="AP84" s="85">
        <f t="shared" ca="1" si="143"/>
        <v>306.98237637423659</v>
      </c>
      <c r="AQ84" s="85">
        <f t="shared" ca="1" si="144"/>
        <v>265.07184009127752</v>
      </c>
      <c r="AR84" s="85">
        <f t="shared" ca="1" si="145"/>
        <v>268.2759467812528</v>
      </c>
      <c r="AS84" s="85">
        <f t="shared" ca="1" si="146"/>
        <v>268.05947790292225</v>
      </c>
      <c r="AT84" s="85">
        <f t="shared" ca="1" si="147"/>
        <v>322.31611635243161</v>
      </c>
      <c r="AU84" s="85">
        <f t="shared" ca="1" si="148"/>
        <v>296.16392805550862</v>
      </c>
      <c r="AV84" s="85">
        <f t="shared" ca="1" si="149"/>
        <v>304.16230843184195</v>
      </c>
      <c r="AW84" s="85">
        <f t="shared" ca="1" si="150"/>
        <v>278.0845987134162</v>
      </c>
      <c r="AX84" s="85">
        <f t="shared" ca="1" si="151"/>
        <v>335.591297065302</v>
      </c>
      <c r="AY84" s="85">
        <f t="shared" ca="1" si="152"/>
        <v>317.27796347664685</v>
      </c>
      <c r="AZ84" s="85">
        <f t="shared" ca="1" si="153"/>
        <v>270.66648474305453</v>
      </c>
      <c r="BA84" s="85">
        <f t="shared" ca="1" si="154"/>
        <v>298.67080207590743</v>
      </c>
      <c r="BB84" s="85">
        <f t="shared" ca="1" si="155"/>
        <v>269.15828072623572</v>
      </c>
      <c r="BC84" s="85">
        <f t="shared" ca="1" si="156"/>
        <v>292.8012843018123</v>
      </c>
      <c r="BD84" s="85">
        <f t="shared" ca="1" si="157"/>
        <v>294.97957543730763</v>
      </c>
      <c r="BE84" s="85">
        <f t="shared" ca="1" si="158"/>
        <v>278.15101117978008</v>
      </c>
      <c r="BF84" s="85">
        <f t="shared" ca="1" si="159"/>
        <v>297.38319781834696</v>
      </c>
      <c r="BG84" s="85">
        <f t="shared" ca="1" si="160"/>
        <v>258.69480991409193</v>
      </c>
      <c r="BH84" s="85">
        <f t="shared" ca="1" si="161"/>
        <v>272.90070709475572</v>
      </c>
      <c r="BI84" s="85">
        <f t="shared" ca="1" si="162"/>
        <v>276.11464296956512</v>
      </c>
      <c r="BJ84" s="85">
        <f t="shared" ca="1" si="163"/>
        <v>315.17778775330601</v>
      </c>
      <c r="BK84" s="85">
        <f t="shared" ca="1" si="164"/>
        <v>289.0250197130585</v>
      </c>
      <c r="BL84" s="85">
        <f t="shared" ca="1" si="165"/>
        <v>282.99271784093906</v>
      </c>
      <c r="BM84" s="85">
        <f t="shared" ca="1" si="166"/>
        <v>255.26074332611293</v>
      </c>
      <c r="BN84" s="85">
        <f t="shared" ca="1" si="103"/>
        <v>299.89205192466886</v>
      </c>
      <c r="BO84" s="85">
        <f t="shared" ca="1" si="192"/>
        <v>321.63679586114193</v>
      </c>
      <c r="BP84" s="85">
        <f t="shared" ca="1" si="193"/>
        <v>264.66401105234786</v>
      </c>
      <c r="BQ84" s="85">
        <f t="shared" ca="1" si="194"/>
        <v>273.5532850046755</v>
      </c>
      <c r="BR84" s="85">
        <f t="shared" ca="1" si="195"/>
        <v>267.01065622934703</v>
      </c>
      <c r="BS84" s="85">
        <f t="shared" ca="1" si="196"/>
        <v>281.28273871217505</v>
      </c>
      <c r="BT84" s="85">
        <f t="shared" ca="1" si="197"/>
        <v>313.17369503910413</v>
      </c>
      <c r="BU84" s="85">
        <f t="shared" ca="1" si="198"/>
        <v>307.9575349736167</v>
      </c>
      <c r="BV84" s="85">
        <f t="shared" ca="1" si="199"/>
        <v>283.5870928667087</v>
      </c>
      <c r="BW84" s="85">
        <f t="shared" ca="1" si="200"/>
        <v>297.70484883969527</v>
      </c>
      <c r="BX84" s="85">
        <f t="shared" ca="1" si="201"/>
        <v>281.19319470123395</v>
      </c>
      <c r="BY84" s="85">
        <f t="shared" ca="1" si="167"/>
        <v>284.38988132697739</v>
      </c>
      <c r="BZ84" s="85">
        <f t="shared" ca="1" si="168"/>
        <v>295.11655834844555</v>
      </c>
      <c r="CA84" s="85">
        <f t="shared" ca="1" si="169"/>
        <v>272.2939367645485</v>
      </c>
      <c r="CB84" s="85">
        <f t="shared" ca="1" si="170"/>
        <v>271.21380185078311</v>
      </c>
      <c r="CC84" s="85">
        <f t="shared" ca="1" si="171"/>
        <v>287.76180732339361</v>
      </c>
      <c r="CD84" s="85">
        <f t="shared" ca="1" si="172"/>
        <v>320.37578963829856</v>
      </c>
      <c r="CE84" s="85">
        <f t="shared" ca="1" si="173"/>
        <v>261.66804740292298</v>
      </c>
      <c r="CF84" s="85">
        <f t="shared" ca="1" si="174"/>
        <v>318.66371483984977</v>
      </c>
      <c r="CG84" s="85">
        <f t="shared" ca="1" si="175"/>
        <v>274.81615993087848</v>
      </c>
      <c r="CH84" s="85">
        <f t="shared" ca="1" si="176"/>
        <v>299.43868571854273</v>
      </c>
      <c r="CI84" s="85">
        <f t="shared" ca="1" si="177"/>
        <v>294.67122089179168</v>
      </c>
      <c r="CJ84" s="85">
        <f t="shared" ca="1" si="178"/>
        <v>270.754518442961</v>
      </c>
      <c r="CK84" s="85">
        <f t="shared" ca="1" si="179"/>
        <v>277.78905173066312</v>
      </c>
      <c r="CL84" s="85">
        <f t="shared" ca="1" si="180"/>
        <v>269.60531322581852</v>
      </c>
      <c r="CM84" s="85">
        <f t="shared" ca="1" si="181"/>
        <v>293.84345633317241</v>
      </c>
      <c r="CN84" s="85">
        <f t="shared" ca="1" si="182"/>
        <v>278.57073146751657</v>
      </c>
      <c r="CO84" s="85">
        <f t="shared" ca="1" si="183"/>
        <v>273.45733568220192</v>
      </c>
      <c r="CP84" s="85">
        <f t="shared" ca="1" si="184"/>
        <v>329.35029306919688</v>
      </c>
      <c r="CQ84" s="85">
        <f t="shared" ca="1" si="185"/>
        <v>291.26164796296803</v>
      </c>
      <c r="CR84" s="85">
        <f t="shared" ca="1" si="186"/>
        <v>297.61483633722884</v>
      </c>
      <c r="CS84" s="85">
        <f t="shared" ca="1" si="187"/>
        <v>256.20734771001003</v>
      </c>
      <c r="CT84" s="85">
        <f t="shared" ca="1" si="188"/>
        <v>287.31814494693276</v>
      </c>
      <c r="CU84" s="85">
        <f t="shared" ca="1" si="189"/>
        <v>333.83687023208876</v>
      </c>
      <c r="CV84" s="85">
        <f t="shared" ca="1" si="190"/>
        <v>270.57346062464228</v>
      </c>
      <c r="CW84" s="85">
        <f t="shared" ca="1" si="191"/>
        <v>268.73967194206688</v>
      </c>
    </row>
    <row r="85" spans="1:101" x14ac:dyDescent="0.2">
      <c r="A85" s="115">
        <v>82</v>
      </c>
      <c r="B85" s="85">
        <f t="shared" ca="1" si="102"/>
        <v>277.56107147909466</v>
      </c>
      <c r="C85" s="85">
        <f t="shared" ca="1" si="104"/>
        <v>272.12788937197104</v>
      </c>
      <c r="D85" s="85">
        <f t="shared" ca="1" si="105"/>
        <v>287.29615187851692</v>
      </c>
      <c r="E85" s="85">
        <f t="shared" ca="1" si="106"/>
        <v>269.2652633346151</v>
      </c>
      <c r="F85" s="85">
        <f t="shared" ca="1" si="107"/>
        <v>279.01590060095509</v>
      </c>
      <c r="G85" s="85">
        <f t="shared" ca="1" si="108"/>
        <v>284.35306757079093</v>
      </c>
      <c r="H85" s="85">
        <f t="shared" ca="1" si="109"/>
        <v>287.25237470700671</v>
      </c>
      <c r="I85" s="85">
        <f t="shared" ca="1" si="110"/>
        <v>284.57189064035367</v>
      </c>
      <c r="J85" s="85">
        <f t="shared" ca="1" si="111"/>
        <v>287.32357781211783</v>
      </c>
      <c r="K85" s="85">
        <f t="shared" ca="1" si="112"/>
        <v>274.24537006591413</v>
      </c>
      <c r="L85" s="85">
        <f t="shared" ca="1" si="113"/>
        <v>313.31488464388218</v>
      </c>
      <c r="M85" s="85">
        <f t="shared" ca="1" si="114"/>
        <v>255.78893761048286</v>
      </c>
      <c r="N85" s="85">
        <f t="shared" ca="1" si="115"/>
        <v>282.60649994383272</v>
      </c>
      <c r="O85" s="85">
        <f t="shared" ca="1" si="116"/>
        <v>279.4472910979286</v>
      </c>
      <c r="P85" s="85">
        <f t="shared" ca="1" si="117"/>
        <v>283.6679964857737</v>
      </c>
      <c r="Q85" s="85">
        <f t="shared" ca="1" si="118"/>
        <v>295.81518448719572</v>
      </c>
      <c r="R85" s="85">
        <f t="shared" ca="1" si="119"/>
        <v>269.65325023838557</v>
      </c>
      <c r="S85" s="85">
        <f t="shared" ca="1" si="120"/>
        <v>296.85978516476115</v>
      </c>
      <c r="T85" s="85">
        <f t="shared" ca="1" si="121"/>
        <v>288.38956906623906</v>
      </c>
      <c r="U85" s="85">
        <f t="shared" ca="1" si="122"/>
        <v>243.39232445924185</v>
      </c>
      <c r="V85" s="85">
        <f t="shared" ca="1" si="123"/>
        <v>313.82991332921137</v>
      </c>
      <c r="W85" s="85">
        <f t="shared" ca="1" si="124"/>
        <v>293.50690853955996</v>
      </c>
      <c r="X85" s="85">
        <f t="shared" ca="1" si="125"/>
        <v>286.88487540491337</v>
      </c>
      <c r="Y85" s="85">
        <f t="shared" ca="1" si="126"/>
        <v>264.22218400005323</v>
      </c>
      <c r="Z85" s="85">
        <f t="shared" ca="1" si="127"/>
        <v>274.8845947072449</v>
      </c>
      <c r="AA85" s="85">
        <f t="shared" ca="1" si="128"/>
        <v>274.96749146474991</v>
      </c>
      <c r="AB85" s="85">
        <f t="shared" ca="1" si="129"/>
        <v>304.91737580464223</v>
      </c>
      <c r="AC85" s="85">
        <f t="shared" ca="1" si="130"/>
        <v>278.75428179808881</v>
      </c>
      <c r="AD85" s="85">
        <f t="shared" ca="1" si="131"/>
        <v>310.43064131504258</v>
      </c>
      <c r="AE85" s="85">
        <f t="shared" ca="1" si="132"/>
        <v>343.36789577762335</v>
      </c>
      <c r="AF85" s="85">
        <f t="shared" ca="1" si="133"/>
        <v>274.40555539398758</v>
      </c>
      <c r="AG85" s="85">
        <f t="shared" ca="1" si="134"/>
        <v>291.74296818367486</v>
      </c>
      <c r="AH85" s="85">
        <f t="shared" ca="1" si="135"/>
        <v>270.40230107637399</v>
      </c>
      <c r="AI85" s="85">
        <f t="shared" ca="1" si="136"/>
        <v>296.16581200196879</v>
      </c>
      <c r="AJ85" s="85">
        <f t="shared" ca="1" si="137"/>
        <v>322.56075899358376</v>
      </c>
      <c r="AK85" s="85">
        <f t="shared" ca="1" si="138"/>
        <v>295.26838147691427</v>
      </c>
      <c r="AL85" s="85">
        <f t="shared" ca="1" si="139"/>
        <v>305.4813284497875</v>
      </c>
      <c r="AM85" s="85">
        <f t="shared" ca="1" si="140"/>
        <v>277.36741593130409</v>
      </c>
      <c r="AN85" s="85">
        <f t="shared" ca="1" si="141"/>
        <v>297.79726871348817</v>
      </c>
      <c r="AO85" s="85">
        <f t="shared" ca="1" si="142"/>
        <v>289.60376451991516</v>
      </c>
      <c r="AP85" s="85">
        <f t="shared" ca="1" si="143"/>
        <v>311.75691983847202</v>
      </c>
      <c r="AQ85" s="85">
        <f t="shared" ca="1" si="144"/>
        <v>271.03432551149211</v>
      </c>
      <c r="AR85" s="85">
        <f t="shared" ca="1" si="145"/>
        <v>273.3206366037964</v>
      </c>
      <c r="AS85" s="85">
        <f t="shared" ca="1" si="146"/>
        <v>273.93846031400938</v>
      </c>
      <c r="AT85" s="85">
        <f t="shared" ca="1" si="147"/>
        <v>324.70251203289985</v>
      </c>
      <c r="AU85" s="85">
        <f t="shared" ca="1" si="148"/>
        <v>299.1852181473734</v>
      </c>
      <c r="AV85" s="85">
        <f t="shared" ca="1" si="149"/>
        <v>304.79673510593983</v>
      </c>
      <c r="AW85" s="85">
        <f t="shared" ca="1" si="150"/>
        <v>281.1845091868405</v>
      </c>
      <c r="AX85" s="85">
        <f t="shared" ca="1" si="151"/>
        <v>341.37737372493808</v>
      </c>
      <c r="AY85" s="85">
        <f t="shared" ca="1" si="152"/>
        <v>321.05452782552243</v>
      </c>
      <c r="AZ85" s="85">
        <f t="shared" ca="1" si="153"/>
        <v>275.14367187103267</v>
      </c>
      <c r="BA85" s="85">
        <f t="shared" ca="1" si="154"/>
        <v>303.76116959960012</v>
      </c>
      <c r="BB85" s="85">
        <f t="shared" ca="1" si="155"/>
        <v>273.02594206171426</v>
      </c>
      <c r="BC85" s="85">
        <f t="shared" ca="1" si="156"/>
        <v>292.67731618158274</v>
      </c>
      <c r="BD85" s="85">
        <f t="shared" ca="1" si="157"/>
        <v>296.90157105885743</v>
      </c>
      <c r="BE85" s="85">
        <f t="shared" ca="1" si="158"/>
        <v>281.66899374287766</v>
      </c>
      <c r="BF85" s="85">
        <f t="shared" ca="1" si="159"/>
        <v>303.17166466348942</v>
      </c>
      <c r="BG85" s="85">
        <f t="shared" ca="1" si="160"/>
        <v>263.16695024116615</v>
      </c>
      <c r="BH85" s="85">
        <f t="shared" ca="1" si="161"/>
        <v>276.80389346908544</v>
      </c>
      <c r="BI85" s="85">
        <f t="shared" ca="1" si="162"/>
        <v>279.49463796401199</v>
      </c>
      <c r="BJ85" s="85">
        <f t="shared" ca="1" si="163"/>
        <v>320.95060464490058</v>
      </c>
      <c r="BK85" s="85">
        <f t="shared" ca="1" si="164"/>
        <v>292.26595674891399</v>
      </c>
      <c r="BL85" s="85">
        <f t="shared" ca="1" si="165"/>
        <v>286.90541382468479</v>
      </c>
      <c r="BM85" s="85">
        <f t="shared" ca="1" si="166"/>
        <v>257.88534568243836</v>
      </c>
      <c r="BN85" s="85">
        <f t="shared" ca="1" si="103"/>
        <v>306.26332817690849</v>
      </c>
      <c r="BO85" s="85">
        <f t="shared" ca="1" si="192"/>
        <v>325.64739263651205</v>
      </c>
      <c r="BP85" s="85">
        <f t="shared" ca="1" si="193"/>
        <v>267.73312927947239</v>
      </c>
      <c r="BQ85" s="85">
        <f t="shared" ca="1" si="194"/>
        <v>278.17483758071648</v>
      </c>
      <c r="BR85" s="85">
        <f t="shared" ca="1" si="195"/>
        <v>267.53790285954489</v>
      </c>
      <c r="BS85" s="85">
        <f t="shared" ca="1" si="196"/>
        <v>284.91992923508809</v>
      </c>
      <c r="BT85" s="85">
        <f t="shared" ca="1" si="197"/>
        <v>319.22235951536783</v>
      </c>
      <c r="BU85" s="85">
        <f t="shared" ca="1" si="198"/>
        <v>312.77741688861227</v>
      </c>
      <c r="BV85" s="85">
        <f t="shared" ca="1" si="199"/>
        <v>285.49295253967637</v>
      </c>
      <c r="BW85" s="85">
        <f t="shared" ca="1" si="200"/>
        <v>302.78428217649611</v>
      </c>
      <c r="BX85" s="85">
        <f t="shared" ca="1" si="201"/>
        <v>286.19628577319907</v>
      </c>
      <c r="BY85" s="85">
        <f t="shared" ca="1" si="167"/>
        <v>286.20501402406757</v>
      </c>
      <c r="BZ85" s="85">
        <f t="shared" ca="1" si="168"/>
        <v>297.083838606325</v>
      </c>
      <c r="CA85" s="85">
        <f t="shared" ca="1" si="169"/>
        <v>275.42870094902531</v>
      </c>
      <c r="CB85" s="85">
        <f t="shared" ca="1" si="170"/>
        <v>276.80872214038629</v>
      </c>
      <c r="CC85" s="85">
        <f t="shared" ca="1" si="171"/>
        <v>292.91588550705148</v>
      </c>
      <c r="CD85" s="85">
        <f t="shared" ca="1" si="172"/>
        <v>328.1231371364575</v>
      </c>
      <c r="CE85" s="85">
        <f t="shared" ca="1" si="173"/>
        <v>263.2284961292529</v>
      </c>
      <c r="CF85" s="85">
        <f t="shared" ca="1" si="174"/>
        <v>324.100085475051</v>
      </c>
      <c r="CG85" s="85">
        <f t="shared" ca="1" si="175"/>
        <v>278.52457585362157</v>
      </c>
      <c r="CH85" s="85">
        <f t="shared" ca="1" si="176"/>
        <v>305.36169776287238</v>
      </c>
      <c r="CI85" s="85">
        <f t="shared" ca="1" si="177"/>
        <v>299.13373512409328</v>
      </c>
      <c r="CJ85" s="85">
        <f t="shared" ca="1" si="178"/>
        <v>276.41031952692242</v>
      </c>
      <c r="CK85" s="85">
        <f t="shared" ca="1" si="179"/>
        <v>281.04821154445256</v>
      </c>
      <c r="CL85" s="85">
        <f t="shared" ca="1" si="180"/>
        <v>271.5807858677689</v>
      </c>
      <c r="CM85" s="85">
        <f t="shared" ca="1" si="181"/>
        <v>299.60224350894794</v>
      </c>
      <c r="CN85" s="85">
        <f t="shared" ca="1" si="182"/>
        <v>280.96987463614641</v>
      </c>
      <c r="CO85" s="85">
        <f t="shared" ca="1" si="183"/>
        <v>274.5217719454227</v>
      </c>
      <c r="CP85" s="85">
        <f t="shared" ca="1" si="184"/>
        <v>335.8299280760649</v>
      </c>
      <c r="CQ85" s="85">
        <f t="shared" ca="1" si="185"/>
        <v>292.91106427060515</v>
      </c>
      <c r="CR85" s="85">
        <f t="shared" ca="1" si="186"/>
        <v>306.74640138343517</v>
      </c>
      <c r="CS85" s="85">
        <f t="shared" ca="1" si="187"/>
        <v>256.24795853865317</v>
      </c>
      <c r="CT85" s="85">
        <f t="shared" ca="1" si="188"/>
        <v>291.34032467896969</v>
      </c>
      <c r="CU85" s="85">
        <f t="shared" ca="1" si="189"/>
        <v>342.51017366699728</v>
      </c>
      <c r="CV85" s="85">
        <f t="shared" ca="1" si="190"/>
        <v>275.90482185251562</v>
      </c>
      <c r="CW85" s="85">
        <f t="shared" ca="1" si="191"/>
        <v>273.39579038382522</v>
      </c>
    </row>
    <row r="86" spans="1:101" x14ac:dyDescent="0.2">
      <c r="A86" s="115">
        <v>83</v>
      </c>
      <c r="B86" s="85">
        <f t="shared" ca="1" si="102"/>
        <v>281.9804912437956</v>
      </c>
      <c r="C86" s="85">
        <f t="shared" ca="1" si="104"/>
        <v>274.30938019602814</v>
      </c>
      <c r="D86" s="85">
        <f t="shared" ca="1" si="105"/>
        <v>290.3545288266364</v>
      </c>
      <c r="E86" s="85">
        <f t="shared" ca="1" si="106"/>
        <v>270.21661137799452</v>
      </c>
      <c r="F86" s="85">
        <f t="shared" ca="1" si="107"/>
        <v>281.07251041245507</v>
      </c>
      <c r="G86" s="85">
        <f t="shared" ca="1" si="108"/>
        <v>287.19309100830151</v>
      </c>
      <c r="H86" s="85">
        <f t="shared" ca="1" si="109"/>
        <v>290.57058720754713</v>
      </c>
      <c r="I86" s="85">
        <f t="shared" ca="1" si="110"/>
        <v>290.68792729838941</v>
      </c>
      <c r="J86" s="85">
        <f t="shared" ca="1" si="111"/>
        <v>294.10345908647628</v>
      </c>
      <c r="K86" s="85">
        <f t="shared" ca="1" si="112"/>
        <v>277.51892890535868</v>
      </c>
      <c r="L86" s="85">
        <f t="shared" ca="1" si="113"/>
        <v>318.16793375217185</v>
      </c>
      <c r="M86" s="85">
        <f t="shared" ca="1" si="114"/>
        <v>260.51852423572404</v>
      </c>
      <c r="N86" s="85">
        <f t="shared" ca="1" si="115"/>
        <v>285.63568236615237</v>
      </c>
      <c r="O86" s="85">
        <f t="shared" ca="1" si="116"/>
        <v>279.75439969152876</v>
      </c>
      <c r="P86" s="85">
        <f t="shared" ca="1" si="117"/>
        <v>287.68632066639788</v>
      </c>
      <c r="Q86" s="85">
        <f t="shared" ca="1" si="118"/>
        <v>301.80319321077434</v>
      </c>
      <c r="R86" s="85">
        <f t="shared" ca="1" si="119"/>
        <v>276.54036455655307</v>
      </c>
      <c r="S86" s="85">
        <f t="shared" ca="1" si="120"/>
        <v>297.20366773005713</v>
      </c>
      <c r="T86" s="85">
        <f t="shared" ca="1" si="121"/>
        <v>292.61465015778816</v>
      </c>
      <c r="U86" s="85">
        <f t="shared" ca="1" si="122"/>
        <v>245.84648494704933</v>
      </c>
      <c r="V86" s="85">
        <f t="shared" ca="1" si="123"/>
        <v>318.9193657546694</v>
      </c>
      <c r="W86" s="85">
        <f t="shared" ca="1" si="124"/>
        <v>294.24160143926309</v>
      </c>
      <c r="X86" s="85">
        <f t="shared" ca="1" si="125"/>
        <v>290.17417793849739</v>
      </c>
      <c r="Y86" s="85">
        <f t="shared" ca="1" si="126"/>
        <v>266.04687737338969</v>
      </c>
      <c r="Z86" s="85">
        <f t="shared" ca="1" si="127"/>
        <v>281.34250087063077</v>
      </c>
      <c r="AA86" s="85">
        <f t="shared" ca="1" si="128"/>
        <v>279.63435029820693</v>
      </c>
      <c r="AB86" s="85">
        <f t="shared" ca="1" si="129"/>
        <v>309.72450657460399</v>
      </c>
      <c r="AC86" s="85">
        <f t="shared" ca="1" si="130"/>
        <v>281.32345433330227</v>
      </c>
      <c r="AD86" s="85">
        <f t="shared" ca="1" si="131"/>
        <v>307.04203087547262</v>
      </c>
      <c r="AE86" s="85">
        <f t="shared" ca="1" si="132"/>
        <v>351.2108829701246</v>
      </c>
      <c r="AF86" s="85">
        <f t="shared" ca="1" si="133"/>
        <v>277.56223029445272</v>
      </c>
      <c r="AG86" s="85">
        <f t="shared" ca="1" si="134"/>
        <v>298.75305543378249</v>
      </c>
      <c r="AH86" s="85">
        <f t="shared" ca="1" si="135"/>
        <v>274.58587797137022</v>
      </c>
      <c r="AI86" s="85">
        <f t="shared" ca="1" si="136"/>
        <v>304.45275637068403</v>
      </c>
      <c r="AJ86" s="85">
        <f t="shared" ca="1" si="137"/>
        <v>326.52505560477607</v>
      </c>
      <c r="AK86" s="85">
        <f t="shared" ca="1" si="138"/>
        <v>300.44859267349494</v>
      </c>
      <c r="AL86" s="85">
        <f t="shared" ca="1" si="139"/>
        <v>312.06010396360386</v>
      </c>
      <c r="AM86" s="85">
        <f t="shared" ca="1" si="140"/>
        <v>283.79463362889135</v>
      </c>
      <c r="AN86" s="85">
        <f t="shared" ca="1" si="141"/>
        <v>302.06860309092133</v>
      </c>
      <c r="AO86" s="85">
        <f t="shared" ca="1" si="142"/>
        <v>291.72735725982335</v>
      </c>
      <c r="AP86" s="85">
        <f t="shared" ca="1" si="143"/>
        <v>316.47634469202035</v>
      </c>
      <c r="AQ86" s="85">
        <f t="shared" ca="1" si="144"/>
        <v>271.58748394175979</v>
      </c>
      <c r="AR86" s="85">
        <f t="shared" ca="1" si="145"/>
        <v>275.61737986410151</v>
      </c>
      <c r="AS86" s="85">
        <f t="shared" ca="1" si="146"/>
        <v>276.73258405698164</v>
      </c>
      <c r="AT86" s="85">
        <f t="shared" ca="1" si="147"/>
        <v>327.41148867645774</v>
      </c>
      <c r="AU86" s="85">
        <f t="shared" ca="1" si="148"/>
        <v>304.88506547392927</v>
      </c>
      <c r="AV86" s="85">
        <f t="shared" ca="1" si="149"/>
        <v>308.01027677721186</v>
      </c>
      <c r="AW86" s="85">
        <f t="shared" ca="1" si="150"/>
        <v>282.10452306261175</v>
      </c>
      <c r="AX86" s="85">
        <f t="shared" ca="1" si="151"/>
        <v>342.67763449019014</v>
      </c>
      <c r="AY86" s="85">
        <f t="shared" ca="1" si="152"/>
        <v>323.14920625234777</v>
      </c>
      <c r="AZ86" s="85">
        <f t="shared" ca="1" si="153"/>
        <v>275.17068242731165</v>
      </c>
      <c r="BA86" s="85">
        <f t="shared" ca="1" si="154"/>
        <v>312.34762462901409</v>
      </c>
      <c r="BB86" s="85">
        <f t="shared" ca="1" si="155"/>
        <v>274.93119935607211</v>
      </c>
      <c r="BC86" s="85">
        <f t="shared" ca="1" si="156"/>
        <v>296.42661026406154</v>
      </c>
      <c r="BD86" s="85">
        <f t="shared" ca="1" si="157"/>
        <v>299.27234904868311</v>
      </c>
      <c r="BE86" s="85">
        <f t="shared" ca="1" si="158"/>
        <v>285.38719320946359</v>
      </c>
      <c r="BF86" s="85">
        <f t="shared" ca="1" si="159"/>
        <v>309.2829826941973</v>
      </c>
      <c r="BG86" s="85">
        <f t="shared" ca="1" si="160"/>
        <v>267.22845653810055</v>
      </c>
      <c r="BH86" s="85">
        <f t="shared" ca="1" si="161"/>
        <v>282.73533846337716</v>
      </c>
      <c r="BI86" s="85">
        <f t="shared" ca="1" si="162"/>
        <v>283.19952542243533</v>
      </c>
      <c r="BJ86" s="85">
        <f t="shared" ca="1" si="163"/>
        <v>325.7244811823129</v>
      </c>
      <c r="BK86" s="85">
        <f t="shared" ca="1" si="164"/>
        <v>294.51859740609802</v>
      </c>
      <c r="BL86" s="85">
        <f t="shared" ca="1" si="165"/>
        <v>290.01625571721115</v>
      </c>
      <c r="BM86" s="85">
        <f t="shared" ca="1" si="166"/>
        <v>258.77984030164356</v>
      </c>
      <c r="BN86" s="85">
        <f t="shared" ca="1" si="103"/>
        <v>313.69860157453473</v>
      </c>
      <c r="BO86" s="85">
        <f t="shared" ca="1" si="192"/>
        <v>332.11537465082591</v>
      </c>
      <c r="BP86" s="85">
        <f t="shared" ca="1" si="193"/>
        <v>268.36354806960435</v>
      </c>
      <c r="BQ86" s="85">
        <f t="shared" ca="1" si="194"/>
        <v>280.03628698830238</v>
      </c>
      <c r="BR86" s="85">
        <f t="shared" ca="1" si="195"/>
        <v>273.26942916435746</v>
      </c>
      <c r="BS86" s="85">
        <f t="shared" ca="1" si="196"/>
        <v>288.60969036091137</v>
      </c>
      <c r="BT86" s="85">
        <f t="shared" ca="1" si="197"/>
        <v>327.31008339802258</v>
      </c>
      <c r="BU86" s="85">
        <f t="shared" ca="1" si="198"/>
        <v>314.70254756334174</v>
      </c>
      <c r="BV86" s="85">
        <f t="shared" ca="1" si="199"/>
        <v>290.50921431744013</v>
      </c>
      <c r="BW86" s="85">
        <f t="shared" ca="1" si="200"/>
        <v>309.85050553397315</v>
      </c>
      <c r="BX86" s="85">
        <f t="shared" ca="1" si="201"/>
        <v>288.43638402672678</v>
      </c>
      <c r="BY86" s="85">
        <f t="shared" ca="1" si="167"/>
        <v>291.18593988902933</v>
      </c>
      <c r="BZ86" s="85">
        <f t="shared" ca="1" si="168"/>
        <v>300.85820073848703</v>
      </c>
      <c r="CA86" s="85">
        <f t="shared" ca="1" si="169"/>
        <v>280.9997715201697</v>
      </c>
      <c r="CB86" s="85">
        <f t="shared" ca="1" si="170"/>
        <v>278.44728411231841</v>
      </c>
      <c r="CC86" s="85">
        <f t="shared" ca="1" si="171"/>
        <v>295.4764817763284</v>
      </c>
      <c r="CD86" s="85">
        <f t="shared" ca="1" si="172"/>
        <v>333.83752643288574</v>
      </c>
      <c r="CE86" s="85">
        <f t="shared" ca="1" si="173"/>
        <v>266.47561038942172</v>
      </c>
      <c r="CF86" s="85">
        <f t="shared" ca="1" si="174"/>
        <v>329.87471221422197</v>
      </c>
      <c r="CG86" s="85">
        <f t="shared" ca="1" si="175"/>
        <v>281.74954484499284</v>
      </c>
      <c r="CH86" s="85">
        <f t="shared" ca="1" si="176"/>
        <v>309.18684000476077</v>
      </c>
      <c r="CI86" s="85">
        <f t="shared" ca="1" si="177"/>
        <v>301.47025023625599</v>
      </c>
      <c r="CJ86" s="85">
        <f t="shared" ca="1" si="178"/>
        <v>282.5921092006123</v>
      </c>
      <c r="CK86" s="85">
        <f t="shared" ca="1" si="179"/>
        <v>282.63011698711955</v>
      </c>
      <c r="CL86" s="85">
        <f t="shared" ca="1" si="180"/>
        <v>276.13054295997927</v>
      </c>
      <c r="CM86" s="85">
        <f t="shared" ca="1" si="181"/>
        <v>305.95588813160907</v>
      </c>
      <c r="CN86" s="85">
        <f t="shared" ca="1" si="182"/>
        <v>284.84248827295858</v>
      </c>
      <c r="CO86" s="85">
        <f t="shared" ca="1" si="183"/>
        <v>276.06132029985838</v>
      </c>
      <c r="CP86" s="85">
        <f t="shared" ca="1" si="184"/>
        <v>339.86408178281482</v>
      </c>
      <c r="CQ86" s="85">
        <f t="shared" ca="1" si="185"/>
        <v>297.9146117256999</v>
      </c>
      <c r="CR86" s="85">
        <f t="shared" ca="1" si="186"/>
        <v>310.96008599008297</v>
      </c>
      <c r="CS86" s="85">
        <f t="shared" ca="1" si="187"/>
        <v>257.21769917162345</v>
      </c>
      <c r="CT86" s="85">
        <f t="shared" ca="1" si="188"/>
        <v>296.22748076784762</v>
      </c>
      <c r="CU86" s="85">
        <f t="shared" ca="1" si="189"/>
        <v>349.42506332278361</v>
      </c>
      <c r="CV86" s="85">
        <f t="shared" ca="1" si="190"/>
        <v>276.81722537086381</v>
      </c>
      <c r="CW86" s="85">
        <f t="shared" ca="1" si="191"/>
        <v>274.54597664401575</v>
      </c>
    </row>
    <row r="87" spans="1:101" x14ac:dyDescent="0.2">
      <c r="A87" s="115">
        <v>84</v>
      </c>
      <c r="B87" s="85">
        <f t="shared" ca="1" si="102"/>
        <v>287.76430234751899</v>
      </c>
      <c r="C87" s="85">
        <f t="shared" ca="1" si="104"/>
        <v>278.84718914295439</v>
      </c>
      <c r="D87" s="85">
        <f t="shared" ca="1" si="105"/>
        <v>291.03974382769707</v>
      </c>
      <c r="E87" s="85">
        <f t="shared" ca="1" si="106"/>
        <v>273.1110654616478</v>
      </c>
      <c r="F87" s="85">
        <f t="shared" ca="1" si="107"/>
        <v>285.07252768026416</v>
      </c>
      <c r="G87" s="85">
        <f t="shared" ca="1" si="108"/>
        <v>295.17100787750712</v>
      </c>
      <c r="H87" s="85">
        <f t="shared" ca="1" si="109"/>
        <v>295.45092222009833</v>
      </c>
      <c r="I87" s="85">
        <f t="shared" ca="1" si="110"/>
        <v>294.32471722780798</v>
      </c>
      <c r="J87" s="85">
        <f t="shared" ca="1" si="111"/>
        <v>300.04675695356377</v>
      </c>
      <c r="K87" s="85">
        <f t="shared" ca="1" si="112"/>
        <v>283.40219819403251</v>
      </c>
      <c r="L87" s="85">
        <f t="shared" ca="1" si="113"/>
        <v>320.67124080129025</v>
      </c>
      <c r="M87" s="85">
        <f t="shared" ca="1" si="114"/>
        <v>259.38552334711289</v>
      </c>
      <c r="N87" s="85">
        <f t="shared" ca="1" si="115"/>
        <v>289.76496993062568</v>
      </c>
      <c r="O87" s="85">
        <f t="shared" ca="1" si="116"/>
        <v>282.85862101392814</v>
      </c>
      <c r="P87" s="85">
        <f t="shared" ca="1" si="117"/>
        <v>292.58080303709733</v>
      </c>
      <c r="Q87" s="85">
        <f t="shared" ca="1" si="118"/>
        <v>305.74011686111595</v>
      </c>
      <c r="R87" s="85">
        <f t="shared" ca="1" si="119"/>
        <v>280.99672300286744</v>
      </c>
      <c r="S87" s="85">
        <f t="shared" ca="1" si="120"/>
        <v>303.9554778415515</v>
      </c>
      <c r="T87" s="85">
        <f t="shared" ca="1" si="121"/>
        <v>293.77715418483274</v>
      </c>
      <c r="U87" s="85">
        <f t="shared" ca="1" si="122"/>
        <v>249.75954817812448</v>
      </c>
      <c r="V87" s="85">
        <f t="shared" ca="1" si="123"/>
        <v>325.21980500996483</v>
      </c>
      <c r="W87" s="85">
        <f t="shared" ca="1" si="124"/>
        <v>299.54337013528522</v>
      </c>
      <c r="X87" s="85">
        <f t="shared" ca="1" si="125"/>
        <v>292.51427268938255</v>
      </c>
      <c r="Y87" s="85">
        <f t="shared" ca="1" si="126"/>
        <v>271.98489488114672</v>
      </c>
      <c r="Z87" s="85">
        <f t="shared" ca="1" si="127"/>
        <v>284.11132025612733</v>
      </c>
      <c r="AA87" s="85">
        <f t="shared" ca="1" si="128"/>
        <v>282.4443559709369</v>
      </c>
      <c r="AB87" s="85">
        <f t="shared" ca="1" si="129"/>
        <v>316.77432580298506</v>
      </c>
      <c r="AC87" s="85">
        <f t="shared" ca="1" si="130"/>
        <v>285.8750191706248</v>
      </c>
      <c r="AD87" s="85">
        <f t="shared" ca="1" si="131"/>
        <v>308.33809072254121</v>
      </c>
      <c r="AE87" s="85">
        <f t="shared" ca="1" si="132"/>
        <v>353.63975338277766</v>
      </c>
      <c r="AF87" s="85">
        <f t="shared" ca="1" si="133"/>
        <v>283.03478099312701</v>
      </c>
      <c r="AG87" s="85">
        <f t="shared" ca="1" si="134"/>
        <v>304.24230662412464</v>
      </c>
      <c r="AH87" s="85">
        <f t="shared" ca="1" si="135"/>
        <v>278.372306623707</v>
      </c>
      <c r="AI87" s="85">
        <f t="shared" ca="1" si="136"/>
        <v>305.38231151978374</v>
      </c>
      <c r="AJ87" s="85">
        <f t="shared" ca="1" si="137"/>
        <v>332.1608560606856</v>
      </c>
      <c r="AK87" s="85">
        <f t="shared" ca="1" si="138"/>
        <v>308.9120722819182</v>
      </c>
      <c r="AL87" s="85">
        <f t="shared" ca="1" si="139"/>
        <v>316.28236901817849</v>
      </c>
      <c r="AM87" s="85">
        <f t="shared" ca="1" si="140"/>
        <v>288.00623952857234</v>
      </c>
      <c r="AN87" s="85">
        <f t="shared" ca="1" si="141"/>
        <v>309.4543907771199</v>
      </c>
      <c r="AO87" s="85">
        <f t="shared" ca="1" si="142"/>
        <v>296.25748448974969</v>
      </c>
      <c r="AP87" s="85">
        <f t="shared" ca="1" si="143"/>
        <v>324.32498870006435</v>
      </c>
      <c r="AQ87" s="85">
        <f t="shared" ca="1" si="144"/>
        <v>276.52437102256675</v>
      </c>
      <c r="AR87" s="85">
        <f t="shared" ca="1" si="145"/>
        <v>280.09636525692326</v>
      </c>
      <c r="AS87" s="85">
        <f t="shared" ca="1" si="146"/>
        <v>281.61266750221449</v>
      </c>
      <c r="AT87" s="85">
        <f t="shared" ca="1" si="147"/>
        <v>327.51648737191584</v>
      </c>
      <c r="AU87" s="85">
        <f t="shared" ca="1" si="148"/>
        <v>307.08032619469651</v>
      </c>
      <c r="AV87" s="85">
        <f t="shared" ca="1" si="149"/>
        <v>312.95772184333191</v>
      </c>
      <c r="AW87" s="85">
        <f t="shared" ca="1" si="150"/>
        <v>284.08271199806944</v>
      </c>
      <c r="AX87" s="85">
        <f t="shared" ca="1" si="151"/>
        <v>350.02596416561255</v>
      </c>
      <c r="AY87" s="85">
        <f t="shared" ca="1" si="152"/>
        <v>329.66800400049635</v>
      </c>
      <c r="AZ87" s="85">
        <f t="shared" ca="1" si="153"/>
        <v>278.14833917260552</v>
      </c>
      <c r="BA87" s="85">
        <f t="shared" ca="1" si="154"/>
        <v>314.04922656963885</v>
      </c>
      <c r="BB87" s="85">
        <f t="shared" ca="1" si="155"/>
        <v>277.87095674458317</v>
      </c>
      <c r="BC87" s="85">
        <f t="shared" ca="1" si="156"/>
        <v>301.392024753415</v>
      </c>
      <c r="BD87" s="85">
        <f t="shared" ca="1" si="157"/>
        <v>302.67030257903656</v>
      </c>
      <c r="BE87" s="85">
        <f t="shared" ca="1" si="158"/>
        <v>290.7861884836056</v>
      </c>
      <c r="BF87" s="85">
        <f t="shared" ca="1" si="159"/>
        <v>311.70431882486662</v>
      </c>
      <c r="BG87" s="85">
        <f t="shared" ca="1" si="160"/>
        <v>269.27784885763799</v>
      </c>
      <c r="BH87" s="85">
        <f t="shared" ca="1" si="161"/>
        <v>287.15513102632821</v>
      </c>
      <c r="BI87" s="85">
        <f t="shared" ca="1" si="162"/>
        <v>289.34203973800942</v>
      </c>
      <c r="BJ87" s="85">
        <f t="shared" ca="1" si="163"/>
        <v>333.48959515967545</v>
      </c>
      <c r="BK87" s="85">
        <f t="shared" ca="1" si="164"/>
        <v>297.54448673285776</v>
      </c>
      <c r="BL87" s="85">
        <f t="shared" ca="1" si="165"/>
        <v>297.50101742826843</v>
      </c>
      <c r="BM87" s="85">
        <f t="shared" ca="1" si="166"/>
        <v>265.39373957014107</v>
      </c>
      <c r="BN87" s="85">
        <f t="shared" ca="1" si="103"/>
        <v>316.76506401005037</v>
      </c>
      <c r="BO87" s="85">
        <f t="shared" ca="1" si="192"/>
        <v>339.39177599617494</v>
      </c>
      <c r="BP87" s="85">
        <f t="shared" ca="1" si="193"/>
        <v>273.16775276635292</v>
      </c>
      <c r="BQ87" s="85">
        <f t="shared" ca="1" si="194"/>
        <v>284.48764625037217</v>
      </c>
      <c r="BR87" s="85">
        <f t="shared" ca="1" si="195"/>
        <v>278.93751269294575</v>
      </c>
      <c r="BS87" s="85">
        <f t="shared" ca="1" si="196"/>
        <v>288.13598309640474</v>
      </c>
      <c r="BT87" s="85">
        <f t="shared" ca="1" si="197"/>
        <v>332.2382131960635</v>
      </c>
      <c r="BU87" s="85">
        <f t="shared" ca="1" si="198"/>
        <v>320.26088198585501</v>
      </c>
      <c r="BV87" s="85">
        <f t="shared" ca="1" si="199"/>
        <v>295.78650792314005</v>
      </c>
      <c r="BW87" s="85">
        <f t="shared" ca="1" si="200"/>
        <v>310.88673701937245</v>
      </c>
      <c r="BX87" s="85">
        <f t="shared" ca="1" si="201"/>
        <v>292.31007945877224</v>
      </c>
      <c r="BY87" s="85">
        <f t="shared" ca="1" si="167"/>
        <v>294.42371373669209</v>
      </c>
      <c r="BZ87" s="85">
        <f t="shared" ca="1" si="168"/>
        <v>303.43477960578474</v>
      </c>
      <c r="CA87" s="85">
        <f t="shared" ca="1" si="169"/>
        <v>282.80638841251653</v>
      </c>
      <c r="CB87" s="85">
        <f t="shared" ca="1" si="170"/>
        <v>282.24957083995486</v>
      </c>
      <c r="CC87" s="85">
        <f t="shared" ca="1" si="171"/>
        <v>296.22594350147085</v>
      </c>
      <c r="CD87" s="85">
        <f t="shared" ca="1" si="172"/>
        <v>337.05324844341743</v>
      </c>
      <c r="CE87" s="85">
        <f t="shared" ca="1" si="173"/>
        <v>272.52695171468702</v>
      </c>
      <c r="CF87" s="85">
        <f t="shared" ca="1" si="174"/>
        <v>334.29588731953504</v>
      </c>
      <c r="CG87" s="85">
        <f t="shared" ca="1" si="175"/>
        <v>289.57658964273173</v>
      </c>
      <c r="CH87" s="85">
        <f t="shared" ca="1" si="176"/>
        <v>313.72582311409457</v>
      </c>
      <c r="CI87" s="85">
        <f t="shared" ca="1" si="177"/>
        <v>310.30916027414935</v>
      </c>
      <c r="CJ87" s="85">
        <f t="shared" ca="1" si="178"/>
        <v>289.35531307798294</v>
      </c>
      <c r="CK87" s="85">
        <f t="shared" ca="1" si="179"/>
        <v>285.16721000498501</v>
      </c>
      <c r="CL87" s="85">
        <f t="shared" ca="1" si="180"/>
        <v>277.25677370098515</v>
      </c>
      <c r="CM87" s="85">
        <f t="shared" ca="1" si="181"/>
        <v>307.54934383190039</v>
      </c>
      <c r="CN87" s="85">
        <f t="shared" ca="1" si="182"/>
        <v>289.622526405352</v>
      </c>
      <c r="CO87" s="85">
        <f t="shared" ca="1" si="183"/>
        <v>280.74165587165595</v>
      </c>
      <c r="CP87" s="85">
        <f t="shared" ca="1" si="184"/>
        <v>347.04784563195921</v>
      </c>
      <c r="CQ87" s="85">
        <f t="shared" ca="1" si="185"/>
        <v>305.26137416354095</v>
      </c>
      <c r="CR87" s="85">
        <f t="shared" ca="1" si="186"/>
        <v>314.6624018247287</v>
      </c>
      <c r="CS87" s="85">
        <f t="shared" ca="1" si="187"/>
        <v>256.90070219860212</v>
      </c>
      <c r="CT87" s="85">
        <f t="shared" ca="1" si="188"/>
        <v>300.92491636160531</v>
      </c>
      <c r="CU87" s="85">
        <f t="shared" ca="1" si="189"/>
        <v>352.74855175329759</v>
      </c>
      <c r="CV87" s="85">
        <f t="shared" ca="1" si="190"/>
        <v>279.99780351132256</v>
      </c>
      <c r="CW87" s="85">
        <f t="shared" ca="1" si="191"/>
        <v>277.31668475677372</v>
      </c>
    </row>
    <row r="88" spans="1:101" x14ac:dyDescent="0.2">
      <c r="A88" s="115">
        <v>85</v>
      </c>
      <c r="B88" s="85">
        <f t="shared" ca="1" si="102"/>
        <v>292.78186636903592</v>
      </c>
      <c r="C88" s="85">
        <f t="shared" ca="1" si="104"/>
        <v>280.24308422615036</v>
      </c>
      <c r="D88" s="85">
        <f t="shared" ca="1" si="105"/>
        <v>293.51260118842021</v>
      </c>
      <c r="E88" s="85">
        <f t="shared" ca="1" si="106"/>
        <v>276.45422356607423</v>
      </c>
      <c r="F88" s="85">
        <f t="shared" ca="1" si="107"/>
        <v>286.91497314115082</v>
      </c>
      <c r="G88" s="85">
        <f t="shared" ca="1" si="108"/>
        <v>295.8538949653377</v>
      </c>
      <c r="H88" s="85">
        <f t="shared" ca="1" si="109"/>
        <v>298.47072980675665</v>
      </c>
      <c r="I88" s="85">
        <f t="shared" ca="1" si="110"/>
        <v>298.85590583300194</v>
      </c>
      <c r="J88" s="85">
        <f t="shared" ca="1" si="111"/>
        <v>307.4593743845972</v>
      </c>
      <c r="K88" s="85">
        <f t="shared" ca="1" si="112"/>
        <v>287.09280996353112</v>
      </c>
      <c r="L88" s="85">
        <f t="shared" ca="1" si="113"/>
        <v>325.47953305088441</v>
      </c>
      <c r="M88" s="85">
        <f t="shared" ca="1" si="114"/>
        <v>262.18704841280635</v>
      </c>
      <c r="N88" s="85">
        <f t="shared" ca="1" si="115"/>
        <v>295.59429159066593</v>
      </c>
      <c r="O88" s="85">
        <f t="shared" ca="1" si="116"/>
        <v>287.67681172965564</v>
      </c>
      <c r="P88" s="85">
        <f t="shared" ca="1" si="117"/>
        <v>297.45643547114059</v>
      </c>
      <c r="Q88" s="85">
        <f t="shared" ca="1" si="118"/>
        <v>309.63481736573368</v>
      </c>
      <c r="R88" s="85">
        <f t="shared" ca="1" si="119"/>
        <v>286.62799095846304</v>
      </c>
      <c r="S88" s="85">
        <f t="shared" ca="1" si="120"/>
        <v>308.20829747051971</v>
      </c>
      <c r="T88" s="85">
        <f t="shared" ca="1" si="121"/>
        <v>300.00826825636108</v>
      </c>
      <c r="U88" s="85">
        <f t="shared" ca="1" si="122"/>
        <v>252.30306990174111</v>
      </c>
      <c r="V88" s="85">
        <f t="shared" ca="1" si="123"/>
        <v>329.46297755977827</v>
      </c>
      <c r="W88" s="85">
        <f t="shared" ca="1" si="124"/>
        <v>301.20994566276369</v>
      </c>
      <c r="X88" s="85">
        <f t="shared" ca="1" si="125"/>
        <v>294.94695122497308</v>
      </c>
      <c r="Y88" s="85">
        <f t="shared" ca="1" si="126"/>
        <v>275.529679236302</v>
      </c>
      <c r="Z88" s="85">
        <f t="shared" ca="1" si="127"/>
        <v>288.48101129387436</v>
      </c>
      <c r="AA88" s="85">
        <f t="shared" ca="1" si="128"/>
        <v>288.24038452733123</v>
      </c>
      <c r="AB88" s="85">
        <f t="shared" ca="1" si="129"/>
        <v>319.99719196771753</v>
      </c>
      <c r="AC88" s="85">
        <f t="shared" ca="1" si="130"/>
        <v>290.09331066273256</v>
      </c>
      <c r="AD88" s="85">
        <f t="shared" ca="1" si="131"/>
        <v>311.69373627995532</v>
      </c>
      <c r="AE88" s="85">
        <f t="shared" ca="1" si="132"/>
        <v>361.32474995279574</v>
      </c>
      <c r="AF88" s="85">
        <f t="shared" ca="1" si="133"/>
        <v>286.85108727310012</v>
      </c>
      <c r="AG88" s="85">
        <f t="shared" ca="1" si="134"/>
        <v>309.00523089648431</v>
      </c>
      <c r="AH88" s="85">
        <f t="shared" ca="1" si="135"/>
        <v>283.47701939937804</v>
      </c>
      <c r="AI88" s="85">
        <f t="shared" ca="1" si="136"/>
        <v>311.06281809727159</v>
      </c>
      <c r="AJ88" s="85">
        <f t="shared" ca="1" si="137"/>
        <v>340.00581233874499</v>
      </c>
      <c r="AK88" s="85">
        <f t="shared" ca="1" si="138"/>
        <v>314.1124059413205</v>
      </c>
      <c r="AL88" s="85">
        <f t="shared" ca="1" si="139"/>
        <v>315.49810111662185</v>
      </c>
      <c r="AM88" s="85">
        <f t="shared" ca="1" si="140"/>
        <v>291.52326607988198</v>
      </c>
      <c r="AN88" s="85">
        <f t="shared" ca="1" si="141"/>
        <v>317.4999619621762</v>
      </c>
      <c r="AO88" s="85">
        <f t="shared" ca="1" si="142"/>
        <v>300.67089847370329</v>
      </c>
      <c r="AP88" s="85">
        <f t="shared" ca="1" si="143"/>
        <v>329.4544439885363</v>
      </c>
      <c r="AQ88" s="85">
        <f t="shared" ca="1" si="144"/>
        <v>280.20691021243067</v>
      </c>
      <c r="AR88" s="85">
        <f t="shared" ca="1" si="145"/>
        <v>283.56652739440881</v>
      </c>
      <c r="AS88" s="85">
        <f t="shared" ca="1" si="146"/>
        <v>284.94164652001172</v>
      </c>
      <c r="AT88" s="85">
        <f t="shared" ca="1" si="147"/>
        <v>330.08570532858181</v>
      </c>
      <c r="AU88" s="85">
        <f t="shared" ca="1" si="148"/>
        <v>311.71812111353216</v>
      </c>
      <c r="AV88" s="85">
        <f t="shared" ca="1" si="149"/>
        <v>314.40219503952625</v>
      </c>
      <c r="AW88" s="85">
        <f t="shared" ca="1" si="150"/>
        <v>288.87346503234073</v>
      </c>
      <c r="AX88" s="85">
        <f t="shared" ca="1" si="151"/>
        <v>357.39104179827285</v>
      </c>
      <c r="AY88" s="85">
        <f t="shared" ca="1" si="152"/>
        <v>333.23599494639205</v>
      </c>
      <c r="AZ88" s="85">
        <f t="shared" ca="1" si="153"/>
        <v>281.35729214741076</v>
      </c>
      <c r="BA88" s="85">
        <f t="shared" ca="1" si="154"/>
        <v>318.39256313384004</v>
      </c>
      <c r="BB88" s="85">
        <f t="shared" ca="1" si="155"/>
        <v>281.6675007970897</v>
      </c>
      <c r="BC88" s="85">
        <f t="shared" ca="1" si="156"/>
        <v>305.9787421488889</v>
      </c>
      <c r="BD88" s="85">
        <f t="shared" ca="1" si="157"/>
        <v>304.36448228422603</v>
      </c>
      <c r="BE88" s="85">
        <f t="shared" ca="1" si="158"/>
        <v>291.68004609173215</v>
      </c>
      <c r="BF88" s="85">
        <f t="shared" ca="1" si="159"/>
        <v>316.38853457369055</v>
      </c>
      <c r="BG88" s="85">
        <f t="shared" ca="1" si="160"/>
        <v>270.96419960952153</v>
      </c>
      <c r="BH88" s="85">
        <f t="shared" ca="1" si="161"/>
        <v>291.44647744744532</v>
      </c>
      <c r="BI88" s="85">
        <f t="shared" ca="1" si="162"/>
        <v>293.18195450297861</v>
      </c>
      <c r="BJ88" s="85">
        <f t="shared" ca="1" si="163"/>
        <v>335.78467861953766</v>
      </c>
      <c r="BK88" s="85">
        <f t="shared" ca="1" si="164"/>
        <v>304.4551016748988</v>
      </c>
      <c r="BL88" s="85">
        <f t="shared" ca="1" si="165"/>
        <v>302.44106675836184</v>
      </c>
      <c r="BM88" s="85">
        <f t="shared" ca="1" si="166"/>
        <v>269.27161299452229</v>
      </c>
      <c r="BN88" s="85">
        <f t="shared" ca="1" si="103"/>
        <v>324.23600592240086</v>
      </c>
      <c r="BO88" s="85">
        <f t="shared" ca="1" si="192"/>
        <v>338.8938034270036</v>
      </c>
      <c r="BP88" s="85">
        <f t="shared" ca="1" si="193"/>
        <v>275.10413533740945</v>
      </c>
      <c r="BQ88" s="85">
        <f t="shared" ca="1" si="194"/>
        <v>286.67048420107068</v>
      </c>
      <c r="BR88" s="85">
        <f t="shared" ca="1" si="195"/>
        <v>280.63696854933892</v>
      </c>
      <c r="BS88" s="85">
        <f t="shared" ca="1" si="196"/>
        <v>296.50356804687777</v>
      </c>
      <c r="BT88" s="85">
        <f t="shared" ca="1" si="197"/>
        <v>336.10416121742162</v>
      </c>
      <c r="BU88" s="85">
        <f t="shared" ca="1" si="198"/>
        <v>326.8307348825233</v>
      </c>
      <c r="BV88" s="85">
        <f t="shared" ca="1" si="199"/>
        <v>299.77479844453313</v>
      </c>
      <c r="BW88" s="85">
        <f t="shared" ca="1" si="200"/>
        <v>319.67776440859149</v>
      </c>
      <c r="BX88" s="85">
        <f t="shared" ca="1" si="201"/>
        <v>299.06205756671426</v>
      </c>
      <c r="BY88" s="85">
        <f t="shared" ca="1" si="167"/>
        <v>299.33075789753548</v>
      </c>
      <c r="BZ88" s="85">
        <f t="shared" ca="1" si="168"/>
        <v>306.16337295366799</v>
      </c>
      <c r="CA88" s="85">
        <f t="shared" ca="1" si="169"/>
        <v>287.70104885196776</v>
      </c>
      <c r="CB88" s="85">
        <f t="shared" ca="1" si="170"/>
        <v>286.41038453831487</v>
      </c>
      <c r="CC88" s="85">
        <f t="shared" ca="1" si="171"/>
        <v>300.50432110757259</v>
      </c>
      <c r="CD88" s="85">
        <f t="shared" ca="1" si="172"/>
        <v>341.52091694051046</v>
      </c>
      <c r="CE88" s="85">
        <f t="shared" ca="1" si="173"/>
        <v>276.71597238817014</v>
      </c>
      <c r="CF88" s="85">
        <f t="shared" ca="1" si="174"/>
        <v>337.7203124747769</v>
      </c>
      <c r="CG88" s="85">
        <f t="shared" ca="1" si="175"/>
        <v>293.46775719598457</v>
      </c>
      <c r="CH88" s="85">
        <f t="shared" ca="1" si="176"/>
        <v>317.31344055900098</v>
      </c>
      <c r="CI88" s="85">
        <f t="shared" ca="1" si="177"/>
        <v>318.05239724273781</v>
      </c>
      <c r="CJ88" s="85">
        <f t="shared" ca="1" si="178"/>
        <v>294.59759466844736</v>
      </c>
      <c r="CK88" s="85">
        <f t="shared" ca="1" si="179"/>
        <v>286.38396040432804</v>
      </c>
      <c r="CL88" s="85">
        <f t="shared" ca="1" si="180"/>
        <v>280.108602781331</v>
      </c>
      <c r="CM88" s="85">
        <f t="shared" ca="1" si="181"/>
        <v>309.78525022637075</v>
      </c>
      <c r="CN88" s="85">
        <f t="shared" ca="1" si="182"/>
        <v>294.2859723424267</v>
      </c>
      <c r="CO88" s="85">
        <f t="shared" ca="1" si="183"/>
        <v>286.22930461502403</v>
      </c>
      <c r="CP88" s="85">
        <f t="shared" ca="1" si="184"/>
        <v>354.40385379374226</v>
      </c>
      <c r="CQ88" s="85">
        <f t="shared" ca="1" si="185"/>
        <v>312.62709238164666</v>
      </c>
      <c r="CR88" s="85">
        <f t="shared" ca="1" si="186"/>
        <v>319.78579804030113</v>
      </c>
      <c r="CS88" s="85">
        <f t="shared" ca="1" si="187"/>
        <v>258.71149161683019</v>
      </c>
      <c r="CT88" s="85">
        <f t="shared" ca="1" si="188"/>
        <v>304.69105275077555</v>
      </c>
      <c r="CU88" s="85">
        <f t="shared" ca="1" si="189"/>
        <v>355.61952893851776</v>
      </c>
      <c r="CV88" s="85">
        <f t="shared" ca="1" si="190"/>
        <v>282.80405901324878</v>
      </c>
      <c r="CW88" s="85">
        <f t="shared" ca="1" si="191"/>
        <v>279.3842707092079</v>
      </c>
    </row>
    <row r="89" spans="1:101" x14ac:dyDescent="0.2">
      <c r="A89" s="115">
        <v>86</v>
      </c>
      <c r="B89" s="85">
        <f t="shared" ca="1" si="102"/>
        <v>296.98337233126063</v>
      </c>
      <c r="C89" s="85">
        <f t="shared" ca="1" si="104"/>
        <v>282.01604467955053</v>
      </c>
      <c r="D89" s="85">
        <f t="shared" ca="1" si="105"/>
        <v>298.61617526927438</v>
      </c>
      <c r="E89" s="85">
        <f t="shared" ca="1" si="106"/>
        <v>281.45562407712157</v>
      </c>
      <c r="F89" s="85">
        <f t="shared" ca="1" si="107"/>
        <v>289.82750712348775</v>
      </c>
      <c r="G89" s="85">
        <f t="shared" ca="1" si="108"/>
        <v>302.12123737427333</v>
      </c>
      <c r="H89" s="85">
        <f t="shared" ca="1" si="109"/>
        <v>306.35152478697643</v>
      </c>
      <c r="I89" s="85">
        <f t="shared" ca="1" si="110"/>
        <v>302.37583002637473</v>
      </c>
      <c r="J89" s="85">
        <f t="shared" ca="1" si="111"/>
        <v>310.86234087555925</v>
      </c>
      <c r="K89" s="85">
        <f t="shared" ca="1" si="112"/>
        <v>293.3811357063849</v>
      </c>
      <c r="L89" s="85">
        <f t="shared" ca="1" si="113"/>
        <v>332.03792776186413</v>
      </c>
      <c r="M89" s="85">
        <f t="shared" ca="1" si="114"/>
        <v>263.46119488607144</v>
      </c>
      <c r="N89" s="85">
        <f t="shared" ca="1" si="115"/>
        <v>298.11966971433498</v>
      </c>
      <c r="O89" s="85">
        <f t="shared" ca="1" si="116"/>
        <v>288.0499463130638</v>
      </c>
      <c r="P89" s="85">
        <f t="shared" ca="1" si="117"/>
        <v>301.70437475361439</v>
      </c>
      <c r="Q89" s="85">
        <f t="shared" ca="1" si="118"/>
        <v>314.86440506603429</v>
      </c>
      <c r="R89" s="85">
        <f t="shared" ca="1" si="119"/>
        <v>289.77884194977901</v>
      </c>
      <c r="S89" s="85">
        <f t="shared" ca="1" si="120"/>
        <v>309.46305738006743</v>
      </c>
      <c r="T89" s="85">
        <f t="shared" ca="1" si="121"/>
        <v>304.21506716789463</v>
      </c>
      <c r="U89" s="85">
        <f t="shared" ca="1" si="122"/>
        <v>256.02394922586626</v>
      </c>
      <c r="V89" s="85">
        <f t="shared" ca="1" si="123"/>
        <v>336.17731754257528</v>
      </c>
      <c r="W89" s="85">
        <f t="shared" ca="1" si="124"/>
        <v>304.64345633044036</v>
      </c>
      <c r="X89" s="85">
        <f t="shared" ca="1" si="125"/>
        <v>296.3216106505709</v>
      </c>
      <c r="Y89" s="85">
        <f t="shared" ca="1" si="126"/>
        <v>277.75599280942106</v>
      </c>
      <c r="Z89" s="85">
        <f t="shared" ca="1" si="127"/>
        <v>288.72982807899967</v>
      </c>
      <c r="AA89" s="85">
        <f t="shared" ca="1" si="128"/>
        <v>294.09041514920244</v>
      </c>
      <c r="AB89" s="85">
        <f t="shared" ca="1" si="129"/>
        <v>327.37397307877228</v>
      </c>
      <c r="AC89" s="85">
        <f t="shared" ca="1" si="130"/>
        <v>292.70550387830588</v>
      </c>
      <c r="AD89" s="85">
        <f t="shared" ca="1" si="131"/>
        <v>317.38776597743782</v>
      </c>
      <c r="AE89" s="85">
        <f t="shared" ca="1" si="132"/>
        <v>368.69180751181693</v>
      </c>
      <c r="AF89" s="85">
        <f t="shared" ca="1" si="133"/>
        <v>288.82501314027934</v>
      </c>
      <c r="AG89" s="85">
        <f t="shared" ca="1" si="134"/>
        <v>310.52010815936768</v>
      </c>
      <c r="AH89" s="85">
        <f t="shared" ca="1" si="135"/>
        <v>291.87419533517453</v>
      </c>
      <c r="AI89" s="85">
        <f t="shared" ca="1" si="136"/>
        <v>313.087780910096</v>
      </c>
      <c r="AJ89" s="85">
        <f t="shared" ca="1" si="137"/>
        <v>340.71125066356223</v>
      </c>
      <c r="AK89" s="85">
        <f t="shared" ca="1" si="138"/>
        <v>317.21590335691013</v>
      </c>
      <c r="AL89" s="85">
        <f t="shared" ca="1" si="139"/>
        <v>315.28107796747173</v>
      </c>
      <c r="AM89" s="85">
        <f t="shared" ca="1" si="140"/>
        <v>295.69627717876011</v>
      </c>
      <c r="AN89" s="85">
        <f t="shared" ca="1" si="141"/>
        <v>319.07109843834013</v>
      </c>
      <c r="AO89" s="85">
        <f t="shared" ca="1" si="142"/>
        <v>307.15427196548131</v>
      </c>
      <c r="AP89" s="85">
        <f t="shared" ca="1" si="143"/>
        <v>338.00631133420501</v>
      </c>
      <c r="AQ89" s="85">
        <f t="shared" ca="1" si="144"/>
        <v>283.3667228445741</v>
      </c>
      <c r="AR89" s="85">
        <f t="shared" ca="1" si="145"/>
        <v>288.02225816467569</v>
      </c>
      <c r="AS89" s="85">
        <f t="shared" ca="1" si="146"/>
        <v>288.31658833408085</v>
      </c>
      <c r="AT89" s="85">
        <f t="shared" ca="1" si="147"/>
        <v>337.57320916182891</v>
      </c>
      <c r="AU89" s="85">
        <f t="shared" ca="1" si="148"/>
        <v>314.36781140333682</v>
      </c>
      <c r="AV89" s="85">
        <f t="shared" ca="1" si="149"/>
        <v>317.04321803670371</v>
      </c>
      <c r="AW89" s="85">
        <f t="shared" ca="1" si="150"/>
        <v>288.49278853156011</v>
      </c>
      <c r="AX89" s="85">
        <f t="shared" ca="1" si="151"/>
        <v>360.57395004866805</v>
      </c>
      <c r="AY89" s="85">
        <f t="shared" ca="1" si="152"/>
        <v>333.82989241962758</v>
      </c>
      <c r="AZ89" s="85">
        <f t="shared" ca="1" si="153"/>
        <v>287.77651378717843</v>
      </c>
      <c r="BA89" s="85">
        <f t="shared" ca="1" si="154"/>
        <v>323.02637045788146</v>
      </c>
      <c r="BB89" s="85">
        <f t="shared" ca="1" si="155"/>
        <v>284.71386854483416</v>
      </c>
      <c r="BC89" s="85">
        <f t="shared" ca="1" si="156"/>
        <v>310.43837774738358</v>
      </c>
      <c r="BD89" s="85">
        <f t="shared" ca="1" si="157"/>
        <v>306.57837699608962</v>
      </c>
      <c r="BE89" s="85">
        <f t="shared" ca="1" si="158"/>
        <v>294.50887988943185</v>
      </c>
      <c r="BF89" s="85">
        <f t="shared" ca="1" si="159"/>
        <v>321.0929820676551</v>
      </c>
      <c r="BG89" s="85">
        <f t="shared" ca="1" si="160"/>
        <v>277.98154003170418</v>
      </c>
      <c r="BH89" s="85">
        <f t="shared" ca="1" si="161"/>
        <v>295.76507410159985</v>
      </c>
      <c r="BI89" s="85">
        <f t="shared" ca="1" si="162"/>
        <v>293.79314164338223</v>
      </c>
      <c r="BJ89" s="85">
        <f t="shared" ca="1" si="163"/>
        <v>335.90717375498559</v>
      </c>
      <c r="BK89" s="85">
        <f t="shared" ca="1" si="164"/>
        <v>311.04640397277132</v>
      </c>
      <c r="BL89" s="85">
        <f t="shared" ca="1" si="165"/>
        <v>302.10223508331325</v>
      </c>
      <c r="BM89" s="85">
        <f t="shared" ca="1" si="166"/>
        <v>275.51905264183256</v>
      </c>
      <c r="BN89" s="85">
        <f t="shared" ca="1" si="103"/>
        <v>331.28054746347948</v>
      </c>
      <c r="BO89" s="85">
        <f t="shared" ca="1" si="192"/>
        <v>342.23204846996686</v>
      </c>
      <c r="BP89" s="85">
        <f t="shared" ca="1" si="193"/>
        <v>277.93528390168939</v>
      </c>
      <c r="BQ89" s="85">
        <f t="shared" ca="1" si="194"/>
        <v>289.95250904000682</v>
      </c>
      <c r="BR89" s="85">
        <f t="shared" ca="1" si="195"/>
        <v>285.49130849228595</v>
      </c>
      <c r="BS89" s="85">
        <f t="shared" ca="1" si="196"/>
        <v>302.3722791081625</v>
      </c>
      <c r="BT89" s="85">
        <f t="shared" ca="1" si="197"/>
        <v>339.00114548751213</v>
      </c>
      <c r="BU89" s="85">
        <f t="shared" ca="1" si="198"/>
        <v>332.57697271997802</v>
      </c>
      <c r="BV89" s="85">
        <f t="shared" ca="1" si="199"/>
        <v>304.55452930197481</v>
      </c>
      <c r="BW89" s="85">
        <f t="shared" ca="1" si="200"/>
        <v>326.04575088138228</v>
      </c>
      <c r="BX89" s="85">
        <f t="shared" ca="1" si="201"/>
        <v>302.15149106541776</v>
      </c>
      <c r="BY89" s="85">
        <f t="shared" ca="1" si="167"/>
        <v>303.34751627197721</v>
      </c>
      <c r="BZ89" s="85">
        <f t="shared" ca="1" si="168"/>
        <v>309.85244700235415</v>
      </c>
      <c r="CA89" s="85">
        <f t="shared" ca="1" si="169"/>
        <v>292.49427548314418</v>
      </c>
      <c r="CB89" s="85">
        <f t="shared" ca="1" si="170"/>
        <v>294.44392700790178</v>
      </c>
      <c r="CC89" s="85">
        <f t="shared" ca="1" si="171"/>
        <v>304.39358545423914</v>
      </c>
      <c r="CD89" s="85">
        <f t="shared" ca="1" si="172"/>
        <v>346.86955198127265</v>
      </c>
      <c r="CE89" s="85">
        <f t="shared" ca="1" si="173"/>
        <v>282.54611049648685</v>
      </c>
      <c r="CF89" s="85">
        <f t="shared" ca="1" si="174"/>
        <v>341.94831404267489</v>
      </c>
      <c r="CG89" s="85">
        <f t="shared" ca="1" si="175"/>
        <v>296.76047180022994</v>
      </c>
      <c r="CH89" s="85">
        <f t="shared" ca="1" si="176"/>
        <v>323.8262769435886</v>
      </c>
      <c r="CI89" s="85">
        <f t="shared" ca="1" si="177"/>
        <v>322.98603259079817</v>
      </c>
      <c r="CJ89" s="85">
        <f t="shared" ca="1" si="178"/>
        <v>298.15054359506485</v>
      </c>
      <c r="CK89" s="85">
        <f t="shared" ca="1" si="179"/>
        <v>289.16933513544154</v>
      </c>
      <c r="CL89" s="85">
        <f t="shared" ca="1" si="180"/>
        <v>286.17143561252607</v>
      </c>
      <c r="CM89" s="85">
        <f t="shared" ca="1" si="181"/>
        <v>320.71037273886083</v>
      </c>
      <c r="CN89" s="85">
        <f t="shared" ca="1" si="182"/>
        <v>297.16843301389224</v>
      </c>
      <c r="CO89" s="85">
        <f t="shared" ca="1" si="183"/>
        <v>291.29487805270406</v>
      </c>
      <c r="CP89" s="85">
        <f t="shared" ca="1" si="184"/>
        <v>360.03315461570759</v>
      </c>
      <c r="CQ89" s="85">
        <f t="shared" ca="1" si="185"/>
        <v>314.9418668091962</v>
      </c>
      <c r="CR89" s="85">
        <f t="shared" ca="1" si="186"/>
        <v>326.47212286086227</v>
      </c>
      <c r="CS89" s="85">
        <f t="shared" ca="1" si="187"/>
        <v>261.86724994343803</v>
      </c>
      <c r="CT89" s="85">
        <f t="shared" ca="1" si="188"/>
        <v>306.19025952611673</v>
      </c>
      <c r="CU89" s="85">
        <f t="shared" ca="1" si="189"/>
        <v>356.78718472981882</v>
      </c>
      <c r="CV89" s="85">
        <f t="shared" ca="1" si="190"/>
        <v>285.67609743908952</v>
      </c>
      <c r="CW89" s="85">
        <f t="shared" ca="1" si="191"/>
        <v>284.44882233776343</v>
      </c>
    </row>
    <row r="90" spans="1:101" x14ac:dyDescent="0.2">
      <c r="A90" s="115">
        <v>87</v>
      </c>
      <c r="B90" s="85">
        <f t="shared" ca="1" si="102"/>
        <v>300.77916703316771</v>
      </c>
      <c r="C90" s="85">
        <f t="shared" ca="1" si="104"/>
        <v>288.27326896219603</v>
      </c>
      <c r="D90" s="85">
        <f t="shared" ca="1" si="105"/>
        <v>304.27714506651506</v>
      </c>
      <c r="E90" s="85">
        <f t="shared" ca="1" si="106"/>
        <v>285.66107615573952</v>
      </c>
      <c r="F90" s="85">
        <f t="shared" ca="1" si="107"/>
        <v>292.65810142930974</v>
      </c>
      <c r="G90" s="85">
        <f t="shared" ca="1" si="108"/>
        <v>305.69925641357196</v>
      </c>
      <c r="H90" s="85">
        <f t="shared" ca="1" si="109"/>
        <v>310.93809380998221</v>
      </c>
      <c r="I90" s="85">
        <f t="shared" ca="1" si="110"/>
        <v>309.04146452303553</v>
      </c>
      <c r="J90" s="85">
        <f t="shared" ca="1" si="111"/>
        <v>318.0763084950176</v>
      </c>
      <c r="K90" s="85">
        <f t="shared" ca="1" si="112"/>
        <v>300.46903282522834</v>
      </c>
      <c r="L90" s="85">
        <f t="shared" ca="1" si="113"/>
        <v>336.87451604397074</v>
      </c>
      <c r="M90" s="85">
        <f t="shared" ca="1" si="114"/>
        <v>264.18019045883705</v>
      </c>
      <c r="N90" s="85">
        <f t="shared" ca="1" si="115"/>
        <v>302.92036800981299</v>
      </c>
      <c r="O90" s="85">
        <f t="shared" ca="1" si="116"/>
        <v>292.26743525784502</v>
      </c>
      <c r="P90" s="85">
        <f t="shared" ca="1" si="117"/>
        <v>305.40111268544399</v>
      </c>
      <c r="Q90" s="85">
        <f t="shared" ca="1" si="118"/>
        <v>319.46345051435532</v>
      </c>
      <c r="R90" s="85">
        <f t="shared" ca="1" si="119"/>
        <v>293.68173258554992</v>
      </c>
      <c r="S90" s="85">
        <f t="shared" ca="1" si="120"/>
        <v>315.01018211938316</v>
      </c>
      <c r="T90" s="85">
        <f t="shared" ca="1" si="121"/>
        <v>307.47042189096999</v>
      </c>
      <c r="U90" s="85">
        <f t="shared" ca="1" si="122"/>
        <v>259.83900052642684</v>
      </c>
      <c r="V90" s="85">
        <f t="shared" ca="1" si="123"/>
        <v>340.50763572152755</v>
      </c>
      <c r="W90" s="85">
        <f t="shared" ca="1" si="124"/>
        <v>311.56474917323442</v>
      </c>
      <c r="X90" s="85">
        <f t="shared" ca="1" si="125"/>
        <v>300.20195480055406</v>
      </c>
      <c r="Y90" s="85">
        <f t="shared" ca="1" si="126"/>
        <v>282.7439261037087</v>
      </c>
      <c r="Z90" s="85">
        <f t="shared" ca="1" si="127"/>
        <v>293.35231733515309</v>
      </c>
      <c r="AA90" s="85">
        <f t="shared" ca="1" si="128"/>
        <v>296.68748968242465</v>
      </c>
      <c r="AB90" s="85">
        <f t="shared" ca="1" si="129"/>
        <v>331.17264295571442</v>
      </c>
      <c r="AC90" s="85">
        <f t="shared" ca="1" si="130"/>
        <v>299.01289555099044</v>
      </c>
      <c r="AD90" s="85">
        <f t="shared" ca="1" si="131"/>
        <v>322.63893741341957</v>
      </c>
      <c r="AE90" s="85">
        <f t="shared" ca="1" si="132"/>
        <v>376.26824166817778</v>
      </c>
      <c r="AF90" s="85">
        <f t="shared" ca="1" si="133"/>
        <v>291.11072323099569</v>
      </c>
      <c r="AG90" s="85">
        <f t="shared" ca="1" si="134"/>
        <v>312.24642509947756</v>
      </c>
      <c r="AH90" s="85">
        <f t="shared" ca="1" si="135"/>
        <v>294.38066946865877</v>
      </c>
      <c r="AI90" s="85">
        <f t="shared" ca="1" si="136"/>
        <v>316.80665973844981</v>
      </c>
      <c r="AJ90" s="85">
        <f t="shared" ca="1" si="137"/>
        <v>345.03576423956235</v>
      </c>
      <c r="AK90" s="85">
        <f t="shared" ca="1" si="138"/>
        <v>320.16989668355927</v>
      </c>
      <c r="AL90" s="85">
        <f t="shared" ca="1" si="139"/>
        <v>318.94855255788224</v>
      </c>
      <c r="AM90" s="85">
        <f t="shared" ca="1" si="140"/>
        <v>296.15611718270742</v>
      </c>
      <c r="AN90" s="85">
        <f t="shared" ca="1" si="141"/>
        <v>328.13986518740148</v>
      </c>
      <c r="AO90" s="85">
        <f t="shared" ca="1" si="142"/>
        <v>312.57566223314427</v>
      </c>
      <c r="AP90" s="85">
        <f t="shared" ca="1" si="143"/>
        <v>340.33478646791531</v>
      </c>
      <c r="AQ90" s="85">
        <f t="shared" ca="1" si="144"/>
        <v>287.05481489096195</v>
      </c>
      <c r="AR90" s="85">
        <f t="shared" ca="1" si="145"/>
        <v>291.29805385640856</v>
      </c>
      <c r="AS90" s="85">
        <f t="shared" ca="1" si="146"/>
        <v>293.58637060525263</v>
      </c>
      <c r="AT90" s="85">
        <f t="shared" ca="1" si="147"/>
        <v>343.63420909784207</v>
      </c>
      <c r="AU90" s="85">
        <f t="shared" ca="1" si="148"/>
        <v>318.06021262413009</v>
      </c>
      <c r="AV90" s="85">
        <f t="shared" ca="1" si="149"/>
        <v>318.74584127096927</v>
      </c>
      <c r="AW90" s="85">
        <f t="shared" ca="1" si="150"/>
        <v>291.1425076780472</v>
      </c>
      <c r="AX90" s="85">
        <f t="shared" ca="1" si="151"/>
        <v>366.36556107045482</v>
      </c>
      <c r="AY90" s="85">
        <f t="shared" ca="1" si="152"/>
        <v>340.1626067140013</v>
      </c>
      <c r="AZ90" s="85">
        <f t="shared" ca="1" si="153"/>
        <v>290.21499359196179</v>
      </c>
      <c r="BA90" s="85">
        <f t="shared" ca="1" si="154"/>
        <v>327.00954083161986</v>
      </c>
      <c r="BB90" s="85">
        <f t="shared" ca="1" si="155"/>
        <v>289.20483761028771</v>
      </c>
      <c r="BC90" s="85">
        <f t="shared" ca="1" si="156"/>
        <v>315.36552515461909</v>
      </c>
      <c r="BD90" s="85">
        <f t="shared" ca="1" si="157"/>
        <v>311.74043707960033</v>
      </c>
      <c r="BE90" s="85">
        <f t="shared" ca="1" si="158"/>
        <v>298.66327622226106</v>
      </c>
      <c r="BF90" s="85">
        <f t="shared" ca="1" si="159"/>
        <v>322.57819886780459</v>
      </c>
      <c r="BG90" s="85">
        <f t="shared" ca="1" si="160"/>
        <v>282.31495492741692</v>
      </c>
      <c r="BH90" s="85">
        <f t="shared" ca="1" si="161"/>
        <v>297.10507957983322</v>
      </c>
      <c r="BI90" s="85">
        <f t="shared" ca="1" si="162"/>
        <v>296.75837201048051</v>
      </c>
      <c r="BJ90" s="85">
        <f t="shared" ca="1" si="163"/>
        <v>338.32876983111072</v>
      </c>
      <c r="BK90" s="85">
        <f t="shared" ca="1" si="164"/>
        <v>317.27052716183783</v>
      </c>
      <c r="BL90" s="85">
        <f t="shared" ca="1" si="165"/>
        <v>305.58268208358942</v>
      </c>
      <c r="BM90" s="85">
        <f t="shared" ca="1" si="166"/>
        <v>277.35074346223479</v>
      </c>
      <c r="BN90" s="85">
        <f t="shared" ca="1" si="103"/>
        <v>333.84367402869475</v>
      </c>
      <c r="BO90" s="85">
        <f t="shared" ca="1" si="192"/>
        <v>345.18323627572698</v>
      </c>
      <c r="BP90" s="85">
        <f t="shared" ca="1" si="193"/>
        <v>278.69477512146506</v>
      </c>
      <c r="BQ90" s="85">
        <f t="shared" ca="1" si="194"/>
        <v>296.53435404434458</v>
      </c>
      <c r="BR90" s="85">
        <f t="shared" ca="1" si="195"/>
        <v>291.33180363473548</v>
      </c>
      <c r="BS90" s="85">
        <f t="shared" ca="1" si="196"/>
        <v>305.83615456126853</v>
      </c>
      <c r="BT90" s="85">
        <f t="shared" ca="1" si="197"/>
        <v>342.25747597704941</v>
      </c>
      <c r="BU90" s="85">
        <f t="shared" ca="1" si="198"/>
        <v>335.23554756061236</v>
      </c>
      <c r="BV90" s="85">
        <f t="shared" ca="1" si="199"/>
        <v>311.76966850055254</v>
      </c>
      <c r="BW90" s="85">
        <f t="shared" ca="1" si="200"/>
        <v>331.07784002837957</v>
      </c>
      <c r="BX90" s="85">
        <f t="shared" ca="1" si="201"/>
        <v>305.29318863711188</v>
      </c>
      <c r="BY90" s="85">
        <f t="shared" ca="1" si="167"/>
        <v>303.16751946694728</v>
      </c>
      <c r="BZ90" s="85">
        <f t="shared" ca="1" si="168"/>
        <v>310.62167966745693</v>
      </c>
      <c r="CA90" s="85">
        <f t="shared" ca="1" si="169"/>
        <v>297.55328390349439</v>
      </c>
      <c r="CB90" s="85">
        <f t="shared" ca="1" si="170"/>
        <v>300.20858801269321</v>
      </c>
      <c r="CC90" s="85">
        <f t="shared" ca="1" si="171"/>
        <v>314.29756989161592</v>
      </c>
      <c r="CD90" s="85">
        <f t="shared" ca="1" si="172"/>
        <v>357.67040335632271</v>
      </c>
      <c r="CE90" s="85">
        <f t="shared" ca="1" si="173"/>
        <v>284.39507852652343</v>
      </c>
      <c r="CF90" s="85">
        <f t="shared" ca="1" si="174"/>
        <v>345.67908015164983</v>
      </c>
      <c r="CG90" s="85">
        <f t="shared" ca="1" si="175"/>
        <v>302.30894722887342</v>
      </c>
      <c r="CH90" s="85">
        <f t="shared" ca="1" si="176"/>
        <v>329.98550818104957</v>
      </c>
      <c r="CI90" s="85">
        <f t="shared" ca="1" si="177"/>
        <v>325.54555744977381</v>
      </c>
      <c r="CJ90" s="85">
        <f t="shared" ca="1" si="178"/>
        <v>302.95044051450861</v>
      </c>
      <c r="CK90" s="85">
        <f t="shared" ca="1" si="179"/>
        <v>290.53980419345567</v>
      </c>
      <c r="CL90" s="85">
        <f t="shared" ca="1" si="180"/>
        <v>294.47797686217297</v>
      </c>
      <c r="CM90" s="85">
        <f t="shared" ca="1" si="181"/>
        <v>325.60406061989369</v>
      </c>
      <c r="CN90" s="85">
        <f t="shared" ca="1" si="182"/>
        <v>302.14746825773352</v>
      </c>
      <c r="CO90" s="85">
        <f t="shared" ca="1" si="183"/>
        <v>294.47606304927643</v>
      </c>
      <c r="CP90" s="85">
        <f t="shared" ca="1" si="184"/>
        <v>362.41867796484615</v>
      </c>
      <c r="CQ90" s="85">
        <f t="shared" ca="1" si="185"/>
        <v>319.31833531439054</v>
      </c>
      <c r="CR90" s="85">
        <f t="shared" ca="1" si="186"/>
        <v>329.03632755753063</v>
      </c>
      <c r="CS90" s="85">
        <f t="shared" ca="1" si="187"/>
        <v>264.10501374220831</v>
      </c>
      <c r="CT90" s="85">
        <f t="shared" ca="1" si="188"/>
        <v>309.23394551829887</v>
      </c>
      <c r="CU90" s="85">
        <f t="shared" ca="1" si="189"/>
        <v>359.89556308544678</v>
      </c>
      <c r="CV90" s="85">
        <f t="shared" ca="1" si="190"/>
        <v>287.5565604233409</v>
      </c>
      <c r="CW90" s="85">
        <f t="shared" ca="1" si="191"/>
        <v>284.57516932104818</v>
      </c>
    </row>
    <row r="91" spans="1:101" x14ac:dyDescent="0.2">
      <c r="A91" s="115">
        <v>88</v>
      </c>
      <c r="B91" s="85">
        <f t="shared" ca="1" si="102"/>
        <v>304.9664224392526</v>
      </c>
      <c r="C91" s="85">
        <f t="shared" ca="1" si="104"/>
        <v>291.86085860823954</v>
      </c>
      <c r="D91" s="85">
        <f t="shared" ca="1" si="105"/>
        <v>310.55109010839129</v>
      </c>
      <c r="E91" s="85">
        <f t="shared" ca="1" si="106"/>
        <v>292.87323062888362</v>
      </c>
      <c r="F91" s="85">
        <f t="shared" ca="1" si="107"/>
        <v>299.20030852614929</v>
      </c>
      <c r="G91" s="85">
        <f t="shared" ca="1" si="108"/>
        <v>309.23648333532878</v>
      </c>
      <c r="H91" s="85">
        <f t="shared" ca="1" si="109"/>
        <v>311.76047894878866</v>
      </c>
      <c r="I91" s="85">
        <f t="shared" ca="1" si="110"/>
        <v>315.28497761791607</v>
      </c>
      <c r="J91" s="85">
        <f t="shared" ca="1" si="111"/>
        <v>322.7292405416091</v>
      </c>
      <c r="K91" s="85">
        <f t="shared" ca="1" si="112"/>
        <v>305.09585638643074</v>
      </c>
      <c r="L91" s="85">
        <f t="shared" ca="1" si="113"/>
        <v>341.35153102753662</v>
      </c>
      <c r="M91" s="85">
        <f t="shared" ca="1" si="114"/>
        <v>266.06064676278186</v>
      </c>
      <c r="N91" s="85">
        <f t="shared" ca="1" si="115"/>
        <v>304.93752762462981</v>
      </c>
      <c r="O91" s="85">
        <f t="shared" ca="1" si="116"/>
        <v>295.09628768001267</v>
      </c>
      <c r="P91" s="85">
        <f t="shared" ca="1" si="117"/>
        <v>306.95019388609524</v>
      </c>
      <c r="Q91" s="85">
        <f t="shared" ca="1" si="118"/>
        <v>324.11669614661008</v>
      </c>
      <c r="R91" s="85">
        <f t="shared" ca="1" si="119"/>
        <v>296.26715399169132</v>
      </c>
      <c r="S91" s="85">
        <f t="shared" ca="1" si="120"/>
        <v>321.03344986795463</v>
      </c>
      <c r="T91" s="85">
        <f t="shared" ca="1" si="121"/>
        <v>308.97058942933495</v>
      </c>
      <c r="U91" s="85">
        <f t="shared" ca="1" si="122"/>
        <v>266.55533326351502</v>
      </c>
      <c r="V91" s="85">
        <f t="shared" ca="1" si="123"/>
        <v>345.52397043648557</v>
      </c>
      <c r="W91" s="85">
        <f t="shared" ca="1" si="124"/>
        <v>314.65660634673424</v>
      </c>
      <c r="X91" s="85">
        <f t="shared" ca="1" si="125"/>
        <v>305.76564859111465</v>
      </c>
      <c r="Y91" s="85">
        <f t="shared" ca="1" si="126"/>
        <v>281.91290427011381</v>
      </c>
      <c r="Z91" s="85">
        <f t="shared" ca="1" si="127"/>
        <v>293.64263700463079</v>
      </c>
      <c r="AA91" s="85">
        <f t="shared" ca="1" si="128"/>
        <v>299.48589961237735</v>
      </c>
      <c r="AB91" s="85">
        <f t="shared" ca="1" si="129"/>
        <v>337.77527392406063</v>
      </c>
      <c r="AC91" s="85">
        <f t="shared" ca="1" si="130"/>
        <v>303.39085701985016</v>
      </c>
      <c r="AD91" s="85">
        <f t="shared" ca="1" si="131"/>
        <v>331.6538325101892</v>
      </c>
      <c r="AE91" s="85">
        <f t="shared" ca="1" si="132"/>
        <v>379.78161783753285</v>
      </c>
      <c r="AF91" s="85">
        <f t="shared" ca="1" si="133"/>
        <v>297.4811354990544</v>
      </c>
      <c r="AG91" s="85">
        <f t="shared" ca="1" si="134"/>
        <v>312.47818763135734</v>
      </c>
      <c r="AH91" s="85">
        <f t="shared" ca="1" si="135"/>
        <v>297.17656198754412</v>
      </c>
      <c r="AI91" s="85">
        <f t="shared" ca="1" si="136"/>
        <v>323.49520705296629</v>
      </c>
      <c r="AJ91" s="85">
        <f t="shared" ca="1" si="137"/>
        <v>350.78226481492044</v>
      </c>
      <c r="AK91" s="85">
        <f t="shared" ca="1" si="138"/>
        <v>324.92934779436024</v>
      </c>
      <c r="AL91" s="85">
        <f t="shared" ca="1" si="139"/>
        <v>327.46988996147718</v>
      </c>
      <c r="AM91" s="85">
        <f t="shared" ca="1" si="140"/>
        <v>299.28941275795029</v>
      </c>
      <c r="AN91" s="85">
        <f t="shared" ca="1" si="141"/>
        <v>334.24708556328653</v>
      </c>
      <c r="AO91" s="85">
        <f t="shared" ca="1" si="142"/>
        <v>320.53859895498209</v>
      </c>
      <c r="AP91" s="85">
        <f t="shared" ca="1" si="143"/>
        <v>347.20040601371846</v>
      </c>
      <c r="AQ91" s="85">
        <f t="shared" ca="1" si="144"/>
        <v>285.93271846894635</v>
      </c>
      <c r="AR91" s="85">
        <f t="shared" ca="1" si="145"/>
        <v>297.47829683449828</v>
      </c>
      <c r="AS91" s="85">
        <f t="shared" ca="1" si="146"/>
        <v>300.3056679280113</v>
      </c>
      <c r="AT91" s="85">
        <f t="shared" ca="1" si="147"/>
        <v>344.57940186046818</v>
      </c>
      <c r="AU91" s="85">
        <f t="shared" ca="1" si="148"/>
        <v>319.99486295480767</v>
      </c>
      <c r="AV91" s="85">
        <f t="shared" ca="1" si="149"/>
        <v>319.29977045257561</v>
      </c>
      <c r="AW91" s="85">
        <f t="shared" ca="1" si="150"/>
        <v>293.9777467308005</v>
      </c>
      <c r="AX91" s="85">
        <f t="shared" ca="1" si="151"/>
        <v>373.14669264481302</v>
      </c>
      <c r="AY91" s="85">
        <f t="shared" ca="1" si="152"/>
        <v>343.68536935317508</v>
      </c>
      <c r="AZ91" s="85">
        <f t="shared" ca="1" si="153"/>
        <v>293.82096764074043</v>
      </c>
      <c r="BA91" s="85">
        <f t="shared" ca="1" si="154"/>
        <v>330.96666697251936</v>
      </c>
      <c r="BB91" s="85">
        <f t="shared" ca="1" si="155"/>
        <v>293.59590087221835</v>
      </c>
      <c r="BC91" s="85">
        <f t="shared" ca="1" si="156"/>
        <v>319.49304443502695</v>
      </c>
      <c r="BD91" s="85">
        <f t="shared" ca="1" si="157"/>
        <v>313.59292028934584</v>
      </c>
      <c r="BE91" s="85">
        <f t="shared" ca="1" si="158"/>
        <v>299.21183605648457</v>
      </c>
      <c r="BF91" s="85">
        <f t="shared" ca="1" si="159"/>
        <v>331.88073643404311</v>
      </c>
      <c r="BG91" s="85">
        <f t="shared" ca="1" si="160"/>
        <v>287.18096487257333</v>
      </c>
      <c r="BH91" s="85">
        <f t="shared" ca="1" si="161"/>
        <v>302.66213525568656</v>
      </c>
      <c r="BI91" s="85">
        <f t="shared" ca="1" si="162"/>
        <v>304.15139612903909</v>
      </c>
      <c r="BJ91" s="85">
        <f t="shared" ca="1" si="163"/>
        <v>340.79687223287226</v>
      </c>
      <c r="BK91" s="85">
        <f t="shared" ca="1" si="164"/>
        <v>318.41755244929152</v>
      </c>
      <c r="BL91" s="85">
        <f t="shared" ca="1" si="165"/>
        <v>304.45496251415176</v>
      </c>
      <c r="BM91" s="85">
        <f t="shared" ca="1" si="166"/>
        <v>277.83109996379017</v>
      </c>
      <c r="BN91" s="85">
        <f t="shared" ca="1" si="103"/>
        <v>341.41014183462192</v>
      </c>
      <c r="BO91" s="85">
        <f t="shared" ca="1" si="192"/>
        <v>350.30638167055025</v>
      </c>
      <c r="BP91" s="85">
        <f t="shared" ca="1" si="193"/>
        <v>282.08831589005854</v>
      </c>
      <c r="BQ91" s="85">
        <f t="shared" ca="1" si="194"/>
        <v>298.93060349232599</v>
      </c>
      <c r="BR91" s="85">
        <f t="shared" ca="1" si="195"/>
        <v>295.61248534688411</v>
      </c>
      <c r="BS91" s="85">
        <f t="shared" ca="1" si="196"/>
        <v>311.52357674860832</v>
      </c>
      <c r="BT91" s="85">
        <f t="shared" ca="1" si="197"/>
        <v>347.27995018385667</v>
      </c>
      <c r="BU91" s="85">
        <f t="shared" ca="1" si="198"/>
        <v>341.18543881685866</v>
      </c>
      <c r="BV91" s="85">
        <f t="shared" ca="1" si="199"/>
        <v>314.50168956605046</v>
      </c>
      <c r="BW91" s="85">
        <f t="shared" ca="1" si="200"/>
        <v>333.48255358693655</v>
      </c>
      <c r="BX91" s="85">
        <f t="shared" ca="1" si="201"/>
        <v>304.36850351623849</v>
      </c>
      <c r="BY91" s="85">
        <f t="shared" ca="1" si="167"/>
        <v>308.32685798707007</v>
      </c>
      <c r="BZ91" s="85">
        <f t="shared" ca="1" si="168"/>
        <v>316.2509831068715</v>
      </c>
      <c r="CA91" s="85">
        <f t="shared" ca="1" si="169"/>
        <v>302.24168144580295</v>
      </c>
      <c r="CB91" s="85">
        <f t="shared" ca="1" si="170"/>
        <v>304.12670854983679</v>
      </c>
      <c r="CC91" s="85">
        <f t="shared" ca="1" si="171"/>
        <v>318.56671653611721</v>
      </c>
      <c r="CD91" s="85">
        <f t="shared" ca="1" si="172"/>
        <v>365.21516548305777</v>
      </c>
      <c r="CE91" s="85">
        <f t="shared" ca="1" si="173"/>
        <v>285.66871254268102</v>
      </c>
      <c r="CF91" s="85">
        <f t="shared" ca="1" si="174"/>
        <v>351.04550815710928</v>
      </c>
      <c r="CG91" s="85">
        <f t="shared" ca="1" si="175"/>
        <v>301.58246587131771</v>
      </c>
      <c r="CH91" s="85">
        <f t="shared" ca="1" si="176"/>
        <v>334.98769465703981</v>
      </c>
      <c r="CI91" s="85">
        <f t="shared" ca="1" si="177"/>
        <v>331.56348573554192</v>
      </c>
      <c r="CJ91" s="85">
        <f t="shared" ca="1" si="178"/>
        <v>307.23332158956003</v>
      </c>
      <c r="CK91" s="85">
        <f t="shared" ca="1" si="179"/>
        <v>298.1168161302673</v>
      </c>
      <c r="CL91" s="85">
        <f t="shared" ca="1" si="180"/>
        <v>299.19725659469401</v>
      </c>
      <c r="CM91" s="85">
        <f t="shared" ca="1" si="181"/>
        <v>332.2011802218052</v>
      </c>
      <c r="CN91" s="85">
        <f t="shared" ca="1" si="182"/>
        <v>306.89019914921607</v>
      </c>
      <c r="CO91" s="85">
        <f t="shared" ca="1" si="183"/>
        <v>296.8728267770677</v>
      </c>
      <c r="CP91" s="85">
        <f t="shared" ca="1" si="184"/>
        <v>367.5501596629461</v>
      </c>
      <c r="CQ91" s="85">
        <f t="shared" ca="1" si="185"/>
        <v>325.19616492843102</v>
      </c>
      <c r="CR91" s="85">
        <f t="shared" ca="1" si="186"/>
        <v>335.74977325365046</v>
      </c>
      <c r="CS91" s="85">
        <f t="shared" ca="1" si="187"/>
        <v>266.74974134347269</v>
      </c>
      <c r="CT91" s="85">
        <f t="shared" ca="1" si="188"/>
        <v>313.04979103291777</v>
      </c>
      <c r="CU91" s="85">
        <f t="shared" ca="1" si="189"/>
        <v>366.77211305754747</v>
      </c>
      <c r="CV91" s="85">
        <f t="shared" ca="1" si="190"/>
        <v>287.7941002148583</v>
      </c>
      <c r="CW91" s="85">
        <f t="shared" ca="1" si="191"/>
        <v>288.05630345035968</v>
      </c>
    </row>
    <row r="92" spans="1:101" x14ac:dyDescent="0.2">
      <c r="A92" s="115">
        <v>89</v>
      </c>
      <c r="B92" s="85">
        <f t="shared" ca="1" si="102"/>
        <v>307.36260372623332</v>
      </c>
      <c r="C92" s="85">
        <f t="shared" ca="1" si="104"/>
        <v>301.09723231226587</v>
      </c>
      <c r="D92" s="85">
        <f t="shared" ca="1" si="105"/>
        <v>316.91519519718963</v>
      </c>
      <c r="E92" s="85">
        <f t="shared" ca="1" si="106"/>
        <v>299.22195808395253</v>
      </c>
      <c r="F92" s="85">
        <f t="shared" ca="1" si="107"/>
        <v>302.17798879072382</v>
      </c>
      <c r="G92" s="85">
        <f t="shared" ca="1" si="108"/>
        <v>311.39224293987724</v>
      </c>
      <c r="H92" s="85">
        <f t="shared" ca="1" si="109"/>
        <v>311.25907157377793</v>
      </c>
      <c r="I92" s="85">
        <f t="shared" ca="1" si="110"/>
        <v>319.78857436804958</v>
      </c>
      <c r="J92" s="85">
        <f t="shared" ca="1" si="111"/>
        <v>325.98909928469556</v>
      </c>
      <c r="K92" s="85">
        <f t="shared" ca="1" si="112"/>
        <v>311.1618030079859</v>
      </c>
      <c r="L92" s="85">
        <f t="shared" ca="1" si="113"/>
        <v>343.79845284451773</v>
      </c>
      <c r="M92" s="85">
        <f t="shared" ca="1" si="114"/>
        <v>269.11003072128557</v>
      </c>
      <c r="N92" s="85">
        <f t="shared" ca="1" si="115"/>
        <v>307.4034763858794</v>
      </c>
      <c r="O92" s="85">
        <f t="shared" ca="1" si="116"/>
        <v>299.01687508628061</v>
      </c>
      <c r="P92" s="85">
        <f t="shared" ca="1" si="117"/>
        <v>310.79555434128531</v>
      </c>
      <c r="Q92" s="85">
        <f t="shared" ca="1" si="118"/>
        <v>327.42660519236205</v>
      </c>
      <c r="R92" s="85">
        <f t="shared" ca="1" si="119"/>
        <v>300.37060205409773</v>
      </c>
      <c r="S92" s="85">
        <f t="shared" ca="1" si="120"/>
        <v>326.37152977157376</v>
      </c>
      <c r="T92" s="85">
        <f t="shared" ca="1" si="121"/>
        <v>316.80982114287485</v>
      </c>
      <c r="U92" s="85">
        <f t="shared" ca="1" si="122"/>
        <v>269.71108558950698</v>
      </c>
      <c r="V92" s="85">
        <f t="shared" ca="1" si="123"/>
        <v>353.2091761545845</v>
      </c>
      <c r="W92" s="85">
        <f t="shared" ca="1" si="124"/>
        <v>317.46519852582873</v>
      </c>
      <c r="X92" s="85">
        <f t="shared" ca="1" si="125"/>
        <v>308.3684367272939</v>
      </c>
      <c r="Y92" s="85">
        <f t="shared" ca="1" si="126"/>
        <v>287.05756146847233</v>
      </c>
      <c r="Z92" s="85">
        <f t="shared" ca="1" si="127"/>
        <v>297.9547261164675</v>
      </c>
      <c r="AA92" s="85">
        <f t="shared" ca="1" si="128"/>
        <v>300.70301808191329</v>
      </c>
      <c r="AB92" s="85">
        <f t="shared" ca="1" si="129"/>
        <v>343.4443515938367</v>
      </c>
      <c r="AC92" s="85">
        <f t="shared" ca="1" si="130"/>
        <v>303.56738172796696</v>
      </c>
      <c r="AD92" s="85">
        <f t="shared" ca="1" si="131"/>
        <v>334.97318694048329</v>
      </c>
      <c r="AE92" s="85">
        <f t="shared" ca="1" si="132"/>
        <v>386.83613621645964</v>
      </c>
      <c r="AF92" s="85">
        <f t="shared" ca="1" si="133"/>
        <v>297.16499799600047</v>
      </c>
      <c r="AG92" s="85">
        <f t="shared" ca="1" si="134"/>
        <v>313.4844120754841</v>
      </c>
      <c r="AH92" s="85">
        <f t="shared" ca="1" si="135"/>
        <v>296.14308901616158</v>
      </c>
      <c r="AI92" s="85">
        <f t="shared" ca="1" si="136"/>
        <v>326.4332920472786</v>
      </c>
      <c r="AJ92" s="85">
        <f t="shared" ca="1" si="137"/>
        <v>356.59763460473971</v>
      </c>
      <c r="AK92" s="85">
        <f t="shared" ca="1" si="138"/>
        <v>326.90678528637824</v>
      </c>
      <c r="AL92" s="85">
        <f t="shared" ca="1" si="139"/>
        <v>336.20673519536689</v>
      </c>
      <c r="AM92" s="85">
        <f t="shared" ca="1" si="140"/>
        <v>304.59454827196669</v>
      </c>
      <c r="AN92" s="85">
        <f t="shared" ca="1" si="141"/>
        <v>343.35875242629965</v>
      </c>
      <c r="AO92" s="85">
        <f t="shared" ca="1" si="142"/>
        <v>326.49777846787623</v>
      </c>
      <c r="AP92" s="85">
        <f t="shared" ca="1" si="143"/>
        <v>350.9876683370041</v>
      </c>
      <c r="AQ92" s="85">
        <f t="shared" ca="1" si="144"/>
        <v>290.11580845595927</v>
      </c>
      <c r="AR92" s="85">
        <f t="shared" ca="1" si="145"/>
        <v>302.12534549341547</v>
      </c>
      <c r="AS92" s="85">
        <f t="shared" ca="1" si="146"/>
        <v>304.10374967238545</v>
      </c>
      <c r="AT92" s="85">
        <f t="shared" ca="1" si="147"/>
        <v>351.71552623295958</v>
      </c>
      <c r="AU92" s="85">
        <f t="shared" ca="1" si="148"/>
        <v>320.41320427134605</v>
      </c>
      <c r="AV92" s="85">
        <f t="shared" ca="1" si="149"/>
        <v>324.38591591974955</v>
      </c>
      <c r="AW92" s="85">
        <f t="shared" ca="1" si="150"/>
        <v>298.26976515380869</v>
      </c>
      <c r="AX92" s="85">
        <f t="shared" ca="1" si="151"/>
        <v>376.51080445883633</v>
      </c>
      <c r="AY92" s="85">
        <f t="shared" ca="1" si="152"/>
        <v>346.98775006241033</v>
      </c>
      <c r="AZ92" s="85">
        <f t="shared" ca="1" si="153"/>
        <v>296.29424396255979</v>
      </c>
      <c r="BA92" s="85">
        <f t="shared" ca="1" si="154"/>
        <v>335.07789510988988</v>
      </c>
      <c r="BB92" s="85">
        <f t="shared" ca="1" si="155"/>
        <v>299.85678228454128</v>
      </c>
      <c r="BC92" s="85">
        <f t="shared" ca="1" si="156"/>
        <v>323.00610080883831</v>
      </c>
      <c r="BD92" s="85">
        <f t="shared" ca="1" si="157"/>
        <v>316.10104175197273</v>
      </c>
      <c r="BE92" s="85">
        <f t="shared" ca="1" si="158"/>
        <v>307.58100408303955</v>
      </c>
      <c r="BF92" s="85">
        <f t="shared" ca="1" si="159"/>
        <v>339.19806126534593</v>
      </c>
      <c r="BG92" s="85">
        <f t="shared" ca="1" si="160"/>
        <v>290.09650608443144</v>
      </c>
      <c r="BH92" s="85">
        <f t="shared" ca="1" si="161"/>
        <v>312.79279227873167</v>
      </c>
      <c r="BI92" s="85">
        <f t="shared" ca="1" si="162"/>
        <v>308.93893922069287</v>
      </c>
      <c r="BJ92" s="85">
        <f t="shared" ca="1" si="163"/>
        <v>341.34575606517967</v>
      </c>
      <c r="BK92" s="85">
        <f t="shared" ca="1" si="164"/>
        <v>324.40004510156598</v>
      </c>
      <c r="BL92" s="85">
        <f t="shared" ca="1" si="165"/>
        <v>307.08640513278084</v>
      </c>
      <c r="BM92" s="85">
        <f t="shared" ca="1" si="166"/>
        <v>278.9822163855809</v>
      </c>
      <c r="BN92" s="85">
        <f t="shared" ca="1" si="103"/>
        <v>345.40357477312727</v>
      </c>
      <c r="BO92" s="85">
        <f t="shared" ca="1" si="192"/>
        <v>351.90709720341789</v>
      </c>
      <c r="BP92" s="85">
        <f t="shared" ca="1" si="193"/>
        <v>285.66178003564988</v>
      </c>
      <c r="BQ92" s="85">
        <f t="shared" ca="1" si="194"/>
        <v>303.70874778041474</v>
      </c>
      <c r="BR92" s="85">
        <f t="shared" ca="1" si="195"/>
        <v>300.91793159222334</v>
      </c>
      <c r="BS92" s="85">
        <f t="shared" ca="1" si="196"/>
        <v>313.86133690195118</v>
      </c>
      <c r="BT92" s="85">
        <f t="shared" ca="1" si="197"/>
        <v>350.39475030829516</v>
      </c>
      <c r="BU92" s="85">
        <f t="shared" ca="1" si="198"/>
        <v>345.10901868574649</v>
      </c>
      <c r="BV92" s="85">
        <f t="shared" ca="1" si="199"/>
        <v>319.09577706476796</v>
      </c>
      <c r="BW92" s="85">
        <f t="shared" ca="1" si="200"/>
        <v>339.26077677472597</v>
      </c>
      <c r="BX92" s="85">
        <f t="shared" ca="1" si="201"/>
        <v>308.62656749894359</v>
      </c>
      <c r="BY92" s="85">
        <f t="shared" ca="1" si="167"/>
        <v>312.73039222199725</v>
      </c>
      <c r="BZ92" s="85">
        <f t="shared" ca="1" si="168"/>
        <v>321.44076354301876</v>
      </c>
      <c r="CA92" s="85">
        <f t="shared" ca="1" si="169"/>
        <v>305.2641286839301</v>
      </c>
      <c r="CB92" s="85">
        <f t="shared" ca="1" si="170"/>
        <v>309.37657989515782</v>
      </c>
      <c r="CC92" s="85">
        <f t="shared" ca="1" si="171"/>
        <v>324.66425532677056</v>
      </c>
      <c r="CD92" s="85">
        <f t="shared" ca="1" si="172"/>
        <v>370.24276211148413</v>
      </c>
      <c r="CE92" s="85">
        <f t="shared" ca="1" si="173"/>
        <v>288.07418516734015</v>
      </c>
      <c r="CF92" s="85">
        <f t="shared" ca="1" si="174"/>
        <v>357.76103715671053</v>
      </c>
      <c r="CG92" s="85">
        <f t="shared" ca="1" si="175"/>
        <v>307.74323230750514</v>
      </c>
      <c r="CH92" s="85">
        <f t="shared" ca="1" si="176"/>
        <v>339.76108991566434</v>
      </c>
      <c r="CI92" s="85">
        <f t="shared" ca="1" si="177"/>
        <v>334.1901610417774</v>
      </c>
      <c r="CJ92" s="85">
        <f t="shared" ca="1" si="178"/>
        <v>314.57609936486779</v>
      </c>
      <c r="CK92" s="85">
        <f t="shared" ca="1" si="179"/>
        <v>303.89451090600136</v>
      </c>
      <c r="CL92" s="85">
        <f t="shared" ca="1" si="180"/>
        <v>304.64367155958183</v>
      </c>
      <c r="CM92" s="85">
        <f t="shared" ca="1" si="181"/>
        <v>340.71409646405488</v>
      </c>
      <c r="CN92" s="85">
        <f t="shared" ca="1" si="182"/>
        <v>310.52060663211608</v>
      </c>
      <c r="CO92" s="85">
        <f t="shared" ca="1" si="183"/>
        <v>301.27245838497214</v>
      </c>
      <c r="CP92" s="85">
        <f t="shared" ca="1" si="184"/>
        <v>372.14515193178823</v>
      </c>
      <c r="CQ92" s="85">
        <f t="shared" ca="1" si="185"/>
        <v>327.86847960273974</v>
      </c>
      <c r="CR92" s="85">
        <f t="shared" ca="1" si="186"/>
        <v>342.34506706787101</v>
      </c>
      <c r="CS92" s="85">
        <f t="shared" ca="1" si="187"/>
        <v>271.7436441550168</v>
      </c>
      <c r="CT92" s="85">
        <f t="shared" ca="1" si="188"/>
        <v>318.05381431889043</v>
      </c>
      <c r="CU92" s="85">
        <f t="shared" ca="1" si="189"/>
        <v>376.75837672028786</v>
      </c>
      <c r="CV92" s="85">
        <f t="shared" ca="1" si="190"/>
        <v>291.15118949475828</v>
      </c>
      <c r="CW92" s="85">
        <f t="shared" ca="1" si="191"/>
        <v>289.52541229102803</v>
      </c>
    </row>
    <row r="93" spans="1:101" x14ac:dyDescent="0.2">
      <c r="A93" s="115">
        <v>90</v>
      </c>
      <c r="B93" s="85">
        <f t="shared" ca="1" si="102"/>
        <v>310.38946621394933</v>
      </c>
      <c r="C93" s="85">
        <f t="shared" ca="1" si="104"/>
        <v>302.13802848659935</v>
      </c>
      <c r="D93" s="85">
        <f t="shared" ca="1" si="105"/>
        <v>316.58674541564147</v>
      </c>
      <c r="E93" s="85">
        <f t="shared" ca="1" si="106"/>
        <v>300.78273247342287</v>
      </c>
      <c r="F93" s="85">
        <f t="shared" ca="1" si="107"/>
        <v>303.88687716666806</v>
      </c>
      <c r="G93" s="85">
        <f t="shared" ca="1" si="108"/>
        <v>316.6261292725008</v>
      </c>
      <c r="H93" s="85">
        <f t="shared" ca="1" si="109"/>
        <v>315.17633556425909</v>
      </c>
      <c r="I93" s="85">
        <f t="shared" ca="1" si="110"/>
        <v>320.55224457388795</v>
      </c>
      <c r="J93" s="85">
        <f t="shared" ca="1" si="111"/>
        <v>329.10676668191292</v>
      </c>
      <c r="K93" s="85">
        <f t="shared" ca="1" si="112"/>
        <v>312.28969523926452</v>
      </c>
      <c r="L93" s="85">
        <f t="shared" ca="1" si="113"/>
        <v>348.23864398365771</v>
      </c>
      <c r="M93" s="85">
        <f t="shared" ca="1" si="114"/>
        <v>271.69229691455246</v>
      </c>
      <c r="N93" s="85">
        <f t="shared" ca="1" si="115"/>
        <v>309.94520192174701</v>
      </c>
      <c r="O93" s="85">
        <f t="shared" ca="1" si="116"/>
        <v>303.20603019226553</v>
      </c>
      <c r="P93" s="85">
        <f t="shared" ca="1" si="117"/>
        <v>314.8917272696271</v>
      </c>
      <c r="Q93" s="85">
        <f t="shared" ca="1" si="118"/>
        <v>337.11356831538609</v>
      </c>
      <c r="R93" s="85">
        <f t="shared" ca="1" si="119"/>
        <v>306.64767904613365</v>
      </c>
      <c r="S93" s="85">
        <f t="shared" ca="1" si="120"/>
        <v>330.92779947674893</v>
      </c>
      <c r="T93" s="85">
        <f t="shared" ca="1" si="121"/>
        <v>320.23725648197205</v>
      </c>
      <c r="U93" s="85">
        <f t="shared" ca="1" si="122"/>
        <v>273.9737441098697</v>
      </c>
      <c r="V93" s="85">
        <f t="shared" ca="1" si="123"/>
        <v>358.97953494425417</v>
      </c>
      <c r="W93" s="85">
        <f t="shared" ca="1" si="124"/>
        <v>321.25005616967422</v>
      </c>
      <c r="X93" s="85">
        <f t="shared" ca="1" si="125"/>
        <v>306.89259416924159</v>
      </c>
      <c r="Y93" s="85">
        <f t="shared" ca="1" si="126"/>
        <v>292.40315309435448</v>
      </c>
      <c r="Z93" s="85">
        <f t="shared" ca="1" si="127"/>
        <v>301.8352647798007</v>
      </c>
      <c r="AA93" s="85">
        <f t="shared" ca="1" si="128"/>
        <v>305.01613375960903</v>
      </c>
      <c r="AB93" s="85">
        <f t="shared" ca="1" si="129"/>
        <v>350.654288249079</v>
      </c>
      <c r="AC93" s="85">
        <f t="shared" ca="1" si="130"/>
        <v>305.72067569982141</v>
      </c>
      <c r="AD93" s="85">
        <f t="shared" ca="1" si="131"/>
        <v>342.37194922817514</v>
      </c>
      <c r="AE93" s="85">
        <f t="shared" ca="1" si="132"/>
        <v>390.31903180727835</v>
      </c>
      <c r="AF93" s="85">
        <f t="shared" ca="1" si="133"/>
        <v>301.94767716882842</v>
      </c>
      <c r="AG93" s="85">
        <f t="shared" ca="1" si="134"/>
        <v>318.37305748477337</v>
      </c>
      <c r="AH93" s="85">
        <f t="shared" ca="1" si="135"/>
        <v>296.38388334656679</v>
      </c>
      <c r="AI93" s="85">
        <f t="shared" ca="1" si="136"/>
        <v>335.73663846200492</v>
      </c>
      <c r="AJ93" s="85">
        <f t="shared" ca="1" si="137"/>
        <v>363.92245907031963</v>
      </c>
      <c r="AK93" s="85">
        <f t="shared" ca="1" si="138"/>
        <v>330.51632004015045</v>
      </c>
      <c r="AL93" s="85">
        <f t="shared" ca="1" si="139"/>
        <v>341.38026130948958</v>
      </c>
      <c r="AM93" s="85">
        <f t="shared" ca="1" si="140"/>
        <v>316.4896260886228</v>
      </c>
      <c r="AN93" s="85">
        <f t="shared" ca="1" si="141"/>
        <v>354.16343175754599</v>
      </c>
      <c r="AO93" s="85">
        <f t="shared" ca="1" si="142"/>
        <v>335.3633275216838</v>
      </c>
      <c r="AP93" s="85">
        <f t="shared" ca="1" si="143"/>
        <v>354.55839717208704</v>
      </c>
      <c r="AQ93" s="85">
        <f t="shared" ca="1" si="144"/>
        <v>294.63740510922759</v>
      </c>
      <c r="AR93" s="85">
        <f t="shared" ca="1" si="145"/>
        <v>308.73536964438119</v>
      </c>
      <c r="AS93" s="85">
        <f t="shared" ca="1" si="146"/>
        <v>307.64622251899385</v>
      </c>
      <c r="AT93" s="85">
        <f t="shared" ca="1" si="147"/>
        <v>361.70155539086608</v>
      </c>
      <c r="AU93" s="85">
        <f t="shared" ca="1" si="148"/>
        <v>324.62435518091843</v>
      </c>
      <c r="AV93" s="85">
        <f t="shared" ca="1" si="149"/>
        <v>330.06020588955749</v>
      </c>
      <c r="AW93" s="85">
        <f t="shared" ca="1" si="150"/>
        <v>302.71953279264056</v>
      </c>
      <c r="AX93" s="85">
        <f t="shared" ca="1" si="151"/>
        <v>380.86692488114483</v>
      </c>
      <c r="AY93" s="85">
        <f t="shared" ca="1" si="152"/>
        <v>350.47659925290128</v>
      </c>
      <c r="AZ93" s="85">
        <f t="shared" ca="1" si="153"/>
        <v>302.21136091730165</v>
      </c>
      <c r="BA93" s="85">
        <f t="shared" ca="1" si="154"/>
        <v>342.87349726522825</v>
      </c>
      <c r="BB93" s="85">
        <f t="shared" ca="1" si="155"/>
        <v>305.78112533430084</v>
      </c>
      <c r="BC93" s="85">
        <f t="shared" ca="1" si="156"/>
        <v>325.40191100337915</v>
      </c>
      <c r="BD93" s="85">
        <f t="shared" ca="1" si="157"/>
        <v>319.35646212039865</v>
      </c>
      <c r="BE93" s="85">
        <f t="shared" ca="1" si="158"/>
        <v>312.92732553148915</v>
      </c>
      <c r="BF93" s="85">
        <f t="shared" ca="1" si="159"/>
        <v>341.91828817321647</v>
      </c>
      <c r="BG93" s="85">
        <f t="shared" ca="1" si="160"/>
        <v>293.35675039572453</v>
      </c>
      <c r="BH93" s="85">
        <f t="shared" ca="1" si="161"/>
        <v>315.51574861359074</v>
      </c>
      <c r="BI93" s="85">
        <f t="shared" ca="1" si="162"/>
        <v>309.82328613966524</v>
      </c>
      <c r="BJ93" s="85">
        <f t="shared" ca="1" si="163"/>
        <v>342.33980147458124</v>
      </c>
      <c r="BK93" s="85">
        <f t="shared" ca="1" si="164"/>
        <v>326.09922001918881</v>
      </c>
      <c r="BL93" s="85">
        <f t="shared" ca="1" si="165"/>
        <v>314.21934873303331</v>
      </c>
      <c r="BM93" s="85">
        <f t="shared" ca="1" si="166"/>
        <v>277.88671186917344</v>
      </c>
      <c r="BN93" s="85">
        <f t="shared" ca="1" si="103"/>
        <v>348.60260511006959</v>
      </c>
      <c r="BO93" s="85">
        <f t="shared" ca="1" si="192"/>
        <v>359.03503931024215</v>
      </c>
      <c r="BP93" s="85">
        <f t="shared" ca="1" si="193"/>
        <v>286.19195648909715</v>
      </c>
      <c r="BQ93" s="85">
        <f t="shared" ca="1" si="194"/>
        <v>307.10825546968448</v>
      </c>
      <c r="BR93" s="85">
        <f t="shared" ca="1" si="195"/>
        <v>307.4493135520691</v>
      </c>
      <c r="BS93" s="85">
        <f t="shared" ca="1" si="196"/>
        <v>317.79940804687055</v>
      </c>
      <c r="BT93" s="85">
        <f t="shared" ca="1" si="197"/>
        <v>356.08936496842313</v>
      </c>
      <c r="BU93" s="85">
        <f t="shared" ca="1" si="198"/>
        <v>350.71203317845283</v>
      </c>
      <c r="BV93" s="85">
        <f t="shared" ca="1" si="199"/>
        <v>319.50996342869729</v>
      </c>
      <c r="BW93" s="85">
        <f t="shared" ca="1" si="200"/>
        <v>344.35070324449697</v>
      </c>
      <c r="BX93" s="85">
        <f t="shared" ca="1" si="201"/>
        <v>313.62697531243822</v>
      </c>
      <c r="BY93" s="85">
        <f t="shared" ca="1" si="167"/>
        <v>315.63493290440101</v>
      </c>
      <c r="BZ93" s="85">
        <f t="shared" ca="1" si="168"/>
        <v>324.06425385460216</v>
      </c>
      <c r="CA93" s="85">
        <f t="shared" ca="1" si="169"/>
        <v>309.06311419261669</v>
      </c>
      <c r="CB93" s="85">
        <f t="shared" ca="1" si="170"/>
        <v>315.12259418013087</v>
      </c>
      <c r="CC93" s="85">
        <f t="shared" ca="1" si="171"/>
        <v>333.47184014821136</v>
      </c>
      <c r="CD93" s="85">
        <f t="shared" ca="1" si="172"/>
        <v>374.85251837924449</v>
      </c>
      <c r="CE93" s="85">
        <f t="shared" ca="1" si="173"/>
        <v>288.72255649764173</v>
      </c>
      <c r="CF93" s="85">
        <f t="shared" ca="1" si="174"/>
        <v>363.08630817041217</v>
      </c>
      <c r="CG93" s="85">
        <f t="shared" ca="1" si="175"/>
        <v>309.62352701984037</v>
      </c>
      <c r="CH93" s="85">
        <f t="shared" ca="1" si="176"/>
        <v>342.18005495233194</v>
      </c>
      <c r="CI93" s="85">
        <f t="shared" ca="1" si="177"/>
        <v>338.98871034481675</v>
      </c>
      <c r="CJ93" s="85">
        <f t="shared" ca="1" si="178"/>
        <v>317.03186093792925</v>
      </c>
      <c r="CK93" s="85">
        <f t="shared" ca="1" si="179"/>
        <v>308.62102544704663</v>
      </c>
      <c r="CL93" s="85">
        <f t="shared" ca="1" si="180"/>
        <v>304.43955570934344</v>
      </c>
      <c r="CM93" s="85">
        <f t="shared" ca="1" si="181"/>
        <v>344.87311394147582</v>
      </c>
      <c r="CN93" s="85">
        <f t="shared" ca="1" si="182"/>
        <v>312.65555964313864</v>
      </c>
      <c r="CO93" s="85">
        <f t="shared" ca="1" si="183"/>
        <v>304.28325189600628</v>
      </c>
      <c r="CP93" s="85">
        <f t="shared" ca="1" si="184"/>
        <v>375.02812038925202</v>
      </c>
      <c r="CQ93" s="85">
        <f t="shared" ca="1" si="185"/>
        <v>334.02732015682466</v>
      </c>
      <c r="CR93" s="85">
        <f t="shared" ca="1" si="186"/>
        <v>346.41667720081432</v>
      </c>
      <c r="CS93" s="85">
        <f t="shared" ca="1" si="187"/>
        <v>275.07897944945518</v>
      </c>
      <c r="CT93" s="85">
        <f t="shared" ca="1" si="188"/>
        <v>323.49008453904065</v>
      </c>
      <c r="CU93" s="85">
        <f t="shared" ca="1" si="189"/>
        <v>387.42861549998639</v>
      </c>
      <c r="CV93" s="85">
        <f t="shared" ca="1" si="190"/>
        <v>293.75274802876316</v>
      </c>
      <c r="CW93" s="85">
        <f t="shared" ca="1" si="191"/>
        <v>294.67619975125791</v>
      </c>
    </row>
    <row r="94" spans="1:101" x14ac:dyDescent="0.2">
      <c r="A94" s="115">
        <v>91</v>
      </c>
      <c r="B94" s="85">
        <f t="shared" ca="1" si="102"/>
        <v>312.36691284356419</v>
      </c>
      <c r="C94" s="85">
        <f t="shared" ca="1" si="104"/>
        <v>306.247864156719</v>
      </c>
      <c r="D94" s="85">
        <f t="shared" ca="1" si="105"/>
        <v>315.83727481738657</v>
      </c>
      <c r="E94" s="85">
        <f t="shared" ca="1" si="106"/>
        <v>304.83242799149366</v>
      </c>
      <c r="F94" s="85">
        <f t="shared" ca="1" si="107"/>
        <v>306.47118333466477</v>
      </c>
      <c r="G94" s="85">
        <f t="shared" ca="1" si="108"/>
        <v>322.83783714524191</v>
      </c>
      <c r="H94" s="85">
        <f t="shared" ca="1" si="109"/>
        <v>321.94511705295901</v>
      </c>
      <c r="I94" s="85">
        <f t="shared" ca="1" si="110"/>
        <v>321.35037230474717</v>
      </c>
      <c r="J94" s="85">
        <f t="shared" ca="1" si="111"/>
        <v>331.75254235818312</v>
      </c>
      <c r="K94" s="85">
        <f t="shared" ca="1" si="112"/>
        <v>317.23789352319574</v>
      </c>
      <c r="L94" s="85">
        <f t="shared" ca="1" si="113"/>
        <v>352.01275678782224</v>
      </c>
      <c r="M94" s="85">
        <f t="shared" ca="1" si="114"/>
        <v>272.7823216098422</v>
      </c>
      <c r="N94" s="85">
        <f t="shared" ca="1" si="115"/>
        <v>314.89189074425281</v>
      </c>
      <c r="O94" s="85">
        <f t="shared" ca="1" si="116"/>
        <v>310.001686496518</v>
      </c>
      <c r="P94" s="85">
        <f t="shared" ca="1" si="117"/>
        <v>318.0552162378483</v>
      </c>
      <c r="Q94" s="85">
        <f t="shared" ca="1" si="118"/>
        <v>342.55461549517094</v>
      </c>
      <c r="R94" s="85">
        <f t="shared" ca="1" si="119"/>
        <v>310.67011212590626</v>
      </c>
      <c r="S94" s="85">
        <f t="shared" ca="1" si="120"/>
        <v>334.68755940035021</v>
      </c>
      <c r="T94" s="85">
        <f t="shared" ca="1" si="121"/>
        <v>322.15450314520342</v>
      </c>
      <c r="U94" s="85">
        <f t="shared" ca="1" si="122"/>
        <v>279.56799029217427</v>
      </c>
      <c r="V94" s="85">
        <f t="shared" ca="1" si="123"/>
        <v>363.84755110185841</v>
      </c>
      <c r="W94" s="85">
        <f t="shared" ca="1" si="124"/>
        <v>325.40728679977548</v>
      </c>
      <c r="X94" s="85">
        <f t="shared" ca="1" si="125"/>
        <v>314.75182023928238</v>
      </c>
      <c r="Y94" s="85">
        <f t="shared" ca="1" si="126"/>
        <v>300.08961155966097</v>
      </c>
      <c r="Z94" s="85">
        <f t="shared" ca="1" si="127"/>
        <v>310.52999325678826</v>
      </c>
      <c r="AA94" s="85">
        <f t="shared" ca="1" si="128"/>
        <v>310.01692265282918</v>
      </c>
      <c r="AB94" s="85">
        <f t="shared" ca="1" si="129"/>
        <v>355.10063388436504</v>
      </c>
      <c r="AC94" s="85">
        <f t="shared" ca="1" si="130"/>
        <v>306.16062639173606</v>
      </c>
      <c r="AD94" s="85">
        <f t="shared" ca="1" si="131"/>
        <v>344.80407392775317</v>
      </c>
      <c r="AE94" s="85">
        <f t="shared" ca="1" si="132"/>
        <v>400.05411720544572</v>
      </c>
      <c r="AF94" s="85">
        <f t="shared" ca="1" si="133"/>
        <v>312.28131055189539</v>
      </c>
      <c r="AG94" s="85">
        <f t="shared" ca="1" si="134"/>
        <v>325.81496013673842</v>
      </c>
      <c r="AH94" s="85">
        <f t="shared" ca="1" si="135"/>
        <v>296.19733496838023</v>
      </c>
      <c r="AI94" s="85">
        <f t="shared" ca="1" si="136"/>
        <v>338.51998393769287</v>
      </c>
      <c r="AJ94" s="85">
        <f t="shared" ca="1" si="137"/>
        <v>372.30506194127611</v>
      </c>
      <c r="AK94" s="85">
        <f t="shared" ca="1" si="138"/>
        <v>337.65387193139424</v>
      </c>
      <c r="AL94" s="85">
        <f t="shared" ca="1" si="139"/>
        <v>346.16620453634624</v>
      </c>
      <c r="AM94" s="85">
        <f t="shared" ca="1" si="140"/>
        <v>322.25963984879422</v>
      </c>
      <c r="AN94" s="85">
        <f t="shared" ca="1" si="141"/>
        <v>356.9915612741612</v>
      </c>
      <c r="AO94" s="85">
        <f t="shared" ca="1" si="142"/>
        <v>343.22975877688441</v>
      </c>
      <c r="AP94" s="85">
        <f t="shared" ca="1" si="143"/>
        <v>358.90594838964353</v>
      </c>
      <c r="AQ94" s="85">
        <f t="shared" ca="1" si="144"/>
        <v>301.18522671704841</v>
      </c>
      <c r="AR94" s="85">
        <f t="shared" ca="1" si="145"/>
        <v>314.47771895115454</v>
      </c>
      <c r="AS94" s="85">
        <f t="shared" ca="1" si="146"/>
        <v>312.00430075064645</v>
      </c>
      <c r="AT94" s="85">
        <f t="shared" ca="1" si="147"/>
        <v>365.2560689250617</v>
      </c>
      <c r="AU94" s="85">
        <f t="shared" ca="1" si="148"/>
        <v>329.97544661465196</v>
      </c>
      <c r="AV94" s="85">
        <f t="shared" ca="1" si="149"/>
        <v>331.52873974966781</v>
      </c>
      <c r="AW94" s="85">
        <f t="shared" ca="1" si="150"/>
        <v>303.14530865661908</v>
      </c>
      <c r="AX94" s="85">
        <f t="shared" ca="1" si="151"/>
        <v>382.67062599385935</v>
      </c>
      <c r="AY94" s="85">
        <f t="shared" ca="1" si="152"/>
        <v>358.28406258233542</v>
      </c>
      <c r="AZ94" s="85">
        <f t="shared" ca="1" si="153"/>
        <v>307.00554258542473</v>
      </c>
      <c r="BA94" s="85">
        <f t="shared" ca="1" si="154"/>
        <v>348.20167674777673</v>
      </c>
      <c r="BB94" s="85">
        <f t="shared" ca="1" si="155"/>
        <v>313.45181255480981</v>
      </c>
      <c r="BC94" s="85">
        <f t="shared" ca="1" si="156"/>
        <v>328.07393962941899</v>
      </c>
      <c r="BD94" s="85">
        <f t="shared" ca="1" si="157"/>
        <v>324.14792444422153</v>
      </c>
      <c r="BE94" s="85">
        <f t="shared" ca="1" si="158"/>
        <v>319.45436737887098</v>
      </c>
      <c r="BF94" s="85">
        <f t="shared" ca="1" si="159"/>
        <v>349.65590127961985</v>
      </c>
      <c r="BG94" s="85">
        <f t="shared" ca="1" si="160"/>
        <v>299.27394573666663</v>
      </c>
      <c r="BH94" s="85">
        <f t="shared" ca="1" si="161"/>
        <v>323.72611181227876</v>
      </c>
      <c r="BI94" s="85">
        <f t="shared" ca="1" si="162"/>
        <v>319.22907872557289</v>
      </c>
      <c r="BJ94" s="85">
        <f t="shared" ca="1" si="163"/>
        <v>345.78843078554155</v>
      </c>
      <c r="BK94" s="85">
        <f t="shared" ca="1" si="164"/>
        <v>330.95145229669538</v>
      </c>
      <c r="BL94" s="85">
        <f t="shared" ca="1" si="165"/>
        <v>323.99192827453891</v>
      </c>
      <c r="BM94" s="85">
        <f t="shared" ca="1" si="166"/>
        <v>280.47981481048606</v>
      </c>
      <c r="BN94" s="85">
        <f t="shared" ca="1" si="103"/>
        <v>352.74497400445603</v>
      </c>
      <c r="BO94" s="85">
        <f t="shared" ca="1" si="192"/>
        <v>364.3854534583179</v>
      </c>
      <c r="BP94" s="85">
        <f t="shared" ca="1" si="193"/>
        <v>289.42754713781102</v>
      </c>
      <c r="BQ94" s="85">
        <f t="shared" ca="1" si="194"/>
        <v>306.4293784328857</v>
      </c>
      <c r="BR94" s="85">
        <f t="shared" ca="1" si="195"/>
        <v>308.23508820788663</v>
      </c>
      <c r="BS94" s="85">
        <f t="shared" ca="1" si="196"/>
        <v>323.64668121197036</v>
      </c>
      <c r="BT94" s="85">
        <f t="shared" ca="1" si="197"/>
        <v>362.08658136887726</v>
      </c>
      <c r="BU94" s="85">
        <f t="shared" ca="1" si="198"/>
        <v>352.25388507787312</v>
      </c>
      <c r="BV94" s="85">
        <f t="shared" ca="1" si="199"/>
        <v>323.73409369994465</v>
      </c>
      <c r="BW94" s="85">
        <f t="shared" ca="1" si="200"/>
        <v>346.36545762030823</v>
      </c>
      <c r="BX94" s="85">
        <f t="shared" ca="1" si="201"/>
        <v>323.30728678416659</v>
      </c>
      <c r="BY94" s="85">
        <f t="shared" ca="1" si="167"/>
        <v>319.19467241025012</v>
      </c>
      <c r="BZ94" s="85">
        <f t="shared" ca="1" si="168"/>
        <v>330.15290021862273</v>
      </c>
      <c r="CA94" s="85">
        <f t="shared" ca="1" si="169"/>
        <v>313.92293648223381</v>
      </c>
      <c r="CB94" s="85">
        <f t="shared" ca="1" si="170"/>
        <v>317.97848574745882</v>
      </c>
      <c r="CC94" s="85">
        <f t="shared" ca="1" si="171"/>
        <v>338.80736100285293</v>
      </c>
      <c r="CD94" s="85">
        <f t="shared" ca="1" si="172"/>
        <v>382.47466878937229</v>
      </c>
      <c r="CE94" s="85">
        <f t="shared" ca="1" si="173"/>
        <v>289.37866458064929</v>
      </c>
      <c r="CF94" s="85">
        <f t="shared" ca="1" si="174"/>
        <v>368.84364210245218</v>
      </c>
      <c r="CG94" s="85">
        <f t="shared" ca="1" si="175"/>
        <v>310.63125713810558</v>
      </c>
      <c r="CH94" s="85">
        <f t="shared" ca="1" si="176"/>
        <v>349.19612488242217</v>
      </c>
      <c r="CI94" s="85">
        <f t="shared" ca="1" si="177"/>
        <v>341.46489864341004</v>
      </c>
      <c r="CJ94" s="85">
        <f t="shared" ca="1" si="178"/>
        <v>322.24682134517678</v>
      </c>
      <c r="CK94" s="85">
        <f t="shared" ca="1" si="179"/>
        <v>314.67125907345996</v>
      </c>
      <c r="CL94" s="85">
        <f t="shared" ca="1" si="180"/>
        <v>307.79978589042821</v>
      </c>
      <c r="CM94" s="85">
        <f t="shared" ca="1" si="181"/>
        <v>354.85819404709224</v>
      </c>
      <c r="CN94" s="85">
        <f t="shared" ca="1" si="182"/>
        <v>315.0563125285484</v>
      </c>
      <c r="CO94" s="85">
        <f t="shared" ca="1" si="183"/>
        <v>309.75783932154496</v>
      </c>
      <c r="CP94" s="85">
        <f t="shared" ca="1" si="184"/>
        <v>381.23223931198788</v>
      </c>
      <c r="CQ94" s="85">
        <f t="shared" ca="1" si="185"/>
        <v>339.40074574482287</v>
      </c>
      <c r="CR94" s="85">
        <f t="shared" ca="1" si="186"/>
        <v>354.32169417692768</v>
      </c>
      <c r="CS94" s="85">
        <f t="shared" ca="1" si="187"/>
        <v>278.68617586026579</v>
      </c>
      <c r="CT94" s="85">
        <f t="shared" ca="1" si="188"/>
        <v>328.14472547870128</v>
      </c>
      <c r="CU94" s="85">
        <f t="shared" ca="1" si="189"/>
        <v>388.13613444944531</v>
      </c>
      <c r="CV94" s="85">
        <f t="shared" ca="1" si="190"/>
        <v>298.02638387700927</v>
      </c>
      <c r="CW94" s="85">
        <f t="shared" ca="1" si="191"/>
        <v>298.85206946776077</v>
      </c>
    </row>
    <row r="95" spans="1:101" x14ac:dyDescent="0.2">
      <c r="A95" s="115">
        <v>92</v>
      </c>
      <c r="B95" s="85">
        <f t="shared" ca="1" si="102"/>
        <v>316.2379966298497</v>
      </c>
      <c r="C95" s="85">
        <f t="shared" ca="1" si="104"/>
        <v>311.66932690374784</v>
      </c>
      <c r="D95" s="85">
        <f t="shared" ca="1" si="105"/>
        <v>315.44738928206613</v>
      </c>
      <c r="E95" s="85">
        <f t="shared" ca="1" si="106"/>
        <v>309.9050302416091</v>
      </c>
      <c r="F95" s="85">
        <f t="shared" ca="1" si="107"/>
        <v>307.51271206453134</v>
      </c>
      <c r="G95" s="85">
        <f t="shared" ca="1" si="108"/>
        <v>326.93642551452115</v>
      </c>
      <c r="H95" s="85">
        <f t="shared" ca="1" si="109"/>
        <v>324.79549961380809</v>
      </c>
      <c r="I95" s="85">
        <f t="shared" ca="1" si="110"/>
        <v>325.80709517199381</v>
      </c>
      <c r="J95" s="85">
        <f t="shared" ca="1" si="111"/>
        <v>334.2202150349176</v>
      </c>
      <c r="K95" s="85">
        <f t="shared" ca="1" si="112"/>
        <v>322.31729570751997</v>
      </c>
      <c r="L95" s="85">
        <f t="shared" ca="1" si="113"/>
        <v>356.13807470941993</v>
      </c>
      <c r="M95" s="85">
        <f t="shared" ca="1" si="114"/>
        <v>277.41308790312507</v>
      </c>
      <c r="N95" s="85">
        <f t="shared" ca="1" si="115"/>
        <v>318.38297339808196</v>
      </c>
      <c r="O95" s="85">
        <f t="shared" ca="1" si="116"/>
        <v>315.19922572700409</v>
      </c>
      <c r="P95" s="85">
        <f t="shared" ca="1" si="117"/>
        <v>319.4101494751269</v>
      </c>
      <c r="Q95" s="85">
        <f t="shared" ca="1" si="118"/>
        <v>346.75393617048331</v>
      </c>
      <c r="R95" s="85">
        <f t="shared" ca="1" si="119"/>
        <v>312.32719148281041</v>
      </c>
      <c r="S95" s="85">
        <f t="shared" ca="1" si="120"/>
        <v>335.54631896118826</v>
      </c>
      <c r="T95" s="85">
        <f t="shared" ca="1" si="121"/>
        <v>329.27094535130556</v>
      </c>
      <c r="U95" s="85">
        <f t="shared" ca="1" si="122"/>
        <v>287.63403538563489</v>
      </c>
      <c r="V95" s="85">
        <f t="shared" ca="1" si="123"/>
        <v>366.05383765534509</v>
      </c>
      <c r="W95" s="85">
        <f t="shared" ca="1" si="124"/>
        <v>333.54150145043383</v>
      </c>
      <c r="X95" s="85">
        <f t="shared" ca="1" si="125"/>
        <v>321.17880522169418</v>
      </c>
      <c r="Y95" s="85">
        <f t="shared" ca="1" si="126"/>
        <v>299.72573545370557</v>
      </c>
      <c r="Z95" s="85">
        <f t="shared" ca="1" si="127"/>
        <v>316.54757834125513</v>
      </c>
      <c r="AA95" s="85">
        <f t="shared" ca="1" si="128"/>
        <v>314.37893136627065</v>
      </c>
      <c r="AB95" s="85">
        <f t="shared" ca="1" si="129"/>
        <v>362.02599622168805</v>
      </c>
      <c r="AC95" s="85">
        <f t="shared" ca="1" si="130"/>
        <v>310.94733722451383</v>
      </c>
      <c r="AD95" s="85">
        <f t="shared" ca="1" si="131"/>
        <v>349.61495089290855</v>
      </c>
      <c r="AE95" s="85">
        <f t="shared" ca="1" si="132"/>
        <v>406.5611356839724</v>
      </c>
      <c r="AF95" s="85">
        <f t="shared" ca="1" si="133"/>
        <v>318.82341044856798</v>
      </c>
      <c r="AG95" s="85">
        <f t="shared" ca="1" si="134"/>
        <v>328.61796974171358</v>
      </c>
      <c r="AH95" s="85">
        <f t="shared" ca="1" si="135"/>
        <v>297.44987932412232</v>
      </c>
      <c r="AI95" s="85">
        <f t="shared" ca="1" si="136"/>
        <v>344.33839860977554</v>
      </c>
      <c r="AJ95" s="85">
        <f t="shared" ca="1" si="137"/>
        <v>376.21629939643708</v>
      </c>
      <c r="AK95" s="85">
        <f t="shared" ca="1" si="138"/>
        <v>345.05713663433352</v>
      </c>
      <c r="AL95" s="85">
        <f t="shared" ca="1" si="139"/>
        <v>353.11519529350323</v>
      </c>
      <c r="AM95" s="85">
        <f t="shared" ca="1" si="140"/>
        <v>325.39925560694599</v>
      </c>
      <c r="AN95" s="85">
        <f t="shared" ca="1" si="141"/>
        <v>363.52988409263099</v>
      </c>
      <c r="AO95" s="85">
        <f t="shared" ca="1" si="142"/>
        <v>353.23659033748919</v>
      </c>
      <c r="AP95" s="85">
        <f t="shared" ca="1" si="143"/>
        <v>361.14188047185138</v>
      </c>
      <c r="AQ95" s="85">
        <f t="shared" ca="1" si="144"/>
        <v>303.24304285866242</v>
      </c>
      <c r="AR95" s="85">
        <f t="shared" ca="1" si="145"/>
        <v>318.87578668635251</v>
      </c>
      <c r="AS95" s="85">
        <f t="shared" ca="1" si="146"/>
        <v>314.07401619148891</v>
      </c>
      <c r="AT95" s="85">
        <f t="shared" ca="1" si="147"/>
        <v>372.64452125720197</v>
      </c>
      <c r="AU95" s="85">
        <f t="shared" ca="1" si="148"/>
        <v>334.41941332774383</v>
      </c>
      <c r="AV95" s="85">
        <f t="shared" ca="1" si="149"/>
        <v>334.66022361887036</v>
      </c>
      <c r="AW95" s="85">
        <f t="shared" ca="1" si="150"/>
        <v>306.01302147515389</v>
      </c>
      <c r="AX95" s="85">
        <f t="shared" ca="1" si="151"/>
        <v>387.01100798594746</v>
      </c>
      <c r="AY95" s="85">
        <f t="shared" ca="1" si="152"/>
        <v>365.47977590887945</v>
      </c>
      <c r="AZ95" s="85">
        <f t="shared" ca="1" si="153"/>
        <v>311.6798576958962</v>
      </c>
      <c r="BA95" s="85">
        <f t="shared" ca="1" si="154"/>
        <v>349.99908943275341</v>
      </c>
      <c r="BB95" s="85">
        <f t="shared" ca="1" si="155"/>
        <v>315.92559497838715</v>
      </c>
      <c r="BC95" s="85">
        <f t="shared" ca="1" si="156"/>
        <v>331.01393590334555</v>
      </c>
      <c r="BD95" s="85">
        <f t="shared" ca="1" si="157"/>
        <v>329.37873527821762</v>
      </c>
      <c r="BE95" s="85">
        <f t="shared" ca="1" si="158"/>
        <v>323.71279379022087</v>
      </c>
      <c r="BF95" s="85">
        <f t="shared" ca="1" si="159"/>
        <v>350.8476490057314</v>
      </c>
      <c r="BG95" s="85">
        <f t="shared" ca="1" si="160"/>
        <v>302.76343447531747</v>
      </c>
      <c r="BH95" s="85">
        <f t="shared" ca="1" si="161"/>
        <v>332.75911229543311</v>
      </c>
      <c r="BI95" s="85">
        <f t="shared" ca="1" si="162"/>
        <v>322.63714806804035</v>
      </c>
      <c r="BJ95" s="85">
        <f t="shared" ca="1" si="163"/>
        <v>351.71138201069436</v>
      </c>
      <c r="BK95" s="85">
        <f t="shared" ca="1" si="164"/>
        <v>338.12728447935871</v>
      </c>
      <c r="BL95" s="85">
        <f t="shared" ca="1" si="165"/>
        <v>328.11702999648622</v>
      </c>
      <c r="BM95" s="85">
        <f t="shared" ca="1" si="166"/>
        <v>283.42488409070285</v>
      </c>
      <c r="BN95" s="85">
        <f t="shared" ca="1" si="103"/>
        <v>356.45403169330046</v>
      </c>
      <c r="BO95" s="85">
        <f t="shared" ca="1" si="192"/>
        <v>375.00624979231742</v>
      </c>
      <c r="BP95" s="85">
        <f t="shared" ca="1" si="193"/>
        <v>290.55468780762214</v>
      </c>
      <c r="BQ95" s="85">
        <f t="shared" ca="1" si="194"/>
        <v>313.34460515177466</v>
      </c>
      <c r="BR95" s="85">
        <f t="shared" ca="1" si="195"/>
        <v>312.70518400905536</v>
      </c>
      <c r="BS95" s="85">
        <f t="shared" ca="1" si="196"/>
        <v>325.9542701194581</v>
      </c>
      <c r="BT95" s="85">
        <f t="shared" ca="1" si="197"/>
        <v>366.94148540943104</v>
      </c>
      <c r="BU95" s="85">
        <f t="shared" ca="1" si="198"/>
        <v>355.13183302073435</v>
      </c>
      <c r="BV95" s="85">
        <f t="shared" ca="1" si="199"/>
        <v>325.65432797903924</v>
      </c>
      <c r="BW95" s="85">
        <f t="shared" ca="1" si="200"/>
        <v>353.95911275626969</v>
      </c>
      <c r="BX95" s="85">
        <f t="shared" ca="1" si="201"/>
        <v>328.48465912501985</v>
      </c>
      <c r="BY95" s="85">
        <f t="shared" ca="1" si="167"/>
        <v>327.42089068423962</v>
      </c>
      <c r="BZ95" s="85">
        <f t="shared" ca="1" si="168"/>
        <v>333.87245645808639</v>
      </c>
      <c r="CA95" s="85">
        <f t="shared" ca="1" si="169"/>
        <v>319.72921579562325</v>
      </c>
      <c r="CB95" s="85">
        <f t="shared" ca="1" si="170"/>
        <v>321.76587986215242</v>
      </c>
      <c r="CC95" s="85">
        <f t="shared" ca="1" si="171"/>
        <v>346.54195526088108</v>
      </c>
      <c r="CD95" s="85">
        <f t="shared" ca="1" si="172"/>
        <v>389.8252978424257</v>
      </c>
      <c r="CE95" s="85">
        <f t="shared" ca="1" si="173"/>
        <v>293.5977099469078</v>
      </c>
      <c r="CF95" s="85">
        <f t="shared" ca="1" si="174"/>
        <v>370.96753289320401</v>
      </c>
      <c r="CG95" s="85">
        <f t="shared" ca="1" si="175"/>
        <v>315.90815162292597</v>
      </c>
      <c r="CH95" s="85">
        <f t="shared" ca="1" si="176"/>
        <v>352.40187732901364</v>
      </c>
      <c r="CI95" s="85">
        <f t="shared" ca="1" si="177"/>
        <v>345.1717513058444</v>
      </c>
      <c r="CJ95" s="85">
        <f t="shared" ca="1" si="178"/>
        <v>326.08262567310089</v>
      </c>
      <c r="CK95" s="85">
        <f t="shared" ca="1" si="179"/>
        <v>318.87788241588356</v>
      </c>
      <c r="CL95" s="85">
        <f t="shared" ca="1" si="180"/>
        <v>311.8660458893284</v>
      </c>
      <c r="CM95" s="85">
        <f t="shared" ca="1" si="181"/>
        <v>360.85457164229291</v>
      </c>
      <c r="CN95" s="85">
        <f t="shared" ca="1" si="182"/>
        <v>321.8198793133335</v>
      </c>
      <c r="CO95" s="85">
        <f t="shared" ca="1" si="183"/>
        <v>314.85546788906561</v>
      </c>
      <c r="CP95" s="85">
        <f t="shared" ca="1" si="184"/>
        <v>389.77609625783504</v>
      </c>
      <c r="CQ95" s="85">
        <f t="shared" ca="1" si="185"/>
        <v>345.25759134522826</v>
      </c>
      <c r="CR95" s="85">
        <f t="shared" ca="1" si="186"/>
        <v>358.59990282942914</v>
      </c>
      <c r="CS95" s="85">
        <f t="shared" ca="1" si="187"/>
        <v>284.25502607973402</v>
      </c>
      <c r="CT95" s="85">
        <f t="shared" ca="1" si="188"/>
        <v>333.52854679233229</v>
      </c>
      <c r="CU95" s="85">
        <f t="shared" ca="1" si="189"/>
        <v>397.73792755695501</v>
      </c>
      <c r="CV95" s="85">
        <f t="shared" ca="1" si="190"/>
        <v>301.96584031009132</v>
      </c>
      <c r="CW95" s="85">
        <f t="shared" ca="1" si="191"/>
        <v>304.34880192520222</v>
      </c>
    </row>
    <row r="96" spans="1:101" x14ac:dyDescent="0.2">
      <c r="A96" s="115">
        <v>93</v>
      </c>
      <c r="B96" s="85">
        <f t="shared" ca="1" si="102"/>
        <v>322.22247386329599</v>
      </c>
      <c r="C96" s="85">
        <f t="shared" ca="1" si="104"/>
        <v>318.38801367851414</v>
      </c>
      <c r="D96" s="85">
        <f t="shared" ca="1" si="105"/>
        <v>322.02276881105814</v>
      </c>
      <c r="E96" s="85">
        <f t="shared" ca="1" si="106"/>
        <v>312.87856566857101</v>
      </c>
      <c r="F96" s="85">
        <f t="shared" ca="1" si="107"/>
        <v>310.06955980197597</v>
      </c>
      <c r="G96" s="85">
        <f t="shared" ca="1" si="108"/>
        <v>332.1075340167867</v>
      </c>
      <c r="H96" s="85">
        <f t="shared" ca="1" si="109"/>
        <v>326.99578274422561</v>
      </c>
      <c r="I96" s="85">
        <f t="shared" ca="1" si="110"/>
        <v>331.87183528483951</v>
      </c>
      <c r="J96" s="85">
        <f t="shared" ca="1" si="111"/>
        <v>340.84326359155381</v>
      </c>
      <c r="K96" s="85">
        <f t="shared" ca="1" si="112"/>
        <v>329.36410065005396</v>
      </c>
      <c r="L96" s="85">
        <f t="shared" ca="1" si="113"/>
        <v>361.02218307761223</v>
      </c>
      <c r="M96" s="85">
        <f t="shared" ca="1" si="114"/>
        <v>281.35536530188364</v>
      </c>
      <c r="N96" s="85">
        <f t="shared" ca="1" si="115"/>
        <v>327.64419881564123</v>
      </c>
      <c r="O96" s="85">
        <f t="shared" ca="1" si="116"/>
        <v>318.53119631749871</v>
      </c>
      <c r="P96" s="85">
        <f t="shared" ca="1" si="117"/>
        <v>324.60674071613317</v>
      </c>
      <c r="Q96" s="85">
        <f t="shared" ca="1" si="118"/>
        <v>354.93545215566343</v>
      </c>
      <c r="R96" s="85">
        <f t="shared" ca="1" si="119"/>
        <v>319.65226796943824</v>
      </c>
      <c r="S96" s="85">
        <f t="shared" ca="1" si="120"/>
        <v>338.64834552545415</v>
      </c>
      <c r="T96" s="85">
        <f t="shared" ca="1" si="121"/>
        <v>334.07844798651149</v>
      </c>
      <c r="U96" s="85">
        <f t="shared" ca="1" si="122"/>
        <v>288.94189175511201</v>
      </c>
      <c r="V96" s="85">
        <f t="shared" ca="1" si="123"/>
        <v>368.13752258147059</v>
      </c>
      <c r="W96" s="85">
        <f t="shared" ca="1" si="124"/>
        <v>336.18052387926531</v>
      </c>
      <c r="X96" s="85">
        <f t="shared" ca="1" si="125"/>
        <v>325.35282750932117</v>
      </c>
      <c r="Y96" s="85">
        <f t="shared" ca="1" si="126"/>
        <v>303.17428798631067</v>
      </c>
      <c r="Z96" s="85">
        <f t="shared" ca="1" si="127"/>
        <v>322.18655179175028</v>
      </c>
      <c r="AA96" s="85">
        <f t="shared" ca="1" si="128"/>
        <v>313.51990616221292</v>
      </c>
      <c r="AB96" s="85">
        <f t="shared" ca="1" si="129"/>
        <v>368.42887121769616</v>
      </c>
      <c r="AC96" s="85">
        <f t="shared" ca="1" si="130"/>
        <v>316.7743327623395</v>
      </c>
      <c r="AD96" s="85">
        <f t="shared" ca="1" si="131"/>
        <v>353.60831821205767</v>
      </c>
      <c r="AE96" s="85">
        <f t="shared" ca="1" si="132"/>
        <v>416.83388070423086</v>
      </c>
      <c r="AF96" s="85">
        <f t="shared" ca="1" si="133"/>
        <v>327.16171870183251</v>
      </c>
      <c r="AG96" s="85">
        <f t="shared" ca="1" si="134"/>
        <v>330.29806034611403</v>
      </c>
      <c r="AH96" s="85">
        <f t="shared" ca="1" si="135"/>
        <v>303.02035750094274</v>
      </c>
      <c r="AI96" s="85">
        <f t="shared" ca="1" si="136"/>
        <v>348.04399091613368</v>
      </c>
      <c r="AJ96" s="85">
        <f t="shared" ca="1" si="137"/>
        <v>381.83355768147067</v>
      </c>
      <c r="AK96" s="85">
        <f t="shared" ca="1" si="138"/>
        <v>347.04654609383653</v>
      </c>
      <c r="AL96" s="85">
        <f t="shared" ca="1" si="139"/>
        <v>356.07702259361542</v>
      </c>
      <c r="AM96" s="85">
        <f t="shared" ca="1" si="140"/>
        <v>325.42044045155012</v>
      </c>
      <c r="AN96" s="85">
        <f t="shared" ca="1" si="141"/>
        <v>369.74906256081618</v>
      </c>
      <c r="AO96" s="85">
        <f t="shared" ca="1" si="142"/>
        <v>362.44012719108514</v>
      </c>
      <c r="AP96" s="85">
        <f t="shared" ca="1" si="143"/>
        <v>364.8094968441747</v>
      </c>
      <c r="AQ96" s="85">
        <f t="shared" ca="1" si="144"/>
        <v>311.56243282954148</v>
      </c>
      <c r="AR96" s="85">
        <f t="shared" ca="1" si="145"/>
        <v>323.36496915227855</v>
      </c>
      <c r="AS96" s="85">
        <f t="shared" ca="1" si="146"/>
        <v>315.83861982972405</v>
      </c>
      <c r="AT96" s="85">
        <f t="shared" ca="1" si="147"/>
        <v>376.26727688244705</v>
      </c>
      <c r="AU96" s="85">
        <f t="shared" ca="1" si="148"/>
        <v>338.9042622049169</v>
      </c>
      <c r="AV96" s="85">
        <f t="shared" ca="1" si="149"/>
        <v>341.72049745722171</v>
      </c>
      <c r="AW96" s="85">
        <f t="shared" ca="1" si="150"/>
        <v>313.55900972861991</v>
      </c>
      <c r="AX96" s="85">
        <f t="shared" ca="1" si="151"/>
        <v>389.46660104775975</v>
      </c>
      <c r="AY96" s="85">
        <f t="shared" ca="1" si="152"/>
        <v>372.6407719553319</v>
      </c>
      <c r="AZ96" s="85">
        <f t="shared" ca="1" si="153"/>
        <v>316.45949198368299</v>
      </c>
      <c r="BA96" s="85">
        <f t="shared" ca="1" si="154"/>
        <v>358.82817886167601</v>
      </c>
      <c r="BB96" s="85">
        <f t="shared" ca="1" si="155"/>
        <v>322.03099573885481</v>
      </c>
      <c r="BC96" s="85">
        <f t="shared" ca="1" si="156"/>
        <v>339.28123783466037</v>
      </c>
      <c r="BD96" s="85">
        <f t="shared" ca="1" si="157"/>
        <v>331.26505364867751</v>
      </c>
      <c r="BE96" s="85">
        <f t="shared" ca="1" si="158"/>
        <v>328.49667993980989</v>
      </c>
      <c r="BF96" s="85">
        <f t="shared" ca="1" si="159"/>
        <v>352.00953964304477</v>
      </c>
      <c r="BG96" s="85">
        <f t="shared" ca="1" si="160"/>
        <v>304.82911896318234</v>
      </c>
      <c r="BH96" s="85">
        <f t="shared" ca="1" si="161"/>
        <v>337.26175810752977</v>
      </c>
      <c r="BI96" s="85">
        <f t="shared" ca="1" si="162"/>
        <v>327.84422737614818</v>
      </c>
      <c r="BJ96" s="85">
        <f t="shared" ca="1" si="163"/>
        <v>356.97477500087433</v>
      </c>
      <c r="BK96" s="85">
        <f t="shared" ca="1" si="164"/>
        <v>343.1262443868855</v>
      </c>
      <c r="BL96" s="85">
        <f t="shared" ca="1" si="165"/>
        <v>329.2965387444421</v>
      </c>
      <c r="BM96" s="85">
        <f t="shared" ca="1" si="166"/>
        <v>285.588227550976</v>
      </c>
      <c r="BN96" s="85">
        <f t="shared" ca="1" si="103"/>
        <v>367.30641878177391</v>
      </c>
      <c r="BO96" s="85">
        <f t="shared" ca="1" si="192"/>
        <v>379.93563628135809</v>
      </c>
      <c r="BP96" s="85">
        <f t="shared" ca="1" si="193"/>
        <v>294.80601928828719</v>
      </c>
      <c r="BQ96" s="85">
        <f t="shared" ca="1" si="194"/>
        <v>320.39411617195873</v>
      </c>
      <c r="BR96" s="85">
        <f t="shared" ca="1" si="195"/>
        <v>314.04185992459674</v>
      </c>
      <c r="BS96" s="85">
        <f t="shared" ca="1" si="196"/>
        <v>327.22085418526189</v>
      </c>
      <c r="BT96" s="85">
        <f t="shared" ca="1" si="197"/>
        <v>369.40725783126396</v>
      </c>
      <c r="BU96" s="85">
        <f t="shared" ca="1" si="198"/>
        <v>361.8358315431546</v>
      </c>
      <c r="BV96" s="85">
        <f t="shared" ca="1" si="199"/>
        <v>332.06172661981157</v>
      </c>
      <c r="BW96" s="85">
        <f t="shared" ca="1" si="200"/>
        <v>359.71192216739331</v>
      </c>
      <c r="BX96" s="85">
        <f t="shared" ca="1" si="201"/>
        <v>331.81517907612715</v>
      </c>
      <c r="BY96" s="85">
        <f t="shared" ca="1" si="167"/>
        <v>329.99915040308969</v>
      </c>
      <c r="BZ96" s="85">
        <f t="shared" ca="1" si="168"/>
        <v>339.19113755888208</v>
      </c>
      <c r="CA96" s="85">
        <f t="shared" ca="1" si="169"/>
        <v>320.68592914686258</v>
      </c>
      <c r="CB96" s="85">
        <f t="shared" ca="1" si="170"/>
        <v>324.94278723018124</v>
      </c>
      <c r="CC96" s="85">
        <f t="shared" ca="1" si="171"/>
        <v>350.39281487602085</v>
      </c>
      <c r="CD96" s="85">
        <f t="shared" ca="1" si="172"/>
        <v>394.58383044903451</v>
      </c>
      <c r="CE96" s="85">
        <f t="shared" ca="1" si="173"/>
        <v>297.8141307518996</v>
      </c>
      <c r="CF96" s="85">
        <f t="shared" ca="1" si="174"/>
        <v>378.73907274030358</v>
      </c>
      <c r="CG96" s="85">
        <f t="shared" ca="1" si="175"/>
        <v>323.56022775206236</v>
      </c>
      <c r="CH96" s="85">
        <f t="shared" ca="1" si="176"/>
        <v>357.73795959872007</v>
      </c>
      <c r="CI96" s="85">
        <f t="shared" ca="1" si="177"/>
        <v>350.47930372868717</v>
      </c>
      <c r="CJ96" s="85">
        <f t="shared" ca="1" si="178"/>
        <v>324.5901872091215</v>
      </c>
      <c r="CK96" s="85">
        <f t="shared" ca="1" si="179"/>
        <v>322.6251129370047</v>
      </c>
      <c r="CL96" s="85">
        <f t="shared" ca="1" si="180"/>
        <v>314.96019204877268</v>
      </c>
      <c r="CM96" s="85">
        <f t="shared" ca="1" si="181"/>
        <v>366.45008870905195</v>
      </c>
      <c r="CN96" s="85">
        <f t="shared" ca="1" si="182"/>
        <v>323.77131319454026</v>
      </c>
      <c r="CO96" s="85">
        <f t="shared" ca="1" si="183"/>
        <v>318.7240706068161</v>
      </c>
      <c r="CP96" s="85">
        <f t="shared" ca="1" si="184"/>
        <v>396.39556217391026</v>
      </c>
      <c r="CQ96" s="85">
        <f t="shared" ca="1" si="185"/>
        <v>350.13933099234163</v>
      </c>
      <c r="CR96" s="85">
        <f t="shared" ca="1" si="186"/>
        <v>362.74956657408734</v>
      </c>
      <c r="CS96" s="85">
        <f t="shared" ca="1" si="187"/>
        <v>285.20587636921329</v>
      </c>
      <c r="CT96" s="85">
        <f t="shared" ca="1" si="188"/>
        <v>337.88766810486419</v>
      </c>
      <c r="CU96" s="85">
        <f t="shared" ca="1" si="189"/>
        <v>406.4155913904338</v>
      </c>
      <c r="CV96" s="85">
        <f t="shared" ca="1" si="190"/>
        <v>305.74655024917075</v>
      </c>
      <c r="CW96" s="85">
        <f t="shared" ca="1" si="191"/>
        <v>308.88124597201016</v>
      </c>
    </row>
    <row r="97" spans="1:101" x14ac:dyDescent="0.2">
      <c r="A97" s="115">
        <v>94</v>
      </c>
      <c r="B97" s="85">
        <f t="shared" ca="1" si="102"/>
        <v>323.43396437568595</v>
      </c>
      <c r="C97" s="85">
        <f t="shared" ca="1" si="104"/>
        <v>323.71103972161666</v>
      </c>
      <c r="D97" s="85">
        <f t="shared" ca="1" si="105"/>
        <v>328.54505676489856</v>
      </c>
      <c r="E97" s="85">
        <f t="shared" ca="1" si="106"/>
        <v>312.87210864390789</v>
      </c>
      <c r="F97" s="85">
        <f t="shared" ca="1" si="107"/>
        <v>315.81337797817201</v>
      </c>
      <c r="G97" s="85">
        <f t="shared" ca="1" si="108"/>
        <v>341.6935230590592</v>
      </c>
      <c r="H97" s="85">
        <f t="shared" ca="1" si="109"/>
        <v>329.93512731759222</v>
      </c>
      <c r="I97" s="85">
        <f t="shared" ca="1" si="110"/>
        <v>337.04451742830588</v>
      </c>
      <c r="J97" s="85">
        <f t="shared" ca="1" si="111"/>
        <v>344.91615856355423</v>
      </c>
      <c r="K97" s="85">
        <f t="shared" ca="1" si="112"/>
        <v>329.16256207136746</v>
      </c>
      <c r="L97" s="85">
        <f t="shared" ca="1" si="113"/>
        <v>366.61677836260691</v>
      </c>
      <c r="M97" s="85">
        <f t="shared" ca="1" si="114"/>
        <v>287.6386969201539</v>
      </c>
      <c r="N97" s="85">
        <f t="shared" ca="1" si="115"/>
        <v>332.99333521493918</v>
      </c>
      <c r="O97" s="85">
        <f t="shared" ca="1" si="116"/>
        <v>323.86026308836881</v>
      </c>
      <c r="P97" s="85">
        <f t="shared" ca="1" si="117"/>
        <v>328.981636532415</v>
      </c>
      <c r="Q97" s="85">
        <f t="shared" ca="1" si="118"/>
        <v>357.07463904035188</v>
      </c>
      <c r="R97" s="85">
        <f t="shared" ca="1" si="119"/>
        <v>323.48815754451323</v>
      </c>
      <c r="S97" s="85">
        <f t="shared" ca="1" si="120"/>
        <v>344.70533866903855</v>
      </c>
      <c r="T97" s="85">
        <f t="shared" ca="1" si="121"/>
        <v>340.27673273347824</v>
      </c>
      <c r="U97" s="85">
        <f t="shared" ca="1" si="122"/>
        <v>289.13093228340091</v>
      </c>
      <c r="V97" s="85">
        <f t="shared" ca="1" si="123"/>
        <v>372.11477261860051</v>
      </c>
      <c r="W97" s="85">
        <f t="shared" ca="1" si="124"/>
        <v>339.14113034831547</v>
      </c>
      <c r="X97" s="85">
        <f t="shared" ca="1" si="125"/>
        <v>330.07518215824354</v>
      </c>
      <c r="Y97" s="85">
        <f t="shared" ca="1" si="126"/>
        <v>307.7373387142415</v>
      </c>
      <c r="Z97" s="85">
        <f t="shared" ca="1" si="127"/>
        <v>325.55239548346486</v>
      </c>
      <c r="AA97" s="85">
        <f t="shared" ca="1" si="128"/>
        <v>321.27597711536288</v>
      </c>
      <c r="AB97" s="85">
        <f t="shared" ca="1" si="129"/>
        <v>369.6766579381154</v>
      </c>
      <c r="AC97" s="85">
        <f t="shared" ca="1" si="130"/>
        <v>324.04078254406147</v>
      </c>
      <c r="AD97" s="85">
        <f t="shared" ca="1" si="131"/>
        <v>359.5785560007443</v>
      </c>
      <c r="AE97" s="85">
        <f t="shared" ca="1" si="132"/>
        <v>424.15102570600965</v>
      </c>
      <c r="AF97" s="85">
        <f t="shared" ca="1" si="133"/>
        <v>335.13568091727785</v>
      </c>
      <c r="AG97" s="85">
        <f t="shared" ca="1" si="134"/>
        <v>333.66689485388616</v>
      </c>
      <c r="AH97" s="85">
        <f t="shared" ca="1" si="135"/>
        <v>307.61966871796704</v>
      </c>
      <c r="AI97" s="85">
        <f t="shared" ca="1" si="136"/>
        <v>353.13751649203459</v>
      </c>
      <c r="AJ97" s="85">
        <f t="shared" ca="1" si="137"/>
        <v>387.80457206320779</v>
      </c>
      <c r="AK97" s="85">
        <f t="shared" ca="1" si="138"/>
        <v>349.2275727871513</v>
      </c>
      <c r="AL97" s="85">
        <f t="shared" ca="1" si="139"/>
        <v>361.07438059954524</v>
      </c>
      <c r="AM97" s="85">
        <f t="shared" ca="1" si="140"/>
        <v>330.05856695548653</v>
      </c>
      <c r="AN97" s="85">
        <f t="shared" ca="1" si="141"/>
        <v>375.98850952798148</v>
      </c>
      <c r="AO97" s="85">
        <f t="shared" ca="1" si="142"/>
        <v>369.51918466419545</v>
      </c>
      <c r="AP97" s="85">
        <f t="shared" ca="1" si="143"/>
        <v>374.46183258253183</v>
      </c>
      <c r="AQ97" s="85">
        <f t="shared" ca="1" si="144"/>
        <v>315.88952271458555</v>
      </c>
      <c r="AR97" s="85">
        <f t="shared" ca="1" si="145"/>
        <v>329.01932401250883</v>
      </c>
      <c r="AS97" s="85">
        <f t="shared" ca="1" si="146"/>
        <v>319.92157354379805</v>
      </c>
      <c r="AT97" s="85">
        <f t="shared" ca="1" si="147"/>
        <v>379.35207143291581</v>
      </c>
      <c r="AU97" s="85">
        <f t="shared" ca="1" si="148"/>
        <v>339.14770262268422</v>
      </c>
      <c r="AV97" s="85">
        <f t="shared" ca="1" si="149"/>
        <v>345.05986628448335</v>
      </c>
      <c r="AW97" s="85">
        <f t="shared" ca="1" si="150"/>
        <v>320.38222996011109</v>
      </c>
      <c r="AX97" s="85">
        <f t="shared" ca="1" si="151"/>
        <v>393.10742165359892</v>
      </c>
      <c r="AY97" s="85">
        <f t="shared" ca="1" si="152"/>
        <v>380.54735339103019</v>
      </c>
      <c r="AZ97" s="85">
        <f t="shared" ca="1" si="153"/>
        <v>319.2366659480719</v>
      </c>
      <c r="BA97" s="85">
        <f t="shared" ca="1" si="154"/>
        <v>363.3574775874489</v>
      </c>
      <c r="BB97" s="85">
        <f t="shared" ca="1" si="155"/>
        <v>325.89008035423399</v>
      </c>
      <c r="BC97" s="85">
        <f t="shared" ca="1" si="156"/>
        <v>345.29076109184086</v>
      </c>
      <c r="BD97" s="85">
        <f t="shared" ca="1" si="157"/>
        <v>338.60630323805253</v>
      </c>
      <c r="BE97" s="85">
        <f t="shared" ca="1" si="158"/>
        <v>329.7941431329466</v>
      </c>
      <c r="BF97" s="85">
        <f t="shared" ca="1" si="159"/>
        <v>358.97199711694321</v>
      </c>
      <c r="BG97" s="85">
        <f t="shared" ca="1" si="160"/>
        <v>308.04289461108954</v>
      </c>
      <c r="BH97" s="85">
        <f t="shared" ca="1" si="161"/>
        <v>341.63859143009802</v>
      </c>
      <c r="BI97" s="85">
        <f t="shared" ca="1" si="162"/>
        <v>330.26044581574507</v>
      </c>
      <c r="BJ97" s="85">
        <f t="shared" ca="1" si="163"/>
        <v>361.88025204855802</v>
      </c>
      <c r="BK97" s="85">
        <f t="shared" ca="1" si="164"/>
        <v>346.76186706285768</v>
      </c>
      <c r="BL97" s="85">
        <f t="shared" ca="1" si="165"/>
        <v>338.06685727695179</v>
      </c>
      <c r="BM97" s="85">
        <f t="shared" ca="1" si="166"/>
        <v>289.25449952150677</v>
      </c>
      <c r="BN97" s="85">
        <f t="shared" ca="1" si="103"/>
        <v>370.67859944118709</v>
      </c>
      <c r="BO97" s="85">
        <f t="shared" ca="1" si="192"/>
        <v>389.36919018564311</v>
      </c>
      <c r="BP97" s="85">
        <f t="shared" ca="1" si="193"/>
        <v>300.65756245943061</v>
      </c>
      <c r="BQ97" s="85">
        <f t="shared" ca="1" si="194"/>
        <v>319.54351068459528</v>
      </c>
      <c r="BR97" s="85">
        <f t="shared" ca="1" si="195"/>
        <v>316.94433609088128</v>
      </c>
      <c r="BS97" s="85">
        <f t="shared" ca="1" si="196"/>
        <v>328.76375372389668</v>
      </c>
      <c r="BT97" s="85">
        <f t="shared" ca="1" si="197"/>
        <v>374.92822705195766</v>
      </c>
      <c r="BU97" s="85">
        <f t="shared" ca="1" si="198"/>
        <v>370.90232907941441</v>
      </c>
      <c r="BV97" s="85">
        <f t="shared" ca="1" si="199"/>
        <v>332.41243388290633</v>
      </c>
      <c r="BW97" s="85">
        <f t="shared" ca="1" si="200"/>
        <v>368.04628103630768</v>
      </c>
      <c r="BX97" s="85">
        <f t="shared" ca="1" si="201"/>
        <v>338.12607133117422</v>
      </c>
      <c r="BY97" s="85">
        <f t="shared" ca="1" si="167"/>
        <v>331.35686809132869</v>
      </c>
      <c r="BZ97" s="85">
        <f t="shared" ca="1" si="168"/>
        <v>342.61659806476905</v>
      </c>
      <c r="CA97" s="85">
        <f t="shared" ca="1" si="169"/>
        <v>328.11334607899295</v>
      </c>
      <c r="CB97" s="85">
        <f t="shared" ca="1" si="170"/>
        <v>326.91515903305969</v>
      </c>
      <c r="CC97" s="85">
        <f t="shared" ca="1" si="171"/>
        <v>359.89469189170262</v>
      </c>
      <c r="CD97" s="85">
        <f t="shared" ca="1" si="172"/>
        <v>401.37048683331858</v>
      </c>
      <c r="CE97" s="85">
        <f t="shared" ca="1" si="173"/>
        <v>297.35195790531549</v>
      </c>
      <c r="CF97" s="85">
        <f t="shared" ca="1" si="174"/>
        <v>379.2576455771511</v>
      </c>
      <c r="CG97" s="85">
        <f t="shared" ca="1" si="175"/>
        <v>326.994713393165</v>
      </c>
      <c r="CH97" s="85">
        <f t="shared" ca="1" si="176"/>
        <v>367.36531068197002</v>
      </c>
      <c r="CI97" s="85">
        <f t="shared" ca="1" si="177"/>
        <v>360.72892213856073</v>
      </c>
      <c r="CJ97" s="85">
        <f t="shared" ca="1" si="178"/>
        <v>330.67303168992976</v>
      </c>
      <c r="CK97" s="85">
        <f t="shared" ca="1" si="179"/>
        <v>326.75764807160874</v>
      </c>
      <c r="CL97" s="85">
        <f t="shared" ca="1" si="180"/>
        <v>318.91869232228618</v>
      </c>
      <c r="CM97" s="85">
        <f t="shared" ca="1" si="181"/>
        <v>371.16104144467408</v>
      </c>
      <c r="CN97" s="85">
        <f t="shared" ca="1" si="182"/>
        <v>325.76799124585347</v>
      </c>
      <c r="CO97" s="85">
        <f t="shared" ca="1" si="183"/>
        <v>323.02975403492502</v>
      </c>
      <c r="CP97" s="85">
        <f t="shared" ca="1" si="184"/>
        <v>405.97929436313302</v>
      </c>
      <c r="CQ97" s="85">
        <f t="shared" ca="1" si="185"/>
        <v>357.46620233779487</v>
      </c>
      <c r="CR97" s="85">
        <f t="shared" ca="1" si="186"/>
        <v>368.03592483254187</v>
      </c>
      <c r="CS97" s="85">
        <f t="shared" ca="1" si="187"/>
        <v>291.30985786999918</v>
      </c>
      <c r="CT97" s="85">
        <f t="shared" ca="1" si="188"/>
        <v>342.08971338369378</v>
      </c>
      <c r="CU97" s="85">
        <f t="shared" ca="1" si="189"/>
        <v>415.19664024533938</v>
      </c>
      <c r="CV97" s="85">
        <f t="shared" ca="1" si="190"/>
        <v>305.97136862984752</v>
      </c>
      <c r="CW97" s="85">
        <f t="shared" ca="1" si="191"/>
        <v>318.16344990532997</v>
      </c>
    </row>
    <row r="98" spans="1:101" x14ac:dyDescent="0.2">
      <c r="A98" s="115">
        <v>95</v>
      </c>
      <c r="B98" s="85">
        <f t="shared" ca="1" si="102"/>
        <v>327.11007483788381</v>
      </c>
      <c r="C98" s="85">
        <f t="shared" ca="1" si="104"/>
        <v>329.62635284813683</v>
      </c>
      <c r="D98" s="85">
        <f t="shared" ca="1" si="105"/>
        <v>330.56459029046937</v>
      </c>
      <c r="E98" s="85">
        <f t="shared" ca="1" si="106"/>
        <v>317.08204644198355</v>
      </c>
      <c r="F98" s="85">
        <f t="shared" ca="1" si="107"/>
        <v>319.16526045285167</v>
      </c>
      <c r="G98" s="85">
        <f t="shared" ca="1" si="108"/>
        <v>347.4517608727628</v>
      </c>
      <c r="H98" s="85">
        <f t="shared" ca="1" si="109"/>
        <v>332.04784311148131</v>
      </c>
      <c r="I98" s="85">
        <f t="shared" ca="1" si="110"/>
        <v>344.41864084545023</v>
      </c>
      <c r="J98" s="85">
        <f t="shared" ca="1" si="111"/>
        <v>349.616061678748</v>
      </c>
      <c r="K98" s="85">
        <f t="shared" ca="1" si="112"/>
        <v>334.24195363416794</v>
      </c>
      <c r="L98" s="85">
        <f t="shared" ca="1" si="113"/>
        <v>372.0265529529824</v>
      </c>
      <c r="M98" s="85">
        <f t="shared" ca="1" si="114"/>
        <v>290.4509029926154</v>
      </c>
      <c r="N98" s="85">
        <f t="shared" ca="1" si="115"/>
        <v>338.25023478006534</v>
      </c>
      <c r="O98" s="85">
        <f t="shared" ca="1" si="116"/>
        <v>328.03115267131591</v>
      </c>
      <c r="P98" s="85">
        <f t="shared" ca="1" si="117"/>
        <v>334.79631988843778</v>
      </c>
      <c r="Q98" s="85">
        <f t="shared" ca="1" si="118"/>
        <v>357.64595588364421</v>
      </c>
      <c r="R98" s="85">
        <f t="shared" ca="1" si="119"/>
        <v>327.81709417665542</v>
      </c>
      <c r="S98" s="85">
        <f t="shared" ca="1" si="120"/>
        <v>348.71817255137461</v>
      </c>
      <c r="T98" s="85">
        <f t="shared" ca="1" si="121"/>
        <v>344.76306348686461</v>
      </c>
      <c r="U98" s="85">
        <f t="shared" ca="1" si="122"/>
        <v>292.91952958589127</v>
      </c>
      <c r="V98" s="85">
        <f t="shared" ca="1" si="123"/>
        <v>381.00654952395303</v>
      </c>
      <c r="W98" s="85">
        <f t="shared" ca="1" si="124"/>
        <v>344.48617907959823</v>
      </c>
      <c r="X98" s="85">
        <f t="shared" ca="1" si="125"/>
        <v>336.33479483324902</v>
      </c>
      <c r="Y98" s="85">
        <f t="shared" ca="1" si="126"/>
        <v>311.0956925289575</v>
      </c>
      <c r="Z98" s="85">
        <f t="shared" ca="1" si="127"/>
        <v>332.65104542571441</v>
      </c>
      <c r="AA98" s="85">
        <f t="shared" ca="1" si="128"/>
        <v>324.45116283737099</v>
      </c>
      <c r="AB98" s="85">
        <f t="shared" ca="1" si="129"/>
        <v>371.78326091043738</v>
      </c>
      <c r="AC98" s="85">
        <f t="shared" ca="1" si="130"/>
        <v>326.56751895569977</v>
      </c>
      <c r="AD98" s="85">
        <f t="shared" ca="1" si="131"/>
        <v>365.16018478509807</v>
      </c>
      <c r="AE98" s="85">
        <f t="shared" ca="1" si="132"/>
        <v>431.08202982435938</v>
      </c>
      <c r="AF98" s="85">
        <f t="shared" ca="1" si="133"/>
        <v>334.1624542756374</v>
      </c>
      <c r="AG98" s="85">
        <f t="shared" ca="1" si="134"/>
        <v>342.18672273215105</v>
      </c>
      <c r="AH98" s="85">
        <f t="shared" ca="1" si="135"/>
        <v>307.89967622432101</v>
      </c>
      <c r="AI98" s="85">
        <f t="shared" ca="1" si="136"/>
        <v>358.76519653199796</v>
      </c>
      <c r="AJ98" s="85">
        <f t="shared" ca="1" si="137"/>
        <v>397.67689500003775</v>
      </c>
      <c r="AK98" s="85">
        <f t="shared" ca="1" si="138"/>
        <v>355.27493166532884</v>
      </c>
      <c r="AL98" s="85">
        <f t="shared" ca="1" si="139"/>
        <v>369.6751457758707</v>
      </c>
      <c r="AM98" s="85">
        <f t="shared" ca="1" si="140"/>
        <v>334.27327926261609</v>
      </c>
      <c r="AN98" s="85">
        <f t="shared" ca="1" si="141"/>
        <v>383.07841618016056</v>
      </c>
      <c r="AO98" s="85">
        <f t="shared" ca="1" si="142"/>
        <v>376.60429042218681</v>
      </c>
      <c r="AP98" s="85">
        <f t="shared" ca="1" si="143"/>
        <v>375.71530019427752</v>
      </c>
      <c r="AQ98" s="85">
        <f t="shared" ca="1" si="144"/>
        <v>320.9257970333245</v>
      </c>
      <c r="AR98" s="85">
        <f t="shared" ca="1" si="145"/>
        <v>335.66966299891305</v>
      </c>
      <c r="AS98" s="85">
        <f t="shared" ca="1" si="146"/>
        <v>324.4687769553679</v>
      </c>
      <c r="AT98" s="85">
        <f t="shared" ca="1" si="147"/>
        <v>388.5763345234754</v>
      </c>
      <c r="AU98" s="85">
        <f t="shared" ca="1" si="148"/>
        <v>346.1228748215155</v>
      </c>
      <c r="AV98" s="85">
        <f t="shared" ca="1" si="149"/>
        <v>346.47805030110186</v>
      </c>
      <c r="AW98" s="85">
        <f t="shared" ca="1" si="150"/>
        <v>323.26868835338706</v>
      </c>
      <c r="AX98" s="85">
        <f t="shared" ca="1" si="151"/>
        <v>400.20569033559826</v>
      </c>
      <c r="AY98" s="85">
        <f t="shared" ca="1" si="152"/>
        <v>388.54981852834459</v>
      </c>
      <c r="AZ98" s="85">
        <f t="shared" ca="1" si="153"/>
        <v>322.89900478296829</v>
      </c>
      <c r="BA98" s="85">
        <f t="shared" ca="1" si="154"/>
        <v>365.83538965521154</v>
      </c>
      <c r="BB98" s="85">
        <f t="shared" ca="1" si="155"/>
        <v>327.67638826191251</v>
      </c>
      <c r="BC98" s="85">
        <f t="shared" ca="1" si="156"/>
        <v>348.78626424003448</v>
      </c>
      <c r="BD98" s="85">
        <f t="shared" ca="1" si="157"/>
        <v>344.12434853184641</v>
      </c>
      <c r="BE98" s="85">
        <f t="shared" ca="1" si="158"/>
        <v>332.69790592466001</v>
      </c>
      <c r="BF98" s="85">
        <f t="shared" ca="1" si="159"/>
        <v>361.3337557089344</v>
      </c>
      <c r="BG98" s="85">
        <f t="shared" ca="1" si="160"/>
        <v>311.7869769429052</v>
      </c>
      <c r="BH98" s="85">
        <f t="shared" ca="1" si="161"/>
        <v>345.35464736156632</v>
      </c>
      <c r="BI98" s="85">
        <f t="shared" ca="1" si="162"/>
        <v>334.57794016611848</v>
      </c>
      <c r="BJ98" s="85">
        <f t="shared" ca="1" si="163"/>
        <v>364.09829525579073</v>
      </c>
      <c r="BK98" s="85">
        <f t="shared" ca="1" si="164"/>
        <v>349.50446336344686</v>
      </c>
      <c r="BL98" s="85">
        <f t="shared" ca="1" si="165"/>
        <v>345.36454133104888</v>
      </c>
      <c r="BM98" s="85">
        <f t="shared" ca="1" si="166"/>
        <v>291.22143840127251</v>
      </c>
      <c r="BN98" s="85">
        <f t="shared" ca="1" si="103"/>
        <v>382.43484113451183</v>
      </c>
      <c r="BO98" s="85">
        <f t="shared" ca="1" si="192"/>
        <v>393.29088277858528</v>
      </c>
      <c r="BP98" s="85">
        <f t="shared" ca="1" si="193"/>
        <v>304.73944948523553</v>
      </c>
      <c r="BQ98" s="85">
        <f t="shared" ca="1" si="194"/>
        <v>322.69496980528345</v>
      </c>
      <c r="BR98" s="85">
        <f t="shared" ca="1" si="195"/>
        <v>324.0817217398855</v>
      </c>
      <c r="BS98" s="85">
        <f t="shared" ca="1" si="196"/>
        <v>336.78878070790512</v>
      </c>
      <c r="BT98" s="85">
        <f t="shared" ca="1" si="197"/>
        <v>380.15334200270718</v>
      </c>
      <c r="BU98" s="85">
        <f t="shared" ca="1" si="198"/>
        <v>375.20722982177216</v>
      </c>
      <c r="BV98" s="85">
        <f t="shared" ca="1" si="199"/>
        <v>330.86873158148245</v>
      </c>
      <c r="BW98" s="85">
        <f t="shared" ca="1" si="200"/>
        <v>375.62405764726969</v>
      </c>
      <c r="BX98" s="85">
        <f t="shared" ca="1" si="201"/>
        <v>345.35718018920699</v>
      </c>
      <c r="BY98" s="85">
        <f t="shared" ca="1" si="167"/>
        <v>337.20559793196043</v>
      </c>
      <c r="BZ98" s="85">
        <f t="shared" ca="1" si="168"/>
        <v>346.11719840339441</v>
      </c>
      <c r="CA98" s="85">
        <f t="shared" ca="1" si="169"/>
        <v>330.09094854164567</v>
      </c>
      <c r="CB98" s="85">
        <f t="shared" ca="1" si="170"/>
        <v>331.77769432250051</v>
      </c>
      <c r="CC98" s="85">
        <f t="shared" ca="1" si="171"/>
        <v>360.70026636230864</v>
      </c>
      <c r="CD98" s="85">
        <f t="shared" ca="1" si="172"/>
        <v>404.78511198697237</v>
      </c>
      <c r="CE98" s="85">
        <f t="shared" ca="1" si="173"/>
        <v>302.13092856415574</v>
      </c>
      <c r="CF98" s="85">
        <f t="shared" ca="1" si="174"/>
        <v>385.022608757662</v>
      </c>
      <c r="CG98" s="85">
        <f t="shared" ca="1" si="175"/>
        <v>329.79413800324591</v>
      </c>
      <c r="CH98" s="85">
        <f t="shared" ca="1" si="176"/>
        <v>368.60202370128985</v>
      </c>
      <c r="CI98" s="85">
        <f t="shared" ca="1" si="177"/>
        <v>366.60211294251656</v>
      </c>
      <c r="CJ98" s="85">
        <f t="shared" ca="1" si="178"/>
        <v>333.68712255910367</v>
      </c>
      <c r="CK98" s="85">
        <f t="shared" ca="1" si="179"/>
        <v>334.33006042386887</v>
      </c>
      <c r="CL98" s="85">
        <f t="shared" ca="1" si="180"/>
        <v>325.36582910306839</v>
      </c>
      <c r="CM98" s="85">
        <f t="shared" ca="1" si="181"/>
        <v>377.58890967715018</v>
      </c>
      <c r="CN98" s="85">
        <f t="shared" ca="1" si="182"/>
        <v>329.24835845552877</v>
      </c>
      <c r="CO98" s="85">
        <f t="shared" ca="1" si="183"/>
        <v>329.4299030626272</v>
      </c>
      <c r="CP98" s="85">
        <f t="shared" ca="1" si="184"/>
        <v>408.65949877919678</v>
      </c>
      <c r="CQ98" s="85">
        <f t="shared" ca="1" si="185"/>
        <v>366.48593922538601</v>
      </c>
      <c r="CR98" s="85">
        <f t="shared" ca="1" si="186"/>
        <v>373.75535991764974</v>
      </c>
      <c r="CS98" s="85">
        <f t="shared" ca="1" si="187"/>
        <v>291.99617114015922</v>
      </c>
      <c r="CT98" s="85">
        <f t="shared" ca="1" si="188"/>
        <v>343.35922615583087</v>
      </c>
      <c r="CU98" s="85">
        <f t="shared" ca="1" si="189"/>
        <v>425.3219851751071</v>
      </c>
      <c r="CV98" s="85">
        <f t="shared" ca="1" si="190"/>
        <v>309.92234825876358</v>
      </c>
      <c r="CW98" s="85">
        <f t="shared" ca="1" si="191"/>
        <v>320.67002155515792</v>
      </c>
    </row>
    <row r="99" spans="1:101" x14ac:dyDescent="0.2">
      <c r="A99" s="115">
        <v>96</v>
      </c>
      <c r="B99" s="85">
        <f t="shared" ca="1" si="102"/>
        <v>330.15336438885555</v>
      </c>
      <c r="C99" s="85">
        <f t="shared" ca="1" si="104"/>
        <v>335.29189935675663</v>
      </c>
      <c r="D99" s="85">
        <f t="shared" ca="1" si="105"/>
        <v>336.1315669496534</v>
      </c>
      <c r="E99" s="85">
        <f t="shared" ca="1" si="106"/>
        <v>320.70261060232048</v>
      </c>
      <c r="F99" s="85">
        <f t="shared" ca="1" si="107"/>
        <v>323.6710098220118</v>
      </c>
      <c r="G99" s="85">
        <f t="shared" ca="1" si="108"/>
        <v>353.3078780172072</v>
      </c>
      <c r="H99" s="85">
        <f t="shared" ca="1" si="109"/>
        <v>336.40580540880052</v>
      </c>
      <c r="I99" s="85">
        <f t="shared" ca="1" si="110"/>
        <v>349.37813843275188</v>
      </c>
      <c r="J99" s="85">
        <f t="shared" ca="1" si="111"/>
        <v>354.21744580957312</v>
      </c>
      <c r="K99" s="85">
        <f t="shared" ca="1" si="112"/>
        <v>340.27539554306526</v>
      </c>
      <c r="L99" s="85">
        <f t="shared" ca="1" si="113"/>
        <v>377.06593680214917</v>
      </c>
      <c r="M99" s="85">
        <f t="shared" ca="1" si="114"/>
        <v>296.01440220648965</v>
      </c>
      <c r="N99" s="85">
        <f t="shared" ca="1" si="115"/>
        <v>341.26123437955494</v>
      </c>
      <c r="O99" s="85">
        <f t="shared" ca="1" si="116"/>
        <v>337.96724635265713</v>
      </c>
      <c r="P99" s="85">
        <f t="shared" ca="1" si="117"/>
        <v>342.83012030577135</v>
      </c>
      <c r="Q99" s="85">
        <f t="shared" ca="1" si="118"/>
        <v>362.0097073019507</v>
      </c>
      <c r="R99" s="85">
        <f t="shared" ca="1" si="119"/>
        <v>331.45190599594179</v>
      </c>
      <c r="S99" s="85">
        <f t="shared" ca="1" si="120"/>
        <v>351.00651781860267</v>
      </c>
      <c r="T99" s="85">
        <f t="shared" ca="1" si="121"/>
        <v>345.53522580862335</v>
      </c>
      <c r="U99" s="85">
        <f t="shared" ca="1" si="122"/>
        <v>296.38622561131149</v>
      </c>
      <c r="V99" s="85">
        <f t="shared" ca="1" si="123"/>
        <v>386.27954892443927</v>
      </c>
      <c r="W99" s="85">
        <f t="shared" ca="1" si="124"/>
        <v>347.99761911649273</v>
      </c>
      <c r="X99" s="85">
        <f t="shared" ca="1" si="125"/>
        <v>339.44886840289769</v>
      </c>
      <c r="Y99" s="85">
        <f t="shared" ca="1" si="126"/>
        <v>316.7901777501196</v>
      </c>
      <c r="Z99" s="85">
        <f t="shared" ca="1" si="127"/>
        <v>336.10453954862953</v>
      </c>
      <c r="AA99" s="85">
        <f t="shared" ca="1" si="128"/>
        <v>326.45805139500442</v>
      </c>
      <c r="AB99" s="85">
        <f t="shared" ca="1" si="129"/>
        <v>374.51119806923668</v>
      </c>
      <c r="AC99" s="85">
        <f t="shared" ca="1" si="130"/>
        <v>334.30457169684598</v>
      </c>
      <c r="AD99" s="85">
        <f t="shared" ca="1" si="131"/>
        <v>371.70857290424493</v>
      </c>
      <c r="AE99" s="85">
        <f t="shared" ca="1" si="132"/>
        <v>440.75848691614783</v>
      </c>
      <c r="AF99" s="85">
        <f t="shared" ca="1" si="133"/>
        <v>339.91620561837561</v>
      </c>
      <c r="AG99" s="85">
        <f t="shared" ca="1" si="134"/>
        <v>350.17854929180896</v>
      </c>
      <c r="AH99" s="85">
        <f t="shared" ca="1" si="135"/>
        <v>312.5569412818943</v>
      </c>
      <c r="AI99" s="85">
        <f t="shared" ca="1" si="136"/>
        <v>367.89266111806893</v>
      </c>
      <c r="AJ99" s="85">
        <f t="shared" ca="1" si="137"/>
        <v>404.91531465105527</v>
      </c>
      <c r="AK99" s="85">
        <f t="shared" ca="1" si="138"/>
        <v>355.37367689639217</v>
      </c>
      <c r="AL99" s="85">
        <f t="shared" ca="1" si="139"/>
        <v>374.17520297443411</v>
      </c>
      <c r="AM99" s="85">
        <f t="shared" ca="1" si="140"/>
        <v>341.66391116139391</v>
      </c>
      <c r="AN99" s="85">
        <f t="shared" ca="1" si="141"/>
        <v>388.0571072822774</v>
      </c>
      <c r="AO99" s="85">
        <f t="shared" ca="1" si="142"/>
        <v>379.1809035494868</v>
      </c>
      <c r="AP99" s="85">
        <f t="shared" ca="1" si="143"/>
        <v>381.21743414583625</v>
      </c>
      <c r="AQ99" s="85">
        <f t="shared" ca="1" si="144"/>
        <v>323.25742460528147</v>
      </c>
      <c r="AR99" s="85">
        <f t="shared" ca="1" si="145"/>
        <v>342.5705182200544</v>
      </c>
      <c r="AS99" s="85">
        <f t="shared" ca="1" si="146"/>
        <v>329.02514165293553</v>
      </c>
      <c r="AT99" s="85">
        <f t="shared" ca="1" si="147"/>
        <v>396.0890806315478</v>
      </c>
      <c r="AU99" s="85">
        <f t="shared" ca="1" si="148"/>
        <v>345.51150089542796</v>
      </c>
      <c r="AV99" s="85">
        <f t="shared" ca="1" si="149"/>
        <v>353.53769775584129</v>
      </c>
      <c r="AW99" s="85">
        <f t="shared" ca="1" si="150"/>
        <v>324.86433333181913</v>
      </c>
      <c r="AX99" s="85">
        <f t="shared" ca="1" si="151"/>
        <v>409.06150768499009</v>
      </c>
      <c r="AY99" s="85">
        <f t="shared" ca="1" si="152"/>
        <v>396.19268026503107</v>
      </c>
      <c r="AZ99" s="85">
        <f t="shared" ca="1" si="153"/>
        <v>327.14662235088662</v>
      </c>
      <c r="BA99" s="85">
        <f t="shared" ca="1" si="154"/>
        <v>368.17072477363917</v>
      </c>
      <c r="BB99" s="85">
        <f t="shared" ca="1" si="155"/>
        <v>330.34988980087479</v>
      </c>
      <c r="BC99" s="85">
        <f t="shared" ca="1" si="156"/>
        <v>353.41060941966703</v>
      </c>
      <c r="BD99" s="85">
        <f t="shared" ca="1" si="157"/>
        <v>352.86008814724886</v>
      </c>
      <c r="BE99" s="85">
        <f t="shared" ca="1" si="158"/>
        <v>334.22605097855342</v>
      </c>
      <c r="BF99" s="85">
        <f t="shared" ca="1" si="159"/>
        <v>366.39517068267781</v>
      </c>
      <c r="BG99" s="85">
        <f t="shared" ca="1" si="160"/>
        <v>318.026015124933</v>
      </c>
      <c r="BH99" s="85">
        <f t="shared" ca="1" si="161"/>
        <v>352.69361699520385</v>
      </c>
      <c r="BI99" s="85">
        <f t="shared" ca="1" si="162"/>
        <v>337.65753325235255</v>
      </c>
      <c r="BJ99" s="85">
        <f t="shared" ca="1" si="163"/>
        <v>362.25185105285584</v>
      </c>
      <c r="BK99" s="85">
        <f t="shared" ca="1" si="164"/>
        <v>354.37741940493191</v>
      </c>
      <c r="BL99" s="85">
        <f t="shared" ca="1" si="165"/>
        <v>349.94702867699357</v>
      </c>
      <c r="BM99" s="85">
        <f t="shared" ca="1" si="166"/>
        <v>294.76565050127573</v>
      </c>
      <c r="BN99" s="85">
        <f t="shared" ca="1" si="103"/>
        <v>390.11329684048258</v>
      </c>
      <c r="BO99" s="85">
        <f t="shared" ca="1" si="192"/>
        <v>393.86593957646568</v>
      </c>
      <c r="BP99" s="85">
        <f t="shared" ca="1" si="193"/>
        <v>310.51464322887364</v>
      </c>
      <c r="BQ99" s="85">
        <f t="shared" ca="1" si="194"/>
        <v>326.02506496135732</v>
      </c>
      <c r="BR99" s="85">
        <f t="shared" ca="1" si="195"/>
        <v>326.00098422077468</v>
      </c>
      <c r="BS99" s="85">
        <f t="shared" ca="1" si="196"/>
        <v>340.0333419806127</v>
      </c>
      <c r="BT99" s="85">
        <f t="shared" ca="1" si="197"/>
        <v>385.72631705168345</v>
      </c>
      <c r="BU99" s="85">
        <f t="shared" ca="1" si="198"/>
        <v>381.68269431299052</v>
      </c>
      <c r="BV99" s="85">
        <f t="shared" ca="1" si="199"/>
        <v>334.67685349544115</v>
      </c>
      <c r="BW99" s="85">
        <f t="shared" ca="1" si="200"/>
        <v>376.45672652326942</v>
      </c>
      <c r="BX99" s="85">
        <f t="shared" ca="1" si="201"/>
        <v>350.16953651787531</v>
      </c>
      <c r="BY99" s="85">
        <f t="shared" ca="1" si="167"/>
        <v>344.82510555465876</v>
      </c>
      <c r="BZ99" s="85">
        <f t="shared" ca="1" si="168"/>
        <v>355.41436048974765</v>
      </c>
      <c r="CA99" s="85">
        <f t="shared" ca="1" si="169"/>
        <v>334.14378722860084</v>
      </c>
      <c r="CB99" s="85">
        <f t="shared" ca="1" si="170"/>
        <v>337.46876437263296</v>
      </c>
      <c r="CC99" s="85">
        <f t="shared" ca="1" si="171"/>
        <v>365.43913956490115</v>
      </c>
      <c r="CD99" s="85">
        <f t="shared" ca="1" si="172"/>
        <v>414.40358340890742</v>
      </c>
      <c r="CE99" s="85">
        <f t="shared" ca="1" si="173"/>
        <v>306.43133473613665</v>
      </c>
      <c r="CF99" s="85">
        <f t="shared" ca="1" si="174"/>
        <v>387.14367570076035</v>
      </c>
      <c r="CG99" s="85">
        <f t="shared" ca="1" si="175"/>
        <v>333.57952971925505</v>
      </c>
      <c r="CH99" s="85">
        <f t="shared" ca="1" si="176"/>
        <v>377.52297869958988</v>
      </c>
      <c r="CI99" s="85">
        <f t="shared" ca="1" si="177"/>
        <v>371.21201688570892</v>
      </c>
      <c r="CJ99" s="85">
        <f t="shared" ca="1" si="178"/>
        <v>337.36432917285725</v>
      </c>
      <c r="CK99" s="85">
        <f t="shared" ca="1" si="179"/>
        <v>338.82285468443325</v>
      </c>
      <c r="CL99" s="85">
        <f t="shared" ca="1" si="180"/>
        <v>329.10246612082949</v>
      </c>
      <c r="CM99" s="85">
        <f t="shared" ca="1" si="181"/>
        <v>381.16732603706328</v>
      </c>
      <c r="CN99" s="85">
        <f t="shared" ca="1" si="182"/>
        <v>334.533433205226</v>
      </c>
      <c r="CO99" s="85">
        <f t="shared" ca="1" si="183"/>
        <v>332.71685638734738</v>
      </c>
      <c r="CP99" s="85">
        <f t="shared" ca="1" si="184"/>
        <v>420.46524514840058</v>
      </c>
      <c r="CQ99" s="85">
        <f t="shared" ca="1" si="185"/>
        <v>369.27528850781187</v>
      </c>
      <c r="CR99" s="85">
        <f t="shared" ca="1" si="186"/>
        <v>382.69982069456836</v>
      </c>
      <c r="CS99" s="85">
        <f t="shared" ca="1" si="187"/>
        <v>297.29840275781766</v>
      </c>
      <c r="CT99" s="85">
        <f t="shared" ca="1" si="188"/>
        <v>344.84736900999565</v>
      </c>
      <c r="CU99" s="85">
        <f t="shared" ca="1" si="189"/>
        <v>431.37402312219814</v>
      </c>
      <c r="CV99" s="85">
        <f t="shared" ca="1" si="190"/>
        <v>314.40257464661039</v>
      </c>
      <c r="CW99" s="85">
        <f t="shared" ca="1" si="191"/>
        <v>320.27907302620207</v>
      </c>
    </row>
    <row r="100" spans="1:101" x14ac:dyDescent="0.2">
      <c r="A100" s="115">
        <v>97</v>
      </c>
      <c r="B100" s="85">
        <f t="shared" ca="1" si="102"/>
        <v>335.29045034884899</v>
      </c>
      <c r="C100" s="85">
        <f t="shared" ca="1" si="104"/>
        <v>341.53071992970968</v>
      </c>
      <c r="D100" s="85">
        <f t="shared" ca="1" si="105"/>
        <v>339.13939187624442</v>
      </c>
      <c r="E100" s="85">
        <f t="shared" ca="1" si="106"/>
        <v>323.87923648487322</v>
      </c>
      <c r="F100" s="85">
        <f t="shared" ca="1" si="107"/>
        <v>327.40255352795458</v>
      </c>
      <c r="G100" s="85">
        <f t="shared" ca="1" si="108"/>
        <v>361.186210860796</v>
      </c>
      <c r="H100" s="85">
        <f t="shared" ca="1" si="109"/>
        <v>339.74650821166057</v>
      </c>
      <c r="I100" s="85">
        <f t="shared" ca="1" si="110"/>
        <v>357.06676735587644</v>
      </c>
      <c r="J100" s="85">
        <f t="shared" ca="1" si="111"/>
        <v>359.34592039620026</v>
      </c>
      <c r="K100" s="85">
        <f t="shared" ca="1" si="112"/>
        <v>343.50923676637154</v>
      </c>
      <c r="L100" s="85">
        <f t="shared" ca="1" si="113"/>
        <v>382.83712677276117</v>
      </c>
      <c r="M100" s="85">
        <f t="shared" ca="1" si="114"/>
        <v>301.04948826967058</v>
      </c>
      <c r="N100" s="85">
        <f t="shared" ca="1" si="115"/>
        <v>344.57798536070254</v>
      </c>
      <c r="O100" s="85">
        <f t="shared" ca="1" si="116"/>
        <v>341.63744372931552</v>
      </c>
      <c r="P100" s="85">
        <f t="shared" ca="1" si="117"/>
        <v>343.4328104966238</v>
      </c>
      <c r="Q100" s="85">
        <f t="shared" ca="1" si="118"/>
        <v>367.41635801081981</v>
      </c>
      <c r="R100" s="85">
        <f t="shared" ca="1" si="119"/>
        <v>335.05978898246087</v>
      </c>
      <c r="S100" s="85">
        <f t="shared" ca="1" si="120"/>
        <v>358.95404848414802</v>
      </c>
      <c r="T100" s="85">
        <f t="shared" ca="1" si="121"/>
        <v>348.41116150630933</v>
      </c>
      <c r="U100" s="85">
        <f t="shared" ca="1" si="122"/>
        <v>302.11833753165757</v>
      </c>
      <c r="V100" s="85">
        <f t="shared" ca="1" si="123"/>
        <v>389.02039786389548</v>
      </c>
      <c r="W100" s="85">
        <f t="shared" ca="1" si="124"/>
        <v>354.78521252799936</v>
      </c>
      <c r="X100" s="85">
        <f t="shared" ca="1" si="125"/>
        <v>343.67938940677408</v>
      </c>
      <c r="Y100" s="85">
        <f t="shared" ca="1" si="126"/>
        <v>320.40311698658337</v>
      </c>
      <c r="Z100" s="85">
        <f t="shared" ca="1" si="127"/>
        <v>343.78692848217423</v>
      </c>
      <c r="AA100" s="85">
        <f t="shared" ca="1" si="128"/>
        <v>326.47136347596762</v>
      </c>
      <c r="AB100" s="85">
        <f t="shared" ca="1" si="129"/>
        <v>377.90082343505418</v>
      </c>
      <c r="AC100" s="85">
        <f t="shared" ca="1" si="130"/>
        <v>338.90688174698806</v>
      </c>
      <c r="AD100" s="85">
        <f t="shared" ca="1" si="131"/>
        <v>373.09492830904452</v>
      </c>
      <c r="AE100" s="85">
        <f t="shared" ca="1" si="132"/>
        <v>451.37662500191192</v>
      </c>
      <c r="AF100" s="85">
        <f t="shared" ca="1" si="133"/>
        <v>341.68984528382168</v>
      </c>
      <c r="AG100" s="85">
        <f t="shared" ca="1" si="134"/>
        <v>356.68070456044393</v>
      </c>
      <c r="AH100" s="85">
        <f t="shared" ca="1" si="135"/>
        <v>315.23941429561376</v>
      </c>
      <c r="AI100" s="85">
        <f t="shared" ca="1" si="136"/>
        <v>373.78043132018792</v>
      </c>
      <c r="AJ100" s="85">
        <f t="shared" ca="1" si="137"/>
        <v>412.61500222287788</v>
      </c>
      <c r="AK100" s="85">
        <f t="shared" ca="1" si="138"/>
        <v>359.90345293908052</v>
      </c>
      <c r="AL100" s="85">
        <f t="shared" ca="1" si="139"/>
        <v>376.72061796539305</v>
      </c>
      <c r="AM100" s="85">
        <f t="shared" ca="1" si="140"/>
        <v>343.99827159095685</v>
      </c>
      <c r="AN100" s="85">
        <f t="shared" ca="1" si="141"/>
        <v>388.47906748425356</v>
      </c>
      <c r="AO100" s="85">
        <f t="shared" ca="1" si="142"/>
        <v>386.80912715735093</v>
      </c>
      <c r="AP100" s="85">
        <f t="shared" ca="1" si="143"/>
        <v>389.15625293155693</v>
      </c>
      <c r="AQ100" s="85">
        <f t="shared" ca="1" si="144"/>
        <v>321.9500882422945</v>
      </c>
      <c r="AR100" s="85">
        <f t="shared" ca="1" si="145"/>
        <v>349.63531598472184</v>
      </c>
      <c r="AS100" s="85">
        <f t="shared" ca="1" si="146"/>
        <v>332.53901074401546</v>
      </c>
      <c r="AT100" s="85">
        <f t="shared" ca="1" si="147"/>
        <v>400.76683036377091</v>
      </c>
      <c r="AU100" s="85">
        <f t="shared" ca="1" si="148"/>
        <v>351.28480117253883</v>
      </c>
      <c r="AV100" s="85">
        <f t="shared" ca="1" si="149"/>
        <v>359.42683586287535</v>
      </c>
      <c r="AW100" s="85">
        <f t="shared" ca="1" si="150"/>
        <v>334.25714319706123</v>
      </c>
      <c r="AX100" s="85">
        <f t="shared" ca="1" si="151"/>
        <v>414.09303219982394</v>
      </c>
      <c r="AY100" s="85">
        <f t="shared" ca="1" si="152"/>
        <v>402.52266540175037</v>
      </c>
      <c r="AZ100" s="85">
        <f t="shared" ca="1" si="153"/>
        <v>329.70514138964626</v>
      </c>
      <c r="BA100" s="85">
        <f t="shared" ca="1" si="154"/>
        <v>372.65958294352089</v>
      </c>
      <c r="BB100" s="85">
        <f t="shared" ca="1" si="155"/>
        <v>334.06487462916931</v>
      </c>
      <c r="BC100" s="85">
        <f t="shared" ca="1" si="156"/>
        <v>354.30334795669035</v>
      </c>
      <c r="BD100" s="85">
        <f t="shared" ca="1" si="157"/>
        <v>361.70369242830981</v>
      </c>
      <c r="BE100" s="85">
        <f t="shared" ca="1" si="158"/>
        <v>338.98317664379255</v>
      </c>
      <c r="BF100" s="85">
        <f t="shared" ca="1" si="159"/>
        <v>365.74399144593224</v>
      </c>
      <c r="BG100" s="85">
        <f t="shared" ca="1" si="160"/>
        <v>319.68137855504432</v>
      </c>
      <c r="BH100" s="85">
        <f t="shared" ca="1" si="161"/>
        <v>356.86376679936052</v>
      </c>
      <c r="BI100" s="85">
        <f t="shared" ca="1" si="162"/>
        <v>341.67033536269111</v>
      </c>
      <c r="BJ100" s="85">
        <f t="shared" ca="1" si="163"/>
        <v>360.75650308492118</v>
      </c>
      <c r="BK100" s="85">
        <f t="shared" ca="1" si="164"/>
        <v>353.40201864403167</v>
      </c>
      <c r="BL100" s="85">
        <f t="shared" ca="1" si="165"/>
        <v>356.19331771498616</v>
      </c>
      <c r="BM100" s="85">
        <f t="shared" ca="1" si="166"/>
        <v>297.54873677808501</v>
      </c>
      <c r="BN100" s="85">
        <f t="shared" ca="1" si="103"/>
        <v>393.08324447438264</v>
      </c>
      <c r="BO100" s="85">
        <f t="shared" ca="1" si="192"/>
        <v>402.84745048004555</v>
      </c>
      <c r="BP100" s="85">
        <f t="shared" ca="1" si="193"/>
        <v>310.93527846547579</v>
      </c>
      <c r="BQ100" s="85">
        <f t="shared" ca="1" si="194"/>
        <v>334.5507498008767</v>
      </c>
      <c r="BR100" s="85">
        <f t="shared" ca="1" si="195"/>
        <v>329.4370898745168</v>
      </c>
      <c r="BS100" s="85">
        <f t="shared" ca="1" si="196"/>
        <v>348.0920313968341</v>
      </c>
      <c r="BT100" s="85">
        <f t="shared" ca="1" si="197"/>
        <v>390.59260476105777</v>
      </c>
      <c r="BU100" s="85">
        <f t="shared" ca="1" si="198"/>
        <v>391.39738131786112</v>
      </c>
      <c r="BV100" s="85">
        <f t="shared" ca="1" si="199"/>
        <v>335.66004648726323</v>
      </c>
      <c r="BW100" s="85">
        <f t="shared" ca="1" si="200"/>
        <v>386.98580947025459</v>
      </c>
      <c r="BX100" s="85">
        <f t="shared" ca="1" si="201"/>
        <v>356.42749904005876</v>
      </c>
      <c r="BY100" s="85">
        <f t="shared" ca="1" si="167"/>
        <v>353.96390565497768</v>
      </c>
      <c r="BZ100" s="85">
        <f t="shared" ca="1" si="168"/>
        <v>362.03227367408834</v>
      </c>
      <c r="CA100" s="85">
        <f t="shared" ca="1" si="169"/>
        <v>339.21993769562556</v>
      </c>
      <c r="CB100" s="85">
        <f t="shared" ca="1" si="170"/>
        <v>344.56213379865721</v>
      </c>
      <c r="CC100" s="85">
        <f t="shared" ca="1" si="171"/>
        <v>366.8242334443716</v>
      </c>
      <c r="CD100" s="85">
        <f t="shared" ca="1" si="172"/>
        <v>418.29161868749236</v>
      </c>
      <c r="CE100" s="85">
        <f t="shared" ca="1" si="173"/>
        <v>311.01141408856654</v>
      </c>
      <c r="CF100" s="85">
        <f t="shared" ca="1" si="174"/>
        <v>394.86112655231477</v>
      </c>
      <c r="CG100" s="85">
        <f t="shared" ca="1" si="175"/>
        <v>338.34240290142168</v>
      </c>
      <c r="CH100" s="85">
        <f t="shared" ca="1" si="176"/>
        <v>378.24107878469675</v>
      </c>
      <c r="CI100" s="85">
        <f t="shared" ca="1" si="177"/>
        <v>374.60283621072045</v>
      </c>
      <c r="CJ100" s="85">
        <f t="shared" ca="1" si="178"/>
        <v>339.8271023548532</v>
      </c>
      <c r="CK100" s="85">
        <f t="shared" ca="1" si="179"/>
        <v>347.07942669013516</v>
      </c>
      <c r="CL100" s="85">
        <f t="shared" ca="1" si="180"/>
        <v>333.04044026778405</v>
      </c>
      <c r="CM100" s="85">
        <f t="shared" ca="1" si="181"/>
        <v>382.73638971159232</v>
      </c>
      <c r="CN100" s="85">
        <f t="shared" ca="1" si="182"/>
        <v>339.60462408927657</v>
      </c>
      <c r="CO100" s="85">
        <f t="shared" ca="1" si="183"/>
        <v>336.66435656204544</v>
      </c>
      <c r="CP100" s="85">
        <f t="shared" ca="1" si="184"/>
        <v>429.29285961534606</v>
      </c>
      <c r="CQ100" s="85">
        <f t="shared" ca="1" si="185"/>
        <v>373.9898576912837</v>
      </c>
      <c r="CR100" s="85">
        <f t="shared" ca="1" si="186"/>
        <v>383.58633094929883</v>
      </c>
      <c r="CS100" s="85">
        <f t="shared" ca="1" si="187"/>
        <v>302.81686230982871</v>
      </c>
      <c r="CT100" s="85">
        <f t="shared" ca="1" si="188"/>
        <v>349.55267835493549</v>
      </c>
      <c r="CU100" s="85">
        <f t="shared" ca="1" si="189"/>
        <v>436.62636752700263</v>
      </c>
      <c r="CV100" s="85">
        <f t="shared" ca="1" si="190"/>
        <v>318.77195523788976</v>
      </c>
      <c r="CW100" s="85">
        <f t="shared" ca="1" si="191"/>
        <v>321.85095137014491</v>
      </c>
    </row>
    <row r="101" spans="1:101" x14ac:dyDescent="0.2">
      <c r="A101" s="115">
        <v>98</v>
      </c>
      <c r="B101" s="85">
        <f t="shared" ca="1" si="102"/>
        <v>340.31305375315708</v>
      </c>
      <c r="C101" s="85">
        <f t="shared" ca="1" si="104"/>
        <v>345.50152375264435</v>
      </c>
      <c r="D101" s="85">
        <f t="shared" ca="1" si="105"/>
        <v>346.09941281997482</v>
      </c>
      <c r="E101" s="85">
        <f t="shared" ca="1" si="106"/>
        <v>325.73694725012649</v>
      </c>
      <c r="F101" s="85">
        <f t="shared" ca="1" si="107"/>
        <v>331.28958248471963</v>
      </c>
      <c r="G101" s="85">
        <f t="shared" ca="1" si="108"/>
        <v>364.60046288912901</v>
      </c>
      <c r="H101" s="85">
        <f t="shared" ca="1" si="109"/>
        <v>347.85368626062393</v>
      </c>
      <c r="I101" s="85">
        <f t="shared" ca="1" si="110"/>
        <v>359.49373681919019</v>
      </c>
      <c r="J101" s="85">
        <f t="shared" ca="1" si="111"/>
        <v>366.09216302124759</v>
      </c>
      <c r="K101" s="85">
        <f t="shared" ca="1" si="112"/>
        <v>348.15489892437404</v>
      </c>
      <c r="L101" s="85">
        <f t="shared" ca="1" si="113"/>
        <v>389.05373210520224</v>
      </c>
      <c r="M101" s="85">
        <f t="shared" ca="1" si="114"/>
        <v>301.54799467184404</v>
      </c>
      <c r="N101" s="85">
        <f t="shared" ca="1" si="115"/>
        <v>351.63671013822938</v>
      </c>
      <c r="O101" s="85">
        <f t="shared" ca="1" si="116"/>
        <v>348.4065985048133</v>
      </c>
      <c r="P101" s="85">
        <f t="shared" ca="1" si="117"/>
        <v>350.22173358874431</v>
      </c>
      <c r="Q101" s="85">
        <f t="shared" ca="1" si="118"/>
        <v>371.58495734863811</v>
      </c>
      <c r="R101" s="85">
        <f t="shared" ca="1" si="119"/>
        <v>345.36869972456486</v>
      </c>
      <c r="S101" s="85">
        <f t="shared" ca="1" si="120"/>
        <v>363.44881237047724</v>
      </c>
      <c r="T101" s="85">
        <f t="shared" ca="1" si="121"/>
        <v>354.44658286603436</v>
      </c>
      <c r="U101" s="85">
        <f t="shared" ca="1" si="122"/>
        <v>307.91126807144741</v>
      </c>
      <c r="V101" s="85">
        <f t="shared" ca="1" si="123"/>
        <v>394.6205268027565</v>
      </c>
      <c r="W101" s="85">
        <f t="shared" ca="1" si="124"/>
        <v>361.36825922594636</v>
      </c>
      <c r="X101" s="85">
        <f t="shared" ca="1" si="125"/>
        <v>349.09031976157939</v>
      </c>
      <c r="Y101" s="85">
        <f t="shared" ca="1" si="126"/>
        <v>323.40363307367073</v>
      </c>
      <c r="Z101" s="85">
        <f t="shared" ca="1" si="127"/>
        <v>350.60310560683018</v>
      </c>
      <c r="AA101" s="85">
        <f t="shared" ca="1" si="128"/>
        <v>329.48776853486208</v>
      </c>
      <c r="AB101" s="85">
        <f t="shared" ca="1" si="129"/>
        <v>384.4122472001909</v>
      </c>
      <c r="AC101" s="85">
        <f t="shared" ca="1" si="130"/>
        <v>341.54617730567549</v>
      </c>
      <c r="AD101" s="85">
        <f t="shared" ca="1" si="131"/>
        <v>380.57280739734716</v>
      </c>
      <c r="AE101" s="85">
        <f t="shared" ca="1" si="132"/>
        <v>461.02647014899065</v>
      </c>
      <c r="AF101" s="85">
        <f t="shared" ca="1" si="133"/>
        <v>343.12064212536592</v>
      </c>
      <c r="AG101" s="85">
        <f t="shared" ca="1" si="134"/>
        <v>359.47212063914873</v>
      </c>
      <c r="AH101" s="85">
        <f t="shared" ca="1" si="135"/>
        <v>318.25000282750381</v>
      </c>
      <c r="AI101" s="85">
        <f t="shared" ca="1" si="136"/>
        <v>380.01992174278848</v>
      </c>
      <c r="AJ101" s="85">
        <f t="shared" ca="1" si="137"/>
        <v>417.84128448027161</v>
      </c>
      <c r="AK101" s="85">
        <f t="shared" ca="1" si="138"/>
        <v>363.32127378568987</v>
      </c>
      <c r="AL101" s="85">
        <f t="shared" ca="1" si="139"/>
        <v>378.25708805432919</v>
      </c>
      <c r="AM101" s="85">
        <f t="shared" ca="1" si="140"/>
        <v>349.21925790980941</v>
      </c>
      <c r="AN101" s="85">
        <f t="shared" ca="1" si="141"/>
        <v>392.2216990933876</v>
      </c>
      <c r="AO101" s="85">
        <f t="shared" ca="1" si="142"/>
        <v>393.03304481616561</v>
      </c>
      <c r="AP101" s="85">
        <f t="shared" ca="1" si="143"/>
        <v>399.03756222588282</v>
      </c>
      <c r="AQ101" s="85">
        <f t="shared" ca="1" si="144"/>
        <v>328.00652727401871</v>
      </c>
      <c r="AR101" s="85">
        <f t="shared" ca="1" si="145"/>
        <v>356.52605122949274</v>
      </c>
      <c r="AS101" s="85">
        <f t="shared" ca="1" si="146"/>
        <v>334.82952950448532</v>
      </c>
      <c r="AT101" s="85">
        <f t="shared" ca="1" si="147"/>
        <v>405.11117916457329</v>
      </c>
      <c r="AU101" s="85">
        <f t="shared" ca="1" si="148"/>
        <v>361.2649518097432</v>
      </c>
      <c r="AV101" s="85">
        <f t="shared" ca="1" si="149"/>
        <v>359.63226620904885</v>
      </c>
      <c r="AW101" s="85">
        <f t="shared" ca="1" si="150"/>
        <v>341.36585719323074</v>
      </c>
      <c r="AX101" s="85">
        <f t="shared" ca="1" si="151"/>
        <v>418.52043807229006</v>
      </c>
      <c r="AY101" s="85">
        <f t="shared" ca="1" si="152"/>
        <v>410.94995927493488</v>
      </c>
      <c r="AZ101" s="85">
        <f t="shared" ca="1" si="153"/>
        <v>336.58267978058598</v>
      </c>
      <c r="BA101" s="85">
        <f t="shared" ca="1" si="154"/>
        <v>375.84929118647108</v>
      </c>
      <c r="BB101" s="85">
        <f t="shared" ca="1" si="155"/>
        <v>339.73041611084818</v>
      </c>
      <c r="BC101" s="85">
        <f t="shared" ca="1" si="156"/>
        <v>359.75723797104035</v>
      </c>
      <c r="BD101" s="85">
        <f t="shared" ca="1" si="157"/>
        <v>367.09058136900006</v>
      </c>
      <c r="BE101" s="85">
        <f t="shared" ca="1" si="158"/>
        <v>344.62819685306846</v>
      </c>
      <c r="BF101" s="85">
        <f t="shared" ca="1" si="159"/>
        <v>367.01917536573899</v>
      </c>
      <c r="BG101" s="85">
        <f t="shared" ca="1" si="160"/>
        <v>319.40454651517979</v>
      </c>
      <c r="BH101" s="85">
        <f t="shared" ca="1" si="161"/>
        <v>356.5945610164008</v>
      </c>
      <c r="BI101" s="85">
        <f t="shared" ca="1" si="162"/>
        <v>349.2759390130891</v>
      </c>
      <c r="BJ101" s="85">
        <f t="shared" ca="1" si="163"/>
        <v>365.04491664206176</v>
      </c>
      <c r="BK101" s="85">
        <f t="shared" ca="1" si="164"/>
        <v>359.43005112569318</v>
      </c>
      <c r="BL101" s="85">
        <f t="shared" ca="1" si="165"/>
        <v>358.83317629091476</v>
      </c>
      <c r="BM101" s="85">
        <f t="shared" ca="1" si="166"/>
        <v>300.18319865057896</v>
      </c>
      <c r="BN101" s="85">
        <f t="shared" ca="1" si="103"/>
        <v>399.63437718274827</v>
      </c>
      <c r="BO101" s="85">
        <f t="shared" ca="1" si="192"/>
        <v>412.45609183115312</v>
      </c>
      <c r="BP101" s="85">
        <f t="shared" ca="1" si="193"/>
        <v>313.40284755361807</v>
      </c>
      <c r="BQ101" s="85">
        <f t="shared" ca="1" si="194"/>
        <v>341.6478145223245</v>
      </c>
      <c r="BR101" s="85">
        <f t="shared" ca="1" si="195"/>
        <v>334.43544182432692</v>
      </c>
      <c r="BS101" s="85">
        <f t="shared" ca="1" si="196"/>
        <v>355.61190993291763</v>
      </c>
      <c r="BT101" s="85">
        <f t="shared" ca="1" si="197"/>
        <v>395.65156775881303</v>
      </c>
      <c r="BU101" s="85">
        <f t="shared" ca="1" si="198"/>
        <v>398.53365165955296</v>
      </c>
      <c r="BV101" s="85">
        <f t="shared" ca="1" si="199"/>
        <v>340.15814929785512</v>
      </c>
      <c r="BW101" s="85">
        <f t="shared" ca="1" si="200"/>
        <v>391.87251357749085</v>
      </c>
      <c r="BX101" s="85">
        <f t="shared" ca="1" si="201"/>
        <v>361.22778938525317</v>
      </c>
      <c r="BY101" s="85">
        <f t="shared" ca="1" si="167"/>
        <v>359.41774260984346</v>
      </c>
      <c r="BZ101" s="85">
        <f t="shared" ca="1" si="168"/>
        <v>368.23202686196458</v>
      </c>
      <c r="CA101" s="85">
        <f t="shared" ca="1" si="169"/>
        <v>341.22739200658521</v>
      </c>
      <c r="CB101" s="85">
        <f t="shared" ca="1" si="170"/>
        <v>346.88038132488276</v>
      </c>
      <c r="CC101" s="85">
        <f t="shared" ca="1" si="171"/>
        <v>370.7107251755948</v>
      </c>
      <c r="CD101" s="85">
        <f t="shared" ca="1" si="172"/>
        <v>421.99909411745875</v>
      </c>
      <c r="CE101" s="85">
        <f t="shared" ca="1" si="173"/>
        <v>313.06137542382652</v>
      </c>
      <c r="CF101" s="85">
        <f t="shared" ca="1" si="174"/>
        <v>393.79842442882176</v>
      </c>
      <c r="CG101" s="85">
        <f t="shared" ca="1" si="175"/>
        <v>339.55306151250676</v>
      </c>
      <c r="CH101" s="85">
        <f t="shared" ca="1" si="176"/>
        <v>379.79188154305479</v>
      </c>
      <c r="CI101" s="85">
        <f t="shared" ca="1" si="177"/>
        <v>379.39146173569679</v>
      </c>
      <c r="CJ101" s="85">
        <f t="shared" ca="1" si="178"/>
        <v>340.94982040042999</v>
      </c>
      <c r="CK101" s="85">
        <f t="shared" ca="1" si="179"/>
        <v>354.05762974512174</v>
      </c>
      <c r="CL101" s="85">
        <f t="shared" ca="1" si="180"/>
        <v>338.3845653101053</v>
      </c>
      <c r="CM101" s="85">
        <f t="shared" ca="1" si="181"/>
        <v>390.20874506490719</v>
      </c>
      <c r="CN101" s="85">
        <f t="shared" ca="1" si="182"/>
        <v>344.52612608407969</v>
      </c>
      <c r="CO101" s="85">
        <f t="shared" ca="1" si="183"/>
        <v>339.86454729212159</v>
      </c>
      <c r="CP101" s="85">
        <f t="shared" ca="1" si="184"/>
        <v>430.73960742539674</v>
      </c>
      <c r="CQ101" s="85">
        <f t="shared" ca="1" si="185"/>
        <v>375.90603420987242</v>
      </c>
      <c r="CR101" s="85">
        <f t="shared" ca="1" si="186"/>
        <v>390.08035298304645</v>
      </c>
      <c r="CS101" s="85">
        <f t="shared" ca="1" si="187"/>
        <v>305.69026334259644</v>
      </c>
      <c r="CT101" s="85">
        <f t="shared" ca="1" si="188"/>
        <v>354.28953328897916</v>
      </c>
      <c r="CU101" s="85">
        <f t="shared" ca="1" si="189"/>
        <v>443.08028201576644</v>
      </c>
      <c r="CV101" s="85">
        <f t="shared" ca="1" si="190"/>
        <v>320.60612842487404</v>
      </c>
      <c r="CW101" s="85">
        <f t="shared" ca="1" si="191"/>
        <v>325.2115298316549</v>
      </c>
    </row>
    <row r="102" spans="1:101" x14ac:dyDescent="0.2">
      <c r="A102" s="115">
        <v>99</v>
      </c>
      <c r="B102" s="85">
        <f t="shared" ca="1" si="102"/>
        <v>343.62925087671016</v>
      </c>
      <c r="C102" s="85">
        <f t="shared" ca="1" si="104"/>
        <v>349.53834746993527</v>
      </c>
      <c r="D102" s="85">
        <f t="shared" ca="1" si="105"/>
        <v>352.16535805906852</v>
      </c>
      <c r="E102" s="85">
        <f t="shared" ca="1" si="106"/>
        <v>327.44782051179288</v>
      </c>
      <c r="F102" s="85">
        <f t="shared" ca="1" si="107"/>
        <v>338.34972584549138</v>
      </c>
      <c r="G102" s="85">
        <f t="shared" ca="1" si="108"/>
        <v>372.55717268615746</v>
      </c>
      <c r="H102" s="85">
        <f t="shared" ca="1" si="109"/>
        <v>354.64924001910492</v>
      </c>
      <c r="I102" s="85">
        <f t="shared" ca="1" si="110"/>
        <v>368.18896251657031</v>
      </c>
      <c r="J102" s="85">
        <f t="shared" ca="1" si="111"/>
        <v>369.56827138291203</v>
      </c>
      <c r="K102" s="85">
        <f t="shared" ca="1" si="112"/>
        <v>355.3003419712702</v>
      </c>
      <c r="L102" s="85">
        <f t="shared" ca="1" si="113"/>
        <v>404.46308500301541</v>
      </c>
      <c r="M102" s="85">
        <f t="shared" ca="1" si="114"/>
        <v>305.50613145724543</v>
      </c>
      <c r="N102" s="85">
        <f t="shared" ca="1" si="115"/>
        <v>353.44866918761011</v>
      </c>
      <c r="O102" s="85">
        <f t="shared" ca="1" si="116"/>
        <v>352.97319268896695</v>
      </c>
      <c r="P102" s="85">
        <f t="shared" ca="1" si="117"/>
        <v>356.23644346612377</v>
      </c>
      <c r="Q102" s="85">
        <f t="shared" ca="1" si="118"/>
        <v>373.95043944032858</v>
      </c>
      <c r="R102" s="85">
        <f t="shared" ca="1" si="119"/>
        <v>353.47522936478424</v>
      </c>
      <c r="S102" s="85">
        <f t="shared" ca="1" si="120"/>
        <v>368.15540495766157</v>
      </c>
      <c r="T102" s="85">
        <f t="shared" ca="1" si="121"/>
        <v>355.87228362325254</v>
      </c>
      <c r="U102" s="85">
        <f t="shared" ca="1" si="122"/>
        <v>312.96767869808957</v>
      </c>
      <c r="V102" s="85">
        <f t="shared" ca="1" si="123"/>
        <v>398.97456918342027</v>
      </c>
      <c r="W102" s="85">
        <f t="shared" ca="1" si="124"/>
        <v>367.25456715451071</v>
      </c>
      <c r="X102" s="85">
        <f t="shared" ca="1" si="125"/>
        <v>352.75821285064058</v>
      </c>
      <c r="Y102" s="85">
        <f t="shared" ca="1" si="126"/>
        <v>328.14849830025031</v>
      </c>
      <c r="Z102" s="85">
        <f t="shared" ca="1" si="127"/>
        <v>357.83313093239815</v>
      </c>
      <c r="AA102" s="85">
        <f t="shared" ca="1" si="128"/>
        <v>329.11599295275386</v>
      </c>
      <c r="AB102" s="85">
        <f t="shared" ca="1" si="129"/>
        <v>393.03808800983518</v>
      </c>
      <c r="AC102" s="85">
        <f t="shared" ca="1" si="130"/>
        <v>346.3484945829843</v>
      </c>
      <c r="AD102" s="85">
        <f t="shared" ca="1" si="131"/>
        <v>391.25185939586538</v>
      </c>
      <c r="AE102" s="85">
        <f t="shared" ca="1" si="132"/>
        <v>467.51394399435634</v>
      </c>
      <c r="AF102" s="85">
        <f t="shared" ca="1" si="133"/>
        <v>342.42264535065431</v>
      </c>
      <c r="AG102" s="85">
        <f t="shared" ca="1" si="134"/>
        <v>363.89956170481025</v>
      </c>
      <c r="AH102" s="85">
        <f t="shared" ca="1" si="135"/>
        <v>320.87890426350697</v>
      </c>
      <c r="AI102" s="85">
        <f t="shared" ca="1" si="136"/>
        <v>387.27799637614521</v>
      </c>
      <c r="AJ102" s="85">
        <f t="shared" ca="1" si="137"/>
        <v>428.3621728300688</v>
      </c>
      <c r="AK102" s="85">
        <f t="shared" ca="1" si="138"/>
        <v>369.37042348141733</v>
      </c>
      <c r="AL102" s="85">
        <f t="shared" ca="1" si="139"/>
        <v>385.69360120763247</v>
      </c>
      <c r="AM102" s="85">
        <f t="shared" ca="1" si="140"/>
        <v>356.87300017182611</v>
      </c>
      <c r="AN102" s="85">
        <f t="shared" ca="1" si="141"/>
        <v>396.91816010210795</v>
      </c>
      <c r="AO102" s="85">
        <f t="shared" ca="1" si="142"/>
        <v>400.16229407553357</v>
      </c>
      <c r="AP102" s="85">
        <f t="shared" ca="1" si="143"/>
        <v>406.92549017054876</v>
      </c>
      <c r="AQ102" s="85">
        <f t="shared" ca="1" si="144"/>
        <v>328.46638905860715</v>
      </c>
      <c r="AR102" s="85">
        <f t="shared" ca="1" si="145"/>
        <v>358.12103159502624</v>
      </c>
      <c r="AS102" s="85">
        <f t="shared" ca="1" si="146"/>
        <v>343.87021471418893</v>
      </c>
      <c r="AT102" s="85">
        <f t="shared" ca="1" si="147"/>
        <v>412.78391846263065</v>
      </c>
      <c r="AU102" s="85">
        <f t="shared" ca="1" si="148"/>
        <v>370.75706148050494</v>
      </c>
      <c r="AV102" s="85">
        <f t="shared" ca="1" si="149"/>
        <v>363.09176395603777</v>
      </c>
      <c r="AW102" s="85">
        <f t="shared" ca="1" si="150"/>
        <v>351.16425731731817</v>
      </c>
      <c r="AX102" s="85">
        <f t="shared" ca="1" si="151"/>
        <v>423.89570548751891</v>
      </c>
      <c r="AY102" s="85">
        <f t="shared" ca="1" si="152"/>
        <v>412.69536523782739</v>
      </c>
      <c r="AZ102" s="85">
        <f t="shared" ca="1" si="153"/>
        <v>341.863377813667</v>
      </c>
      <c r="BA102" s="85">
        <f t="shared" ca="1" si="154"/>
        <v>384.37384498813327</v>
      </c>
      <c r="BB102" s="85">
        <f t="shared" ca="1" si="155"/>
        <v>347.19541308168357</v>
      </c>
      <c r="BC102" s="85">
        <f t="shared" ca="1" si="156"/>
        <v>365.56983969861921</v>
      </c>
      <c r="BD102" s="85">
        <f t="shared" ca="1" si="157"/>
        <v>375.82531940358894</v>
      </c>
      <c r="BE102" s="85">
        <f t="shared" ca="1" si="158"/>
        <v>346.54862772177626</v>
      </c>
      <c r="BF102" s="85">
        <f t="shared" ca="1" si="159"/>
        <v>367.77780604155737</v>
      </c>
      <c r="BG102" s="85">
        <f t="shared" ca="1" si="160"/>
        <v>323.65440513389279</v>
      </c>
      <c r="BH102" s="85">
        <f t="shared" ca="1" si="161"/>
        <v>360.26411724945871</v>
      </c>
      <c r="BI102" s="85">
        <f t="shared" ca="1" si="162"/>
        <v>351.84785502580797</v>
      </c>
      <c r="BJ102" s="85">
        <f t="shared" ca="1" si="163"/>
        <v>369.1022851566463</v>
      </c>
      <c r="BK102" s="85">
        <f t="shared" ca="1" si="164"/>
        <v>362.46830382941494</v>
      </c>
      <c r="BL102" s="85">
        <f t="shared" ca="1" si="165"/>
        <v>362.65916014847159</v>
      </c>
      <c r="BM102" s="85">
        <f t="shared" ca="1" si="166"/>
        <v>307.01429153326046</v>
      </c>
      <c r="BN102" s="85">
        <f t="shared" ca="1" si="103"/>
        <v>402.75730722273534</v>
      </c>
      <c r="BO102" s="85">
        <f t="shared" ca="1" si="192"/>
        <v>419.5079773339466</v>
      </c>
      <c r="BP102" s="85">
        <f t="shared" ca="1" si="193"/>
        <v>317.71154312459748</v>
      </c>
      <c r="BQ102" s="85">
        <f t="shared" ca="1" si="194"/>
        <v>348.09052559288648</v>
      </c>
      <c r="BR102" s="85">
        <f t="shared" ca="1" si="195"/>
        <v>337.71626180425</v>
      </c>
      <c r="BS102" s="85">
        <f t="shared" ca="1" si="196"/>
        <v>358.96865224511373</v>
      </c>
      <c r="BT102" s="85">
        <f t="shared" ca="1" si="197"/>
        <v>402.26963071180631</v>
      </c>
      <c r="BU102" s="85">
        <f t="shared" ca="1" si="198"/>
        <v>403.39553458101443</v>
      </c>
      <c r="BV102" s="85">
        <f t="shared" ca="1" si="199"/>
        <v>346.00541506187915</v>
      </c>
      <c r="BW102" s="85">
        <f t="shared" ca="1" si="200"/>
        <v>399.27086889214763</v>
      </c>
      <c r="BX102" s="85">
        <f t="shared" ca="1" si="201"/>
        <v>370.91387267540443</v>
      </c>
      <c r="BY102" s="85">
        <f t="shared" ca="1" si="167"/>
        <v>361.50640060136232</v>
      </c>
      <c r="BZ102" s="85">
        <f t="shared" ca="1" si="168"/>
        <v>373.51933088745045</v>
      </c>
      <c r="CA102" s="85">
        <f t="shared" ca="1" si="169"/>
        <v>348.95267247391331</v>
      </c>
      <c r="CB102" s="85">
        <f t="shared" ca="1" si="170"/>
        <v>349.77560426910321</v>
      </c>
      <c r="CC102" s="85">
        <f t="shared" ca="1" si="171"/>
        <v>372.52051392748814</v>
      </c>
      <c r="CD102" s="85">
        <f t="shared" ca="1" si="172"/>
        <v>421.95493527687063</v>
      </c>
      <c r="CE102" s="85">
        <f t="shared" ca="1" si="173"/>
        <v>317.01538539582691</v>
      </c>
      <c r="CF102" s="85">
        <f t="shared" ca="1" si="174"/>
        <v>399.05018071739715</v>
      </c>
      <c r="CG102" s="85">
        <f t="shared" ca="1" si="175"/>
        <v>344.83528557566297</v>
      </c>
      <c r="CH102" s="85">
        <f t="shared" ca="1" si="176"/>
        <v>389.37520736030848</v>
      </c>
      <c r="CI102" s="85">
        <f t="shared" ca="1" si="177"/>
        <v>382.94895948324364</v>
      </c>
      <c r="CJ102" s="85">
        <f t="shared" ca="1" si="178"/>
        <v>345.43491037058493</v>
      </c>
      <c r="CK102" s="85">
        <f t="shared" ca="1" si="179"/>
        <v>357.70325687403482</v>
      </c>
      <c r="CL102" s="85">
        <f t="shared" ca="1" si="180"/>
        <v>339.82852270476764</v>
      </c>
      <c r="CM102" s="85">
        <f t="shared" ca="1" si="181"/>
        <v>394.77941553366657</v>
      </c>
      <c r="CN102" s="85">
        <f t="shared" ca="1" si="182"/>
        <v>349.38872548243</v>
      </c>
      <c r="CO102" s="85">
        <f t="shared" ca="1" si="183"/>
        <v>346.65748232908413</v>
      </c>
      <c r="CP102" s="85">
        <f t="shared" ca="1" si="184"/>
        <v>437.32682270847857</v>
      </c>
      <c r="CQ102" s="85">
        <f t="shared" ca="1" si="185"/>
        <v>386.03458219502306</v>
      </c>
      <c r="CR102" s="85">
        <f t="shared" ca="1" si="186"/>
        <v>396.231631255293</v>
      </c>
      <c r="CS102" s="85">
        <f t="shared" ca="1" si="187"/>
        <v>310.09181170672736</v>
      </c>
      <c r="CT102" s="85">
        <f t="shared" ca="1" si="188"/>
        <v>360.49566639001284</v>
      </c>
      <c r="CU102" s="85">
        <f t="shared" ca="1" si="189"/>
        <v>451.70367116876713</v>
      </c>
      <c r="CV102" s="85">
        <f t="shared" ca="1" si="190"/>
        <v>323.42429310061863</v>
      </c>
      <c r="CW102" s="85">
        <f t="shared" ca="1" si="191"/>
        <v>325.99873567348175</v>
      </c>
    </row>
    <row r="103" spans="1:101" x14ac:dyDescent="0.2">
      <c r="A103" s="115">
        <v>100</v>
      </c>
      <c r="B103" s="85">
        <f t="shared" ca="1" si="102"/>
        <v>345.75764453090511</v>
      </c>
      <c r="C103" s="85">
        <f t="shared" ca="1" si="104"/>
        <v>356.74601114751721</v>
      </c>
      <c r="D103" s="85">
        <f t="shared" ca="1" si="105"/>
        <v>357.69164892789172</v>
      </c>
      <c r="E103" s="85">
        <f t="shared" ca="1" si="106"/>
        <v>330.63517192269438</v>
      </c>
      <c r="F103" s="85">
        <f t="shared" ca="1" si="107"/>
        <v>343.36027213258745</v>
      </c>
      <c r="G103" s="85">
        <f t="shared" ca="1" si="108"/>
        <v>381.16212966125346</v>
      </c>
      <c r="H103" s="85">
        <f t="shared" ca="1" si="109"/>
        <v>361.46791438644482</v>
      </c>
      <c r="I103" s="85">
        <f t="shared" ca="1" si="110"/>
        <v>371.53981533745468</v>
      </c>
      <c r="J103" s="85">
        <f t="shared" ca="1" si="111"/>
        <v>374.29322219041001</v>
      </c>
      <c r="K103" s="85">
        <f t="shared" ca="1" si="112"/>
        <v>361.8317333483767</v>
      </c>
      <c r="L103" s="85">
        <f t="shared" ca="1" si="113"/>
        <v>410.60554416519204</v>
      </c>
      <c r="M103" s="85">
        <f t="shared" ca="1" si="114"/>
        <v>307.69882420575357</v>
      </c>
      <c r="N103" s="85">
        <f t="shared" ca="1" si="115"/>
        <v>359.12428034116419</v>
      </c>
      <c r="O103" s="85">
        <f t="shared" ca="1" si="116"/>
        <v>357.0830883137204</v>
      </c>
      <c r="P103" s="85">
        <f t="shared" ca="1" si="117"/>
        <v>353.95268834291966</v>
      </c>
      <c r="Q103" s="85">
        <f t="shared" ca="1" si="118"/>
        <v>380.19910606390482</v>
      </c>
      <c r="R103" s="85">
        <f t="shared" ca="1" si="119"/>
        <v>353.68342285239351</v>
      </c>
      <c r="S103" s="85">
        <f t="shared" ca="1" si="120"/>
        <v>373.86619593119588</v>
      </c>
      <c r="T103" s="85">
        <f t="shared" ca="1" si="121"/>
        <v>360.73313585765254</v>
      </c>
      <c r="U103" s="85">
        <f t="shared" ca="1" si="122"/>
        <v>319.45558487690903</v>
      </c>
      <c r="V103" s="85">
        <f t="shared" ca="1" si="123"/>
        <v>396.77383239880476</v>
      </c>
      <c r="W103" s="85">
        <f t="shared" ca="1" si="124"/>
        <v>367.24787977690039</v>
      </c>
      <c r="X103" s="85">
        <f t="shared" ca="1" si="125"/>
        <v>361.76243297018448</v>
      </c>
      <c r="Y103" s="85">
        <f t="shared" ca="1" si="126"/>
        <v>331.804646829067</v>
      </c>
      <c r="Z103" s="85">
        <f t="shared" ca="1" si="127"/>
        <v>361.76675971560371</v>
      </c>
      <c r="AA103" s="85">
        <f t="shared" ca="1" si="128"/>
        <v>336.23692748988515</v>
      </c>
      <c r="AB103" s="85">
        <f t="shared" ca="1" si="129"/>
        <v>399.67653631306098</v>
      </c>
      <c r="AC103" s="85">
        <f t="shared" ca="1" si="130"/>
        <v>347.74680648326841</v>
      </c>
      <c r="AD103" s="85">
        <f t="shared" ca="1" si="131"/>
        <v>400.86452447270193</v>
      </c>
      <c r="AE103" s="85">
        <f t="shared" ca="1" si="132"/>
        <v>475.17647131699516</v>
      </c>
      <c r="AF103" s="85">
        <f t="shared" ca="1" si="133"/>
        <v>349.05355995413606</v>
      </c>
      <c r="AG103" s="85">
        <f t="shared" ca="1" si="134"/>
        <v>370.14442016176469</v>
      </c>
      <c r="AH103" s="85">
        <f t="shared" ca="1" si="135"/>
        <v>323.18316170766502</v>
      </c>
      <c r="AI103" s="85">
        <f t="shared" ca="1" si="136"/>
        <v>392.06210367746502</v>
      </c>
      <c r="AJ103" s="85">
        <f t="shared" ca="1" si="137"/>
        <v>433.8235275517859</v>
      </c>
      <c r="AK103" s="85">
        <f t="shared" ca="1" si="138"/>
        <v>376.40225896983367</v>
      </c>
      <c r="AL103" s="85">
        <f t="shared" ca="1" si="139"/>
        <v>388.67240748716398</v>
      </c>
      <c r="AM103" s="85">
        <f t="shared" ca="1" si="140"/>
        <v>358.16405515890568</v>
      </c>
      <c r="AN103" s="85">
        <f t="shared" ca="1" si="141"/>
        <v>397.93322913106658</v>
      </c>
      <c r="AO103" s="85">
        <f t="shared" ca="1" si="142"/>
        <v>409.65543898917059</v>
      </c>
      <c r="AP103" s="85">
        <f t="shared" ca="1" si="143"/>
        <v>411.11939870388193</v>
      </c>
      <c r="AQ103" s="85">
        <f t="shared" ca="1" si="144"/>
        <v>330.98283115359311</v>
      </c>
      <c r="AR103" s="85">
        <f t="shared" ca="1" si="145"/>
        <v>362.42507931081906</v>
      </c>
      <c r="AS103" s="85">
        <f t="shared" ca="1" si="146"/>
        <v>345.13897473727985</v>
      </c>
      <c r="AT103" s="85">
        <f t="shared" ca="1" si="147"/>
        <v>413.81217432112965</v>
      </c>
      <c r="AU103" s="85">
        <f t="shared" ca="1" si="148"/>
        <v>382.94067694498392</v>
      </c>
      <c r="AV103" s="85">
        <f t="shared" ca="1" si="149"/>
        <v>371.03841345977486</v>
      </c>
      <c r="AW103" s="85">
        <f t="shared" ca="1" si="150"/>
        <v>356.68228480954429</v>
      </c>
      <c r="AX103" s="85">
        <f t="shared" ca="1" si="151"/>
        <v>427.7236731660808</v>
      </c>
      <c r="AY103" s="85">
        <f t="shared" ca="1" si="152"/>
        <v>419.80878462442666</v>
      </c>
      <c r="AZ103" s="85">
        <f t="shared" ca="1" si="153"/>
        <v>343.75760067519701</v>
      </c>
      <c r="BA103" s="85">
        <f t="shared" ca="1" si="154"/>
        <v>381.88891740154662</v>
      </c>
      <c r="BB103" s="85">
        <f t="shared" ca="1" si="155"/>
        <v>351.44568614508131</v>
      </c>
      <c r="BC103" s="85">
        <f t="shared" ca="1" si="156"/>
        <v>369.08570771929647</v>
      </c>
      <c r="BD103" s="85">
        <f t="shared" ca="1" si="157"/>
        <v>379.82402080204349</v>
      </c>
      <c r="BE103" s="85">
        <f t="shared" ca="1" si="158"/>
        <v>349.81978244073491</v>
      </c>
      <c r="BF103" s="85">
        <f t="shared" ca="1" si="159"/>
        <v>375.37600483618445</v>
      </c>
      <c r="BG103" s="85">
        <f t="shared" ca="1" si="160"/>
        <v>326.63906340150953</v>
      </c>
      <c r="BH103" s="85">
        <f t="shared" ca="1" si="161"/>
        <v>365.68510453820636</v>
      </c>
      <c r="BI103" s="85">
        <f t="shared" ca="1" si="162"/>
        <v>354.66265935556368</v>
      </c>
      <c r="BJ103" s="85">
        <f t="shared" ca="1" si="163"/>
        <v>378.21428934661293</v>
      </c>
      <c r="BK103" s="85">
        <f t="shared" ca="1" si="164"/>
        <v>366.68836686178173</v>
      </c>
      <c r="BL103" s="85">
        <f t="shared" ca="1" si="165"/>
        <v>365.00141669193215</v>
      </c>
      <c r="BM103" s="85">
        <f t="shared" ca="1" si="166"/>
        <v>310.85752854770556</v>
      </c>
      <c r="BN103" s="85">
        <f t="shared" ca="1" si="103"/>
        <v>412.45409574484654</v>
      </c>
      <c r="BO103" s="85">
        <f t="shared" ca="1" si="192"/>
        <v>427.26991767903161</v>
      </c>
      <c r="BP103" s="85">
        <f t="shared" ca="1" si="193"/>
        <v>318.74001236597411</v>
      </c>
      <c r="BQ103" s="85">
        <f t="shared" ca="1" si="194"/>
        <v>352.21774108449409</v>
      </c>
      <c r="BR103" s="85">
        <f t="shared" ca="1" si="195"/>
        <v>345.86959366718042</v>
      </c>
      <c r="BS103" s="85">
        <f t="shared" ca="1" si="196"/>
        <v>365.69916231775545</v>
      </c>
      <c r="BT103" s="85">
        <f t="shared" ca="1" si="197"/>
        <v>405.18548303707661</v>
      </c>
      <c r="BU103" s="85">
        <f t="shared" ca="1" si="198"/>
        <v>409.36725739491584</v>
      </c>
      <c r="BV103" s="85">
        <f t="shared" ca="1" si="199"/>
        <v>353.40274154202518</v>
      </c>
      <c r="BW103" s="85">
        <f t="shared" ca="1" si="200"/>
        <v>402.4455620352029</v>
      </c>
      <c r="BX103" s="85">
        <f t="shared" ca="1" si="201"/>
        <v>377.33427935042556</v>
      </c>
      <c r="BY103" s="85">
        <f t="shared" ca="1" si="167"/>
        <v>365.99588246118702</v>
      </c>
      <c r="BZ103" s="85">
        <f t="shared" ca="1" si="168"/>
        <v>379.57863345317475</v>
      </c>
      <c r="CA103" s="85">
        <f t="shared" ca="1" si="169"/>
        <v>356.02650906721396</v>
      </c>
      <c r="CB103" s="85">
        <f t="shared" ca="1" si="170"/>
        <v>353.76970509946659</v>
      </c>
      <c r="CC103" s="85">
        <f t="shared" ca="1" si="171"/>
        <v>376.56847757523917</v>
      </c>
      <c r="CD103" s="85">
        <f t="shared" ca="1" si="172"/>
        <v>428.4154093208723</v>
      </c>
      <c r="CE103" s="85">
        <f t="shared" ca="1" si="173"/>
        <v>323.27323462811995</v>
      </c>
      <c r="CF103" s="85">
        <f t="shared" ca="1" si="174"/>
        <v>403.48587368595884</v>
      </c>
      <c r="CG103" s="85">
        <f t="shared" ca="1" si="175"/>
        <v>348.85298259760225</v>
      </c>
      <c r="CH103" s="85">
        <f t="shared" ca="1" si="176"/>
        <v>395.58961628152099</v>
      </c>
      <c r="CI103" s="85">
        <f t="shared" ca="1" si="177"/>
        <v>389.27543778245888</v>
      </c>
      <c r="CJ103" s="85">
        <f t="shared" ca="1" si="178"/>
        <v>348.15601413860105</v>
      </c>
      <c r="CK103" s="85">
        <f t="shared" ca="1" si="179"/>
        <v>361.51445726414039</v>
      </c>
      <c r="CL103" s="85">
        <f t="shared" ca="1" si="180"/>
        <v>343.90675495797001</v>
      </c>
      <c r="CM103" s="85">
        <f t="shared" ca="1" si="181"/>
        <v>396.08223007715787</v>
      </c>
      <c r="CN103" s="85">
        <f t="shared" ca="1" si="182"/>
        <v>353.82195065733225</v>
      </c>
      <c r="CO103" s="85">
        <f t="shared" ca="1" si="183"/>
        <v>353.27714602852581</v>
      </c>
      <c r="CP103" s="85">
        <f t="shared" ca="1" si="184"/>
        <v>443.14109753650024</v>
      </c>
      <c r="CQ103" s="85">
        <f t="shared" ca="1" si="185"/>
        <v>391.91149275593312</v>
      </c>
      <c r="CR103" s="85">
        <f t="shared" ca="1" si="186"/>
        <v>402.91164954905486</v>
      </c>
      <c r="CS103" s="85">
        <f t="shared" ca="1" si="187"/>
        <v>314.02085117559409</v>
      </c>
      <c r="CT103" s="85">
        <f t="shared" ca="1" si="188"/>
        <v>367.74455858325047</v>
      </c>
      <c r="CU103" s="85">
        <f t="shared" ca="1" si="189"/>
        <v>455.73312933130251</v>
      </c>
      <c r="CV103" s="85">
        <f t="shared" ca="1" si="190"/>
        <v>325.77936172392918</v>
      </c>
      <c r="CW103" s="85">
        <f t="shared" ca="1" si="191"/>
        <v>328.06289513355193</v>
      </c>
    </row>
    <row r="104" spans="1:101" x14ac:dyDescent="0.2">
      <c r="A104" s="115">
        <v>101</v>
      </c>
      <c r="B104" s="85">
        <f t="shared" ca="1" si="102"/>
        <v>342.74098728934598</v>
      </c>
      <c r="C104" s="85">
        <f t="shared" ca="1" si="104"/>
        <v>359.66311459993324</v>
      </c>
      <c r="D104" s="85">
        <f t="shared" ca="1" si="105"/>
        <v>362.34656328000631</v>
      </c>
      <c r="E104" s="85">
        <f t="shared" ca="1" si="106"/>
        <v>331.54947598300129</v>
      </c>
      <c r="F104" s="85">
        <f t="shared" ca="1" si="107"/>
        <v>347.8363092858022</v>
      </c>
      <c r="G104" s="85">
        <f t="shared" ca="1" si="108"/>
        <v>385.02307757081678</v>
      </c>
      <c r="H104" s="85">
        <f t="shared" ca="1" si="109"/>
        <v>362.34813617299602</v>
      </c>
      <c r="I104" s="85">
        <f t="shared" ca="1" si="110"/>
        <v>377.0746923210184</v>
      </c>
      <c r="J104" s="85">
        <f t="shared" ca="1" si="111"/>
        <v>384.27170261705083</v>
      </c>
      <c r="K104" s="85">
        <f t="shared" ca="1" si="112"/>
        <v>366.35848687695005</v>
      </c>
      <c r="L104" s="85">
        <f t="shared" ca="1" si="113"/>
        <v>409.7723165931846</v>
      </c>
      <c r="M104" s="85">
        <f t="shared" ca="1" si="114"/>
        <v>308.82749794204898</v>
      </c>
      <c r="N104" s="85">
        <f t="shared" ca="1" si="115"/>
        <v>366.47184784385962</v>
      </c>
      <c r="O104" s="85">
        <f t="shared" ca="1" si="116"/>
        <v>361.54244499784727</v>
      </c>
      <c r="P104" s="85">
        <f t="shared" ca="1" si="117"/>
        <v>356.00423460519698</v>
      </c>
      <c r="Q104" s="85">
        <f t="shared" ca="1" si="118"/>
        <v>386.31489399461464</v>
      </c>
      <c r="R104" s="85">
        <f t="shared" ca="1" si="119"/>
        <v>357.30759965602658</v>
      </c>
      <c r="S104" s="85">
        <f t="shared" ca="1" si="120"/>
        <v>377.86217459537227</v>
      </c>
      <c r="T104" s="85">
        <f t="shared" ca="1" si="121"/>
        <v>364.17119282077226</v>
      </c>
      <c r="U104" s="85">
        <f t="shared" ca="1" si="122"/>
        <v>325.15558494151173</v>
      </c>
      <c r="V104" s="85">
        <f t="shared" ca="1" si="123"/>
        <v>402.89146139977777</v>
      </c>
      <c r="W104" s="85">
        <f t="shared" ca="1" si="124"/>
        <v>370.62714627434559</v>
      </c>
      <c r="X104" s="85">
        <f t="shared" ca="1" si="125"/>
        <v>364.50127922689262</v>
      </c>
      <c r="Y104" s="85">
        <f t="shared" ca="1" si="126"/>
        <v>338.05117412307192</v>
      </c>
      <c r="Z104" s="85">
        <f t="shared" ca="1" si="127"/>
        <v>368.72502757863305</v>
      </c>
      <c r="AA104" s="85">
        <f t="shared" ca="1" si="128"/>
        <v>338.49420036528272</v>
      </c>
      <c r="AB104" s="85">
        <f t="shared" ca="1" si="129"/>
        <v>404.79539726904159</v>
      </c>
      <c r="AC104" s="85">
        <f t="shared" ca="1" si="130"/>
        <v>354.58755153899932</v>
      </c>
      <c r="AD104" s="85">
        <f t="shared" ca="1" si="131"/>
        <v>409.68388034669084</v>
      </c>
      <c r="AE104" s="85">
        <f t="shared" ca="1" si="132"/>
        <v>477.94633978169412</v>
      </c>
      <c r="AF104" s="85">
        <f t="shared" ca="1" si="133"/>
        <v>355.02905218683651</v>
      </c>
      <c r="AG104" s="85">
        <f t="shared" ca="1" si="134"/>
        <v>375.33143704887516</v>
      </c>
      <c r="AH104" s="85">
        <f t="shared" ca="1" si="135"/>
        <v>322.66813732515999</v>
      </c>
      <c r="AI104" s="85">
        <f t="shared" ca="1" si="136"/>
        <v>400.02572129902143</v>
      </c>
      <c r="AJ104" s="85">
        <f t="shared" ca="1" si="137"/>
        <v>439.96944927643017</v>
      </c>
      <c r="AK104" s="85">
        <f t="shared" ca="1" si="138"/>
        <v>378.07305149974417</v>
      </c>
      <c r="AL104" s="85">
        <f t="shared" ca="1" si="139"/>
        <v>396.30004621669013</v>
      </c>
      <c r="AM104" s="85">
        <f t="shared" ca="1" si="140"/>
        <v>364.46643084887938</v>
      </c>
      <c r="AN104" s="85">
        <f t="shared" ca="1" si="141"/>
        <v>406.46676246924289</v>
      </c>
      <c r="AO104" s="85">
        <f t="shared" ca="1" si="142"/>
        <v>410.70519711700445</v>
      </c>
      <c r="AP104" s="85">
        <f t="shared" ca="1" si="143"/>
        <v>413.91171572245332</v>
      </c>
      <c r="AQ104" s="85">
        <f t="shared" ca="1" si="144"/>
        <v>336.23375240230837</v>
      </c>
      <c r="AR104" s="85">
        <f t="shared" ca="1" si="145"/>
        <v>365.71242227320573</v>
      </c>
      <c r="AS104" s="85">
        <f t="shared" ca="1" si="146"/>
        <v>352.85213648740478</v>
      </c>
      <c r="AT104" s="85">
        <f t="shared" ca="1" si="147"/>
        <v>413.37919772978938</v>
      </c>
      <c r="AU104" s="85">
        <f t="shared" ca="1" si="148"/>
        <v>386.57340323212242</v>
      </c>
      <c r="AV104" s="85">
        <f t="shared" ca="1" si="149"/>
        <v>373.25883621952858</v>
      </c>
      <c r="AW104" s="85">
        <f t="shared" ca="1" si="150"/>
        <v>360.68010947346249</v>
      </c>
      <c r="AX104" s="85">
        <f t="shared" ca="1" si="151"/>
        <v>434.26899302952847</v>
      </c>
      <c r="AY104" s="85">
        <f t="shared" ca="1" si="152"/>
        <v>420.25287435181673</v>
      </c>
      <c r="AZ104" s="85">
        <f t="shared" ca="1" si="153"/>
        <v>351.85217051799981</v>
      </c>
      <c r="BA104" s="85">
        <f t="shared" ca="1" si="154"/>
        <v>385.02931220894158</v>
      </c>
      <c r="BB104" s="85">
        <f t="shared" ca="1" si="155"/>
        <v>357.58712048509278</v>
      </c>
      <c r="BC104" s="85">
        <f t="shared" ca="1" si="156"/>
        <v>374.03898045229198</v>
      </c>
      <c r="BD104" s="85">
        <f t="shared" ca="1" si="157"/>
        <v>382.6871632177926</v>
      </c>
      <c r="BE104" s="85">
        <f t="shared" ca="1" si="158"/>
        <v>349.95930334165217</v>
      </c>
      <c r="BF104" s="85">
        <f t="shared" ca="1" si="159"/>
        <v>378.52841846576536</v>
      </c>
      <c r="BG104" s="85">
        <f t="shared" ca="1" si="160"/>
        <v>332.32249024494331</v>
      </c>
      <c r="BH104" s="85">
        <f t="shared" ca="1" si="161"/>
        <v>369.0410319081202</v>
      </c>
      <c r="BI104" s="85">
        <f t="shared" ca="1" si="162"/>
        <v>358.63673391367234</v>
      </c>
      <c r="BJ104" s="85">
        <f t="shared" ca="1" si="163"/>
        <v>384.45123256561334</v>
      </c>
      <c r="BK104" s="85">
        <f t="shared" ca="1" si="164"/>
        <v>373.8809686967021</v>
      </c>
      <c r="BL104" s="85">
        <f t="shared" ca="1" si="165"/>
        <v>368.39231957329184</v>
      </c>
      <c r="BM104" s="85">
        <f t="shared" ca="1" si="166"/>
        <v>317.37009681378254</v>
      </c>
      <c r="BN104" s="85">
        <f t="shared" ca="1" si="103"/>
        <v>418.11431661863531</v>
      </c>
      <c r="BO104" s="85">
        <f t="shared" ca="1" si="192"/>
        <v>430.2396291531694</v>
      </c>
      <c r="BP104" s="85">
        <f t="shared" ca="1" si="193"/>
        <v>327.76695078710941</v>
      </c>
      <c r="BQ104" s="85">
        <f t="shared" ca="1" si="194"/>
        <v>354.89507165893298</v>
      </c>
      <c r="BR104" s="85">
        <f t="shared" ca="1" si="195"/>
        <v>350.51703973356564</v>
      </c>
      <c r="BS104" s="85">
        <f t="shared" ca="1" si="196"/>
        <v>372.98354632592105</v>
      </c>
      <c r="BT104" s="85">
        <f t="shared" ca="1" si="197"/>
        <v>409.67137282991627</v>
      </c>
      <c r="BU104" s="85">
        <f t="shared" ca="1" si="198"/>
        <v>414.7852648485823</v>
      </c>
      <c r="BV104" s="85">
        <f t="shared" ca="1" si="199"/>
        <v>358.11102894384663</v>
      </c>
      <c r="BW104" s="85">
        <f t="shared" ca="1" si="200"/>
        <v>413.78111017552555</v>
      </c>
      <c r="BX104" s="85">
        <f t="shared" ca="1" si="201"/>
        <v>379.08925281286577</v>
      </c>
      <c r="BY104" s="85">
        <f t="shared" ca="1" si="167"/>
        <v>372.43163070917757</v>
      </c>
      <c r="BZ104" s="85">
        <f t="shared" ca="1" si="168"/>
        <v>387.02938616714351</v>
      </c>
      <c r="CA104" s="85">
        <f t="shared" ca="1" si="169"/>
        <v>359.18650810335123</v>
      </c>
      <c r="CB104" s="85">
        <f t="shared" ca="1" si="170"/>
        <v>359.19153652043758</v>
      </c>
      <c r="CC104" s="85">
        <f t="shared" ca="1" si="171"/>
        <v>376.98953226399175</v>
      </c>
      <c r="CD104" s="85">
        <f t="shared" ca="1" si="172"/>
        <v>435.11816697126648</v>
      </c>
      <c r="CE104" s="85">
        <f t="shared" ca="1" si="173"/>
        <v>326.42575804145781</v>
      </c>
      <c r="CF104" s="85">
        <f t="shared" ca="1" si="174"/>
        <v>409.99328516456711</v>
      </c>
      <c r="CG104" s="85">
        <f t="shared" ca="1" si="175"/>
        <v>352.87668173832719</v>
      </c>
      <c r="CH104" s="85">
        <f t="shared" ca="1" si="176"/>
        <v>396.39680642603224</v>
      </c>
      <c r="CI104" s="85">
        <f t="shared" ca="1" si="177"/>
        <v>391.62369296150683</v>
      </c>
      <c r="CJ104" s="85">
        <f t="shared" ca="1" si="178"/>
        <v>353.13922949681131</v>
      </c>
      <c r="CK104" s="85">
        <f t="shared" ca="1" si="179"/>
        <v>368.75414849449714</v>
      </c>
      <c r="CL104" s="85">
        <f t="shared" ca="1" si="180"/>
        <v>344.53069772129516</v>
      </c>
      <c r="CM104" s="85">
        <f t="shared" ca="1" si="181"/>
        <v>406.59167420372728</v>
      </c>
      <c r="CN104" s="85">
        <f t="shared" ca="1" si="182"/>
        <v>355.00032639913047</v>
      </c>
      <c r="CO104" s="85">
        <f t="shared" ca="1" si="183"/>
        <v>354.67604588833592</v>
      </c>
      <c r="CP104" s="85">
        <f t="shared" ca="1" si="184"/>
        <v>446.90393095521637</v>
      </c>
      <c r="CQ104" s="85">
        <f t="shared" ca="1" si="185"/>
        <v>399.02184001826731</v>
      </c>
      <c r="CR104" s="85">
        <f t="shared" ca="1" si="186"/>
        <v>405.92258026252296</v>
      </c>
      <c r="CS104" s="85">
        <f t="shared" ca="1" si="187"/>
        <v>320.83405296183031</v>
      </c>
      <c r="CT104" s="85">
        <f t="shared" ca="1" si="188"/>
        <v>377.34475994158748</v>
      </c>
      <c r="CU104" s="85">
        <f t="shared" ca="1" si="189"/>
        <v>464.02539257500064</v>
      </c>
      <c r="CV104" s="85">
        <f t="shared" ca="1" si="190"/>
        <v>327.38378515693927</v>
      </c>
      <c r="CW104" s="85">
        <f t="shared" ca="1" si="191"/>
        <v>332.54606157566417</v>
      </c>
    </row>
    <row r="105" spans="1:101" x14ac:dyDescent="0.2">
      <c r="A105" s="115">
        <v>102</v>
      </c>
      <c r="B105" s="85">
        <f t="shared" ca="1" si="102"/>
        <v>346.52679490191252</v>
      </c>
      <c r="C105" s="85">
        <f t="shared" ca="1" si="104"/>
        <v>363.33926463866578</v>
      </c>
      <c r="D105" s="85">
        <f t="shared" ca="1" si="105"/>
        <v>358.22972141432575</v>
      </c>
      <c r="E105" s="85">
        <f t="shared" ca="1" si="106"/>
        <v>331.99782596851878</v>
      </c>
      <c r="F105" s="85">
        <f t="shared" ca="1" si="107"/>
        <v>353.9704220035631</v>
      </c>
      <c r="G105" s="85">
        <f t="shared" ca="1" si="108"/>
        <v>389.99678688593951</v>
      </c>
      <c r="H105" s="85">
        <f t="shared" ca="1" si="109"/>
        <v>371.01077232332824</v>
      </c>
      <c r="I105" s="85">
        <f t="shared" ca="1" si="110"/>
        <v>386.82459498477982</v>
      </c>
      <c r="J105" s="85">
        <f t="shared" ca="1" si="111"/>
        <v>391.45906800603683</v>
      </c>
      <c r="K105" s="85">
        <f t="shared" ca="1" si="112"/>
        <v>374.32125222718105</v>
      </c>
      <c r="L105" s="85">
        <f t="shared" ca="1" si="113"/>
        <v>413.49362876819981</v>
      </c>
      <c r="M105" s="85">
        <f t="shared" ca="1" si="114"/>
        <v>314.2745811027462</v>
      </c>
      <c r="N105" s="85">
        <f t="shared" ca="1" si="115"/>
        <v>365.85312618162749</v>
      </c>
      <c r="O105" s="85">
        <f t="shared" ca="1" si="116"/>
        <v>366.72126282244454</v>
      </c>
      <c r="P105" s="85">
        <f t="shared" ca="1" si="117"/>
        <v>363.5289166303142</v>
      </c>
      <c r="Q105" s="85">
        <f t="shared" ca="1" si="118"/>
        <v>390.61551763568974</v>
      </c>
      <c r="R105" s="85">
        <f t="shared" ca="1" si="119"/>
        <v>356.62307895817594</v>
      </c>
      <c r="S105" s="85">
        <f t="shared" ca="1" si="120"/>
        <v>386.67569250553896</v>
      </c>
      <c r="T105" s="85">
        <f t="shared" ca="1" si="121"/>
        <v>365.6590321928341</v>
      </c>
      <c r="U105" s="85">
        <f t="shared" ca="1" si="122"/>
        <v>331.05652145160479</v>
      </c>
      <c r="V105" s="85">
        <f t="shared" ca="1" si="123"/>
        <v>406.09494444773827</v>
      </c>
      <c r="W105" s="85">
        <f t="shared" ca="1" si="124"/>
        <v>375.97621539354748</v>
      </c>
      <c r="X105" s="85">
        <f t="shared" ca="1" si="125"/>
        <v>365.33006081971399</v>
      </c>
      <c r="Y105" s="85">
        <f t="shared" ca="1" si="126"/>
        <v>347.03865916316119</v>
      </c>
      <c r="Z105" s="85">
        <f t="shared" ca="1" si="127"/>
        <v>374.85146145708342</v>
      </c>
      <c r="AA105" s="85">
        <f t="shared" ca="1" si="128"/>
        <v>347.13121831208548</v>
      </c>
      <c r="AB105" s="85">
        <f t="shared" ca="1" si="129"/>
        <v>414.39451265035774</v>
      </c>
      <c r="AC105" s="85">
        <f t="shared" ca="1" si="130"/>
        <v>360.89725869379254</v>
      </c>
      <c r="AD105" s="85">
        <f t="shared" ca="1" si="131"/>
        <v>411.79432143211699</v>
      </c>
      <c r="AE105" s="85">
        <f t="shared" ca="1" si="132"/>
        <v>484.27412389512767</v>
      </c>
      <c r="AF105" s="85">
        <f t="shared" ca="1" si="133"/>
        <v>359.49690027339784</v>
      </c>
      <c r="AG105" s="85">
        <f t="shared" ca="1" si="134"/>
        <v>376.66156797764427</v>
      </c>
      <c r="AH105" s="85">
        <f t="shared" ca="1" si="135"/>
        <v>330.21860677008169</v>
      </c>
      <c r="AI105" s="85">
        <f t="shared" ca="1" si="136"/>
        <v>402.75949277969193</v>
      </c>
      <c r="AJ105" s="85">
        <f t="shared" ca="1" si="137"/>
        <v>442.35601292536609</v>
      </c>
      <c r="AK105" s="85">
        <f t="shared" ca="1" si="138"/>
        <v>387.28635424807362</v>
      </c>
      <c r="AL105" s="85">
        <f t="shared" ca="1" si="139"/>
        <v>404.21561153334329</v>
      </c>
      <c r="AM105" s="85">
        <f t="shared" ca="1" si="140"/>
        <v>370.50560125933259</v>
      </c>
      <c r="AN105" s="85">
        <f t="shared" ca="1" si="141"/>
        <v>408.22469382189769</v>
      </c>
      <c r="AO105" s="85">
        <f t="shared" ca="1" si="142"/>
        <v>415.87494759193061</v>
      </c>
      <c r="AP105" s="85">
        <f t="shared" ca="1" si="143"/>
        <v>419.44199249316779</v>
      </c>
      <c r="AQ105" s="85">
        <f t="shared" ca="1" si="144"/>
        <v>341.98700820090789</v>
      </c>
      <c r="AR105" s="85">
        <f t="shared" ca="1" si="145"/>
        <v>370.35632211497847</v>
      </c>
      <c r="AS105" s="85">
        <f t="shared" ca="1" si="146"/>
        <v>355.33088537653811</v>
      </c>
      <c r="AT105" s="85">
        <f t="shared" ca="1" si="147"/>
        <v>421.33851528184135</v>
      </c>
      <c r="AU105" s="85">
        <f t="shared" ca="1" si="148"/>
        <v>386.29960745685361</v>
      </c>
      <c r="AV105" s="85">
        <f t="shared" ca="1" si="149"/>
        <v>375.21918591118913</v>
      </c>
      <c r="AW105" s="85">
        <f t="shared" ca="1" si="150"/>
        <v>368.33227961686657</v>
      </c>
      <c r="AX105" s="85">
        <f t="shared" ca="1" si="151"/>
        <v>441.87531326458384</v>
      </c>
      <c r="AY105" s="85">
        <f t="shared" ca="1" si="152"/>
        <v>424.89601136565642</v>
      </c>
      <c r="AZ105" s="85">
        <f t="shared" ca="1" si="153"/>
        <v>357.20838998152084</v>
      </c>
      <c r="BA105" s="85">
        <f t="shared" ca="1" si="154"/>
        <v>392.57776700200725</v>
      </c>
      <c r="BB105" s="85">
        <f t="shared" ca="1" si="155"/>
        <v>360.35378330478846</v>
      </c>
      <c r="BC105" s="85">
        <f t="shared" ca="1" si="156"/>
        <v>376.06150521992163</v>
      </c>
      <c r="BD105" s="85">
        <f t="shared" ca="1" si="157"/>
        <v>390.9230792662579</v>
      </c>
      <c r="BE105" s="85">
        <f t="shared" ca="1" si="158"/>
        <v>351.28790013277751</v>
      </c>
      <c r="BF105" s="85">
        <f t="shared" ca="1" si="159"/>
        <v>386.36945597643523</v>
      </c>
      <c r="BG105" s="85">
        <f t="shared" ca="1" si="160"/>
        <v>335.89040598826864</v>
      </c>
      <c r="BH105" s="85">
        <f t="shared" ca="1" si="161"/>
        <v>370.56934218749592</v>
      </c>
      <c r="BI105" s="85">
        <f t="shared" ca="1" si="162"/>
        <v>361.05192378720466</v>
      </c>
      <c r="BJ105" s="85">
        <f t="shared" ca="1" si="163"/>
        <v>389.94618380642271</v>
      </c>
      <c r="BK105" s="85">
        <f t="shared" ca="1" si="164"/>
        <v>379.02461781251958</v>
      </c>
      <c r="BL105" s="85">
        <f t="shared" ca="1" si="165"/>
        <v>373.37262307441517</v>
      </c>
      <c r="BM105" s="85">
        <f t="shared" ca="1" si="166"/>
        <v>320.61077682534938</v>
      </c>
      <c r="BN105" s="85">
        <f t="shared" ca="1" si="103"/>
        <v>421.41554128644469</v>
      </c>
      <c r="BO105" s="85">
        <f t="shared" ca="1" si="192"/>
        <v>437.80647716906219</v>
      </c>
      <c r="BP105" s="85">
        <f t="shared" ca="1" si="193"/>
        <v>329.66839553642848</v>
      </c>
      <c r="BQ105" s="85">
        <f t="shared" ca="1" si="194"/>
        <v>359.80015982613895</v>
      </c>
      <c r="BR105" s="85">
        <f t="shared" ca="1" si="195"/>
        <v>354.54870766972113</v>
      </c>
      <c r="BS105" s="85">
        <f t="shared" ca="1" si="196"/>
        <v>379.0138015582981</v>
      </c>
      <c r="BT105" s="85">
        <f t="shared" ca="1" si="197"/>
        <v>416.64113744595863</v>
      </c>
      <c r="BU105" s="85">
        <f t="shared" ca="1" si="198"/>
        <v>417.75289471466482</v>
      </c>
      <c r="BV105" s="85">
        <f t="shared" ca="1" si="199"/>
        <v>368.39287378766016</v>
      </c>
      <c r="BW105" s="85">
        <f t="shared" ca="1" si="200"/>
        <v>417.01520264791969</v>
      </c>
      <c r="BX105" s="85">
        <f t="shared" ca="1" si="201"/>
        <v>385.55239245522836</v>
      </c>
      <c r="BY105" s="85">
        <f t="shared" ca="1" si="167"/>
        <v>378.12214371218579</v>
      </c>
      <c r="BZ105" s="85">
        <f t="shared" ca="1" si="168"/>
        <v>393.24864907246734</v>
      </c>
      <c r="CA105" s="85">
        <f t="shared" ca="1" si="169"/>
        <v>363.40141923090977</v>
      </c>
      <c r="CB105" s="85">
        <f t="shared" ca="1" si="170"/>
        <v>364.92782909807755</v>
      </c>
      <c r="CC105" s="85">
        <f t="shared" ca="1" si="171"/>
        <v>384.37392049954303</v>
      </c>
      <c r="CD105" s="85">
        <f t="shared" ca="1" si="172"/>
        <v>438.13166121387349</v>
      </c>
      <c r="CE105" s="85">
        <f t="shared" ca="1" si="173"/>
        <v>331.33096209268723</v>
      </c>
      <c r="CF105" s="85">
        <f t="shared" ca="1" si="174"/>
        <v>416.95831344995446</v>
      </c>
      <c r="CG105" s="85">
        <f t="shared" ca="1" si="175"/>
        <v>357.96555587566826</v>
      </c>
      <c r="CH105" s="85">
        <f t="shared" ca="1" si="176"/>
        <v>404.99639173246061</v>
      </c>
      <c r="CI105" s="85">
        <f t="shared" ca="1" si="177"/>
        <v>398.73959584652169</v>
      </c>
      <c r="CJ105" s="85">
        <f t="shared" ca="1" si="178"/>
        <v>358.15681335606314</v>
      </c>
      <c r="CK105" s="85">
        <f t="shared" ca="1" si="179"/>
        <v>375.28014774643094</v>
      </c>
      <c r="CL105" s="85">
        <f t="shared" ca="1" si="180"/>
        <v>354.56173605432031</v>
      </c>
      <c r="CM105" s="85">
        <f t="shared" ca="1" si="181"/>
        <v>409.90691895436538</v>
      </c>
      <c r="CN105" s="85">
        <f t="shared" ca="1" si="182"/>
        <v>357.57741205390323</v>
      </c>
      <c r="CO105" s="85">
        <f t="shared" ca="1" si="183"/>
        <v>360.86871676548856</v>
      </c>
      <c r="CP105" s="85">
        <f t="shared" ca="1" si="184"/>
        <v>454.80255186570992</v>
      </c>
      <c r="CQ105" s="85">
        <f t="shared" ca="1" si="185"/>
        <v>400.44265260099831</v>
      </c>
      <c r="CR105" s="85">
        <f t="shared" ca="1" si="186"/>
        <v>415.13209632775437</v>
      </c>
      <c r="CS105" s="85">
        <f t="shared" ca="1" si="187"/>
        <v>327.14494102391058</v>
      </c>
      <c r="CT105" s="85">
        <f t="shared" ca="1" si="188"/>
        <v>380.09373500184989</v>
      </c>
      <c r="CU105" s="85">
        <f t="shared" ca="1" si="189"/>
        <v>469.6344492249803</v>
      </c>
      <c r="CV105" s="85">
        <f t="shared" ca="1" si="190"/>
        <v>331.90709048916324</v>
      </c>
      <c r="CW105" s="85">
        <f t="shared" ca="1" si="191"/>
        <v>333.98514612345838</v>
      </c>
    </row>
    <row r="106" spans="1:101" x14ac:dyDescent="0.2">
      <c r="A106" s="115">
        <v>103</v>
      </c>
      <c r="B106" s="85">
        <f t="shared" ca="1" si="102"/>
        <v>349.75118817715889</v>
      </c>
      <c r="C106" s="85">
        <f t="shared" ca="1" si="104"/>
        <v>374.10641883989803</v>
      </c>
      <c r="D106" s="85">
        <f t="shared" ca="1" si="105"/>
        <v>364.55996977941192</v>
      </c>
      <c r="E106" s="85">
        <f t="shared" ca="1" si="106"/>
        <v>333.44259856249141</v>
      </c>
      <c r="F106" s="85">
        <f t="shared" ca="1" si="107"/>
        <v>360.5373207663834</v>
      </c>
      <c r="G106" s="85">
        <f t="shared" ca="1" si="108"/>
        <v>396.56526984560753</v>
      </c>
      <c r="H106" s="85">
        <f t="shared" ca="1" si="109"/>
        <v>371.87648003750763</v>
      </c>
      <c r="I106" s="85">
        <f t="shared" ca="1" si="110"/>
        <v>384.85855888948271</v>
      </c>
      <c r="J106" s="85">
        <f t="shared" ca="1" si="111"/>
        <v>395.68500464358249</v>
      </c>
      <c r="K106" s="85">
        <f t="shared" ca="1" si="112"/>
        <v>382.24276828562171</v>
      </c>
      <c r="L106" s="85">
        <f t="shared" ca="1" si="113"/>
        <v>421.6251066514576</v>
      </c>
      <c r="M106" s="85">
        <f t="shared" ca="1" si="114"/>
        <v>320.16187820980321</v>
      </c>
      <c r="N106" s="85">
        <f t="shared" ca="1" si="115"/>
        <v>369.05423435664557</v>
      </c>
      <c r="O106" s="85">
        <f t="shared" ca="1" si="116"/>
        <v>367.98235752230039</v>
      </c>
      <c r="P106" s="85">
        <f t="shared" ca="1" si="117"/>
        <v>365.44871840842927</v>
      </c>
      <c r="Q106" s="85">
        <f t="shared" ca="1" si="118"/>
        <v>396.17052967181274</v>
      </c>
      <c r="R106" s="85">
        <f t="shared" ca="1" si="119"/>
        <v>358.30711508581641</v>
      </c>
      <c r="S106" s="85">
        <f t="shared" ca="1" si="120"/>
        <v>391.64625025013083</v>
      </c>
      <c r="T106" s="85">
        <f t="shared" ca="1" si="121"/>
        <v>372.85555379608229</v>
      </c>
      <c r="U106" s="85">
        <f t="shared" ca="1" si="122"/>
        <v>331.19588475191892</v>
      </c>
      <c r="V106" s="85">
        <f t="shared" ca="1" si="123"/>
        <v>410.32600014527003</v>
      </c>
      <c r="W106" s="85">
        <f t="shared" ca="1" si="124"/>
        <v>382.3885910092165</v>
      </c>
      <c r="X106" s="85">
        <f t="shared" ca="1" si="125"/>
        <v>368.34715072510102</v>
      </c>
      <c r="Y106" s="85">
        <f t="shared" ca="1" si="126"/>
        <v>349.36352884216302</v>
      </c>
      <c r="Z106" s="85">
        <f t="shared" ca="1" si="127"/>
        <v>378.09493034100524</v>
      </c>
      <c r="AA106" s="85">
        <f t="shared" ca="1" si="128"/>
        <v>351.76987100693924</v>
      </c>
      <c r="AB106" s="85">
        <f t="shared" ca="1" si="129"/>
        <v>424.62789282402525</v>
      </c>
      <c r="AC106" s="85">
        <f t="shared" ca="1" si="130"/>
        <v>367.77090507372355</v>
      </c>
      <c r="AD106" s="85">
        <f t="shared" ca="1" si="131"/>
        <v>422.75531733554453</v>
      </c>
      <c r="AE106" s="85">
        <f t="shared" ca="1" si="132"/>
        <v>490.4672107043952</v>
      </c>
      <c r="AF106" s="85">
        <f t="shared" ca="1" si="133"/>
        <v>362.98820699728344</v>
      </c>
      <c r="AG106" s="85">
        <f t="shared" ca="1" si="134"/>
        <v>379.62042569375649</v>
      </c>
      <c r="AH106" s="85">
        <f t="shared" ca="1" si="135"/>
        <v>334.0534342276361</v>
      </c>
      <c r="AI106" s="85">
        <f t="shared" ca="1" si="136"/>
        <v>404.81164641596308</v>
      </c>
      <c r="AJ106" s="85">
        <f t="shared" ca="1" si="137"/>
        <v>449.90680195912483</v>
      </c>
      <c r="AK106" s="85">
        <f t="shared" ca="1" si="138"/>
        <v>393.49201369531721</v>
      </c>
      <c r="AL106" s="85">
        <f t="shared" ca="1" si="139"/>
        <v>409.12704006735464</v>
      </c>
      <c r="AM106" s="85">
        <f t="shared" ca="1" si="140"/>
        <v>371.55568879196056</v>
      </c>
      <c r="AN106" s="85">
        <f t="shared" ca="1" si="141"/>
        <v>412.5819240621243</v>
      </c>
      <c r="AO106" s="85">
        <f t="shared" ca="1" si="142"/>
        <v>422.68816318741887</v>
      </c>
      <c r="AP106" s="85">
        <f t="shared" ca="1" si="143"/>
        <v>426.75327732197314</v>
      </c>
      <c r="AQ106" s="85">
        <f t="shared" ca="1" si="144"/>
        <v>350.46192877766612</v>
      </c>
      <c r="AR106" s="85">
        <f t="shared" ca="1" si="145"/>
        <v>374.02038883352105</v>
      </c>
      <c r="AS106" s="85">
        <f t="shared" ca="1" si="146"/>
        <v>357.36448391076772</v>
      </c>
      <c r="AT106" s="85">
        <f t="shared" ca="1" si="147"/>
        <v>423.70284694986617</v>
      </c>
      <c r="AU106" s="85">
        <f t="shared" ca="1" si="148"/>
        <v>387.35820729138118</v>
      </c>
      <c r="AV106" s="85">
        <f t="shared" ca="1" si="149"/>
        <v>381.43464087039325</v>
      </c>
      <c r="AW106" s="85">
        <f t="shared" ca="1" si="150"/>
        <v>372.97484400827949</v>
      </c>
      <c r="AX106" s="85">
        <f t="shared" ca="1" si="151"/>
        <v>444.29590616540668</v>
      </c>
      <c r="AY106" s="85">
        <f t="shared" ca="1" si="152"/>
        <v>432.30537588895339</v>
      </c>
      <c r="AZ106" s="85">
        <f t="shared" ca="1" si="153"/>
        <v>362.17425467337137</v>
      </c>
      <c r="BA106" s="85">
        <f t="shared" ca="1" si="154"/>
        <v>398.09941930669532</v>
      </c>
      <c r="BB106" s="85">
        <f t="shared" ca="1" si="155"/>
        <v>366.6733687311999</v>
      </c>
      <c r="BC106" s="85">
        <f t="shared" ca="1" si="156"/>
        <v>380.85510969295564</v>
      </c>
      <c r="BD106" s="85">
        <f t="shared" ca="1" si="157"/>
        <v>392.79603867929694</v>
      </c>
      <c r="BE106" s="85">
        <f t="shared" ca="1" si="158"/>
        <v>354.56076591446703</v>
      </c>
      <c r="BF106" s="85">
        <f t="shared" ca="1" si="159"/>
        <v>391.48211490062607</v>
      </c>
      <c r="BG106" s="85">
        <f t="shared" ca="1" si="160"/>
        <v>340.00260718409811</v>
      </c>
      <c r="BH106" s="85">
        <f t="shared" ca="1" si="161"/>
        <v>373.35978982834331</v>
      </c>
      <c r="BI106" s="85">
        <f t="shared" ca="1" si="162"/>
        <v>359.95386674463259</v>
      </c>
      <c r="BJ106" s="85">
        <f t="shared" ca="1" si="163"/>
        <v>396.51738347927335</v>
      </c>
      <c r="BK106" s="85">
        <f t="shared" ca="1" si="164"/>
        <v>383.79175300860561</v>
      </c>
      <c r="BL106" s="85">
        <f t="shared" ca="1" si="165"/>
        <v>375.90405984128972</v>
      </c>
      <c r="BM106" s="85">
        <f t="shared" ca="1" si="166"/>
        <v>323.28294540928567</v>
      </c>
      <c r="BN106" s="85">
        <f t="shared" ca="1" si="103"/>
        <v>432.70902770782919</v>
      </c>
      <c r="BO106" s="85">
        <f t="shared" ca="1" si="192"/>
        <v>442.80026126769297</v>
      </c>
      <c r="BP106" s="85">
        <f t="shared" ca="1" si="193"/>
        <v>335.05246429189623</v>
      </c>
      <c r="BQ106" s="85">
        <f t="shared" ca="1" si="194"/>
        <v>365.68771661994765</v>
      </c>
      <c r="BR106" s="85">
        <f t="shared" ca="1" si="195"/>
        <v>352.45608707022177</v>
      </c>
      <c r="BS106" s="85">
        <f t="shared" ca="1" si="196"/>
        <v>391.82032052949927</v>
      </c>
      <c r="BT106" s="85">
        <f t="shared" ca="1" si="197"/>
        <v>420.04793239114667</v>
      </c>
      <c r="BU106" s="85">
        <f t="shared" ca="1" si="198"/>
        <v>420.51941371204998</v>
      </c>
      <c r="BV106" s="85">
        <f t="shared" ca="1" si="199"/>
        <v>373.34049704233911</v>
      </c>
      <c r="BW106" s="85">
        <f t="shared" ca="1" si="200"/>
        <v>415.96290250773126</v>
      </c>
      <c r="BX106" s="85">
        <f t="shared" ca="1" si="201"/>
        <v>388.40812425486155</v>
      </c>
      <c r="BY106" s="85">
        <f t="shared" ca="1" si="167"/>
        <v>385.59133532746864</v>
      </c>
      <c r="BZ106" s="85">
        <f t="shared" ca="1" si="168"/>
        <v>394.68414622220172</v>
      </c>
      <c r="CA106" s="85">
        <f t="shared" ca="1" si="169"/>
        <v>368.47646377844688</v>
      </c>
      <c r="CB106" s="85">
        <f t="shared" ca="1" si="170"/>
        <v>368.71211184291309</v>
      </c>
      <c r="CC106" s="85">
        <f t="shared" ca="1" si="171"/>
        <v>389.21603961107195</v>
      </c>
      <c r="CD106" s="85">
        <f t="shared" ca="1" si="172"/>
        <v>445.32458186006858</v>
      </c>
      <c r="CE106" s="85">
        <f t="shared" ca="1" si="173"/>
        <v>339.65368755737035</v>
      </c>
      <c r="CF106" s="85">
        <f t="shared" ca="1" si="174"/>
        <v>421.91343586909107</v>
      </c>
      <c r="CG106" s="85">
        <f t="shared" ca="1" si="175"/>
        <v>367.75522824876447</v>
      </c>
      <c r="CH106" s="85">
        <f t="shared" ca="1" si="176"/>
        <v>408.31394194132798</v>
      </c>
      <c r="CI106" s="85">
        <f t="shared" ca="1" si="177"/>
        <v>400.67365043043924</v>
      </c>
      <c r="CJ106" s="85">
        <f t="shared" ca="1" si="178"/>
        <v>357.77647929218551</v>
      </c>
      <c r="CK106" s="85">
        <f t="shared" ca="1" si="179"/>
        <v>382.46147050377306</v>
      </c>
      <c r="CL106" s="85">
        <f t="shared" ca="1" si="180"/>
        <v>356.39854732426483</v>
      </c>
      <c r="CM106" s="85">
        <f t="shared" ca="1" si="181"/>
        <v>419.59797273895617</v>
      </c>
      <c r="CN106" s="85">
        <f t="shared" ca="1" si="182"/>
        <v>366.061743508375</v>
      </c>
      <c r="CO106" s="85">
        <f t="shared" ca="1" si="183"/>
        <v>364.04117030444911</v>
      </c>
      <c r="CP106" s="85">
        <f t="shared" ca="1" si="184"/>
        <v>465.0606270853603</v>
      </c>
      <c r="CQ106" s="85">
        <f t="shared" ca="1" si="185"/>
        <v>404.9325616460095</v>
      </c>
      <c r="CR106" s="85">
        <f t="shared" ca="1" si="186"/>
        <v>419.79773875469817</v>
      </c>
      <c r="CS106" s="85">
        <f t="shared" ca="1" si="187"/>
        <v>331.61221190485446</v>
      </c>
      <c r="CT106" s="85">
        <f t="shared" ca="1" si="188"/>
        <v>388.01428208024799</v>
      </c>
      <c r="CU106" s="85">
        <f t="shared" ca="1" si="189"/>
        <v>471.19543689619223</v>
      </c>
      <c r="CV106" s="85">
        <f t="shared" ca="1" si="190"/>
        <v>337.40306411900912</v>
      </c>
      <c r="CW106" s="85">
        <f t="shared" ca="1" si="191"/>
        <v>338.40605223366447</v>
      </c>
    </row>
    <row r="107" spans="1:101" x14ac:dyDescent="0.2">
      <c r="A107" s="115">
        <v>104</v>
      </c>
      <c r="B107" s="85">
        <f t="shared" ca="1" si="102"/>
        <v>353.88971470343336</v>
      </c>
      <c r="C107" s="85">
        <f t="shared" ca="1" si="104"/>
        <v>377.31672857616707</v>
      </c>
      <c r="D107" s="85">
        <f t="shared" ca="1" si="105"/>
        <v>362.9076654571424</v>
      </c>
      <c r="E107" s="85">
        <f t="shared" ca="1" si="106"/>
        <v>339.34308497560255</v>
      </c>
      <c r="F107" s="85">
        <f t="shared" ca="1" si="107"/>
        <v>366.72008503862128</v>
      </c>
      <c r="G107" s="85">
        <f t="shared" ca="1" si="108"/>
        <v>396.69297345693724</v>
      </c>
      <c r="H107" s="85">
        <f t="shared" ca="1" si="109"/>
        <v>379.55980014110565</v>
      </c>
      <c r="I107" s="85">
        <f t="shared" ca="1" si="110"/>
        <v>390.78271680221673</v>
      </c>
      <c r="J107" s="85">
        <f t="shared" ca="1" si="111"/>
        <v>399.16842459495081</v>
      </c>
      <c r="K107" s="85">
        <f t="shared" ca="1" si="112"/>
        <v>386.91558077294837</v>
      </c>
      <c r="L107" s="85">
        <f t="shared" ca="1" si="113"/>
        <v>429.43217397858024</v>
      </c>
      <c r="M107" s="85">
        <f t="shared" ca="1" si="114"/>
        <v>325.70847596797745</v>
      </c>
      <c r="N107" s="85">
        <f t="shared" ca="1" si="115"/>
        <v>380.29143634004174</v>
      </c>
      <c r="O107" s="85">
        <f t="shared" ca="1" si="116"/>
        <v>376.85339557185142</v>
      </c>
      <c r="P107" s="85">
        <f t="shared" ca="1" si="117"/>
        <v>371.22690828488652</v>
      </c>
      <c r="Q107" s="85">
        <f t="shared" ca="1" si="118"/>
        <v>401.00244562444635</v>
      </c>
      <c r="R107" s="85">
        <f t="shared" ca="1" si="119"/>
        <v>360.36108104214702</v>
      </c>
      <c r="S107" s="85">
        <f t="shared" ca="1" si="120"/>
        <v>397.5549820666169</v>
      </c>
      <c r="T107" s="85">
        <f t="shared" ca="1" si="121"/>
        <v>379.30551259954609</v>
      </c>
      <c r="U107" s="85">
        <f t="shared" ca="1" si="122"/>
        <v>333.14740581427071</v>
      </c>
      <c r="V107" s="85">
        <f t="shared" ca="1" si="123"/>
        <v>414.54538503299761</v>
      </c>
      <c r="W107" s="85">
        <f t="shared" ca="1" si="124"/>
        <v>386.51130803944625</v>
      </c>
      <c r="X107" s="85">
        <f t="shared" ca="1" si="125"/>
        <v>376.5752824448482</v>
      </c>
      <c r="Y107" s="85">
        <f t="shared" ca="1" si="126"/>
        <v>353.10759232750166</v>
      </c>
      <c r="Z107" s="85">
        <f t="shared" ca="1" si="127"/>
        <v>381.17753153053599</v>
      </c>
      <c r="AA107" s="85">
        <f t="shared" ca="1" si="128"/>
        <v>360.53471679426303</v>
      </c>
      <c r="AB107" s="85">
        <f t="shared" ca="1" si="129"/>
        <v>429.95294295676587</v>
      </c>
      <c r="AC107" s="85">
        <f t="shared" ca="1" si="130"/>
        <v>375.23808395964431</v>
      </c>
      <c r="AD107" s="85">
        <f t="shared" ca="1" si="131"/>
        <v>435.65676515342966</v>
      </c>
      <c r="AE107" s="85">
        <f t="shared" ca="1" si="132"/>
        <v>492.93143143266838</v>
      </c>
      <c r="AF107" s="85">
        <f t="shared" ca="1" si="133"/>
        <v>366.75770237977099</v>
      </c>
      <c r="AG107" s="85">
        <f t="shared" ca="1" si="134"/>
        <v>388.2209156025221</v>
      </c>
      <c r="AH107" s="85">
        <f t="shared" ca="1" si="135"/>
        <v>339.04052313520884</v>
      </c>
      <c r="AI107" s="85">
        <f t="shared" ca="1" si="136"/>
        <v>410.62729497438477</v>
      </c>
      <c r="AJ107" s="85">
        <f t="shared" ca="1" si="137"/>
        <v>456.28325068762308</v>
      </c>
      <c r="AK107" s="85">
        <f t="shared" ca="1" si="138"/>
        <v>394.90771439452396</v>
      </c>
      <c r="AL107" s="85">
        <f t="shared" ca="1" si="139"/>
        <v>415.32416680743967</v>
      </c>
      <c r="AM107" s="85">
        <f t="shared" ca="1" si="140"/>
        <v>374.61241005556025</v>
      </c>
      <c r="AN107" s="85">
        <f t="shared" ca="1" si="141"/>
        <v>415.72693973186676</v>
      </c>
      <c r="AO107" s="85">
        <f t="shared" ca="1" si="142"/>
        <v>426.75216362479216</v>
      </c>
      <c r="AP107" s="85">
        <f t="shared" ca="1" si="143"/>
        <v>428.90185879226317</v>
      </c>
      <c r="AQ107" s="85">
        <f t="shared" ca="1" si="144"/>
        <v>353.47595634586082</v>
      </c>
      <c r="AR107" s="85">
        <f t="shared" ca="1" si="145"/>
        <v>377.83729848724903</v>
      </c>
      <c r="AS107" s="85">
        <f t="shared" ca="1" si="146"/>
        <v>363.58765990216074</v>
      </c>
      <c r="AT107" s="85">
        <f t="shared" ca="1" si="147"/>
        <v>427.06950438699482</v>
      </c>
      <c r="AU107" s="85">
        <f t="shared" ca="1" si="148"/>
        <v>393.41321638927565</v>
      </c>
      <c r="AV107" s="85">
        <f t="shared" ca="1" si="149"/>
        <v>387.83355373574841</v>
      </c>
      <c r="AW107" s="85">
        <f t="shared" ca="1" si="150"/>
        <v>373.53082891998008</v>
      </c>
      <c r="AX107" s="85">
        <f t="shared" ca="1" si="151"/>
        <v>450.77620698410306</v>
      </c>
      <c r="AY107" s="85">
        <f t="shared" ca="1" si="152"/>
        <v>429.54585816957325</v>
      </c>
      <c r="AZ107" s="85">
        <f t="shared" ca="1" si="153"/>
        <v>371.23217877878221</v>
      </c>
      <c r="BA107" s="85">
        <f t="shared" ca="1" si="154"/>
        <v>399.854727752673</v>
      </c>
      <c r="BB107" s="85">
        <f t="shared" ca="1" si="155"/>
        <v>369.73313093118867</v>
      </c>
      <c r="BC107" s="85">
        <f t="shared" ca="1" si="156"/>
        <v>385.36300210111142</v>
      </c>
      <c r="BD107" s="85">
        <f t="shared" ca="1" si="157"/>
        <v>396.98872022573465</v>
      </c>
      <c r="BE107" s="85">
        <f t="shared" ca="1" si="158"/>
        <v>357.32967363912502</v>
      </c>
      <c r="BF107" s="85">
        <f t="shared" ca="1" si="159"/>
        <v>395.92621606428577</v>
      </c>
      <c r="BG107" s="85">
        <f t="shared" ca="1" si="160"/>
        <v>345.54442755305018</v>
      </c>
      <c r="BH107" s="85">
        <f t="shared" ca="1" si="161"/>
        <v>380.14747970952516</v>
      </c>
      <c r="BI107" s="85">
        <f t="shared" ca="1" si="162"/>
        <v>364.18417158196621</v>
      </c>
      <c r="BJ107" s="85">
        <f t="shared" ca="1" si="163"/>
        <v>398.022823542406</v>
      </c>
      <c r="BK107" s="85">
        <f t="shared" ca="1" si="164"/>
        <v>390.42431704349633</v>
      </c>
      <c r="BL107" s="85">
        <f t="shared" ca="1" si="165"/>
        <v>377.42976188045662</v>
      </c>
      <c r="BM107" s="85">
        <f t="shared" ca="1" si="166"/>
        <v>326.24749098092133</v>
      </c>
      <c r="BN107" s="85">
        <f t="shared" ca="1" si="103"/>
        <v>436.36846031718949</v>
      </c>
      <c r="BO107" s="85">
        <f t="shared" ca="1" si="192"/>
        <v>450.1851912121715</v>
      </c>
      <c r="BP107" s="85">
        <f t="shared" ca="1" si="193"/>
        <v>336.57388824442205</v>
      </c>
      <c r="BQ107" s="85">
        <f t="shared" ca="1" si="194"/>
        <v>372.69882433602584</v>
      </c>
      <c r="BR107" s="85">
        <f t="shared" ca="1" si="195"/>
        <v>360.04974694571411</v>
      </c>
      <c r="BS107" s="85">
        <f t="shared" ca="1" si="196"/>
        <v>393.58508788975399</v>
      </c>
      <c r="BT107" s="85">
        <f t="shared" ca="1" si="197"/>
        <v>419.99932221365373</v>
      </c>
      <c r="BU107" s="85">
        <f t="shared" ca="1" si="198"/>
        <v>423.32108634908178</v>
      </c>
      <c r="BV107" s="85">
        <f t="shared" ca="1" si="199"/>
        <v>378.22880717705743</v>
      </c>
      <c r="BW107" s="85">
        <f t="shared" ca="1" si="200"/>
        <v>422.51182384475408</v>
      </c>
      <c r="BX107" s="85">
        <f t="shared" ca="1" si="201"/>
        <v>390.51331941805239</v>
      </c>
      <c r="BY107" s="85">
        <f t="shared" ca="1" si="167"/>
        <v>394.5252844976842</v>
      </c>
      <c r="BZ107" s="85">
        <f t="shared" ca="1" si="168"/>
        <v>396.89837155849625</v>
      </c>
      <c r="CA107" s="85">
        <f t="shared" ca="1" si="169"/>
        <v>376.79962620915865</v>
      </c>
      <c r="CB107" s="85">
        <f t="shared" ca="1" si="170"/>
        <v>372.31389972214276</v>
      </c>
      <c r="CC107" s="85">
        <f t="shared" ca="1" si="171"/>
        <v>398.09032623463384</v>
      </c>
      <c r="CD107" s="85">
        <f t="shared" ca="1" si="172"/>
        <v>450.23598154126159</v>
      </c>
      <c r="CE107" s="85">
        <f t="shared" ca="1" si="173"/>
        <v>351.47916529907627</v>
      </c>
      <c r="CF107" s="85">
        <f t="shared" ca="1" si="174"/>
        <v>427.70022258625539</v>
      </c>
      <c r="CG107" s="85">
        <f t="shared" ca="1" si="175"/>
        <v>371.80919613378137</v>
      </c>
      <c r="CH107" s="85">
        <f t="shared" ca="1" si="176"/>
        <v>416.81965555012385</v>
      </c>
      <c r="CI107" s="85">
        <f t="shared" ca="1" si="177"/>
        <v>410.63898501133514</v>
      </c>
      <c r="CJ107" s="85">
        <f t="shared" ca="1" si="178"/>
        <v>367.22775780643553</v>
      </c>
      <c r="CK107" s="85">
        <f t="shared" ca="1" si="179"/>
        <v>385.06840991280893</v>
      </c>
      <c r="CL107" s="85">
        <f t="shared" ca="1" si="180"/>
        <v>369.10378403666181</v>
      </c>
      <c r="CM107" s="85">
        <f t="shared" ca="1" si="181"/>
        <v>422.87047415319387</v>
      </c>
      <c r="CN107" s="85">
        <f t="shared" ca="1" si="182"/>
        <v>371.53967028968481</v>
      </c>
      <c r="CO107" s="85">
        <f t="shared" ca="1" si="183"/>
        <v>367.40490522663657</v>
      </c>
      <c r="CP107" s="85">
        <f t="shared" ca="1" si="184"/>
        <v>468.8354327118729</v>
      </c>
      <c r="CQ107" s="85">
        <f t="shared" ca="1" si="185"/>
        <v>407.06508293893472</v>
      </c>
      <c r="CR107" s="85">
        <f t="shared" ca="1" si="186"/>
        <v>427.23531891781982</v>
      </c>
      <c r="CS107" s="85">
        <f t="shared" ca="1" si="187"/>
        <v>335.80714747798146</v>
      </c>
      <c r="CT107" s="85">
        <f t="shared" ca="1" si="188"/>
        <v>389.67370656870963</v>
      </c>
      <c r="CU107" s="85">
        <f t="shared" ca="1" si="189"/>
        <v>474.66276239710442</v>
      </c>
      <c r="CV107" s="85">
        <f t="shared" ca="1" si="190"/>
        <v>343.31635280292329</v>
      </c>
      <c r="CW107" s="85">
        <f t="shared" ca="1" si="191"/>
        <v>342.37744699046709</v>
      </c>
    </row>
    <row r="108" spans="1:101" x14ac:dyDescent="0.2">
      <c r="A108" s="115">
        <v>105</v>
      </c>
      <c r="B108" s="85">
        <f t="shared" ca="1" si="102"/>
        <v>356.7310825341163</v>
      </c>
      <c r="C108" s="85">
        <f t="shared" ca="1" si="104"/>
        <v>381.69499112027114</v>
      </c>
      <c r="D108" s="85">
        <f t="shared" ca="1" si="105"/>
        <v>365.34032861583472</v>
      </c>
      <c r="E108" s="85">
        <f t="shared" ca="1" si="106"/>
        <v>345.77634477141748</v>
      </c>
      <c r="F108" s="85">
        <f t="shared" ca="1" si="107"/>
        <v>369.00529881756671</v>
      </c>
      <c r="G108" s="85">
        <f t="shared" ca="1" si="108"/>
        <v>398.25907167583807</v>
      </c>
      <c r="H108" s="85">
        <f t="shared" ca="1" si="109"/>
        <v>384.88950491110933</v>
      </c>
      <c r="I108" s="85">
        <f t="shared" ca="1" si="110"/>
        <v>394.15771598353689</v>
      </c>
      <c r="J108" s="85">
        <f t="shared" ca="1" si="111"/>
        <v>404.19221252163248</v>
      </c>
      <c r="K108" s="85">
        <f t="shared" ca="1" si="112"/>
        <v>391.4897526643382</v>
      </c>
      <c r="L108" s="85">
        <f t="shared" ca="1" si="113"/>
        <v>437.29308391331477</v>
      </c>
      <c r="M108" s="85">
        <f t="shared" ca="1" si="114"/>
        <v>329.71634022986314</v>
      </c>
      <c r="N108" s="85">
        <f t="shared" ca="1" si="115"/>
        <v>381.5415340062155</v>
      </c>
      <c r="O108" s="85">
        <f t="shared" ca="1" si="116"/>
        <v>384.19005525410387</v>
      </c>
      <c r="P108" s="85">
        <f t="shared" ca="1" si="117"/>
        <v>374.71838249720025</v>
      </c>
      <c r="Q108" s="85">
        <f t="shared" ca="1" si="118"/>
        <v>408.48202395685371</v>
      </c>
      <c r="R108" s="85">
        <f t="shared" ca="1" si="119"/>
        <v>369.0608076948738</v>
      </c>
      <c r="S108" s="85">
        <f t="shared" ca="1" si="120"/>
        <v>405.81457477746699</v>
      </c>
      <c r="T108" s="85">
        <f t="shared" ca="1" si="121"/>
        <v>386.76391407184673</v>
      </c>
      <c r="U108" s="85">
        <f t="shared" ca="1" si="122"/>
        <v>345.21725770004565</v>
      </c>
      <c r="V108" s="85">
        <f t="shared" ca="1" si="123"/>
        <v>415.21780335507373</v>
      </c>
      <c r="W108" s="85">
        <f t="shared" ca="1" si="124"/>
        <v>392.84781863331608</v>
      </c>
      <c r="X108" s="85">
        <f t="shared" ca="1" si="125"/>
        <v>383.0763878042182</v>
      </c>
      <c r="Y108" s="85">
        <f t="shared" ca="1" si="126"/>
        <v>363.83257374244147</v>
      </c>
      <c r="Z108" s="85">
        <f t="shared" ca="1" si="127"/>
        <v>384.10598632772707</v>
      </c>
      <c r="AA108" s="85">
        <f t="shared" ca="1" si="128"/>
        <v>370.86422265257386</v>
      </c>
      <c r="AB108" s="85">
        <f t="shared" ca="1" si="129"/>
        <v>437.55560339135729</v>
      </c>
      <c r="AC108" s="85">
        <f t="shared" ca="1" si="130"/>
        <v>382.96048241825349</v>
      </c>
      <c r="AD108" s="85">
        <f t="shared" ca="1" si="131"/>
        <v>444.15839508442815</v>
      </c>
      <c r="AE108" s="85">
        <f t="shared" ca="1" si="132"/>
        <v>500.21202741209731</v>
      </c>
      <c r="AF108" s="85">
        <f t="shared" ca="1" si="133"/>
        <v>373.99419638251482</v>
      </c>
      <c r="AG108" s="85">
        <f t="shared" ca="1" si="134"/>
        <v>396.67830652956064</v>
      </c>
      <c r="AH108" s="85">
        <f t="shared" ca="1" si="135"/>
        <v>342.28730649194495</v>
      </c>
      <c r="AI108" s="85">
        <f t="shared" ca="1" si="136"/>
        <v>417.61219374869535</v>
      </c>
      <c r="AJ108" s="85">
        <f t="shared" ca="1" si="137"/>
        <v>469.25957601708461</v>
      </c>
      <c r="AK108" s="85">
        <f t="shared" ca="1" si="138"/>
        <v>402.59653876910318</v>
      </c>
      <c r="AL108" s="85">
        <f t="shared" ca="1" si="139"/>
        <v>421.9005175831806</v>
      </c>
      <c r="AM108" s="85">
        <f t="shared" ca="1" si="140"/>
        <v>381.29065624629931</v>
      </c>
      <c r="AN108" s="85">
        <f t="shared" ca="1" si="141"/>
        <v>420.07249344971706</v>
      </c>
      <c r="AO108" s="85">
        <f t="shared" ca="1" si="142"/>
        <v>437.65800206072635</v>
      </c>
      <c r="AP108" s="85">
        <f t="shared" ca="1" si="143"/>
        <v>431.63366587217564</v>
      </c>
      <c r="AQ108" s="85">
        <f t="shared" ca="1" si="144"/>
        <v>359.56746291321451</v>
      </c>
      <c r="AR108" s="85">
        <f t="shared" ca="1" si="145"/>
        <v>386.14764718534929</v>
      </c>
      <c r="AS108" s="85">
        <f t="shared" ca="1" si="146"/>
        <v>369.44812857921812</v>
      </c>
      <c r="AT108" s="85">
        <f t="shared" ca="1" si="147"/>
        <v>433.59075334894044</v>
      </c>
      <c r="AU108" s="85">
        <f t="shared" ca="1" si="148"/>
        <v>397.46903511727396</v>
      </c>
      <c r="AV108" s="85">
        <f t="shared" ca="1" si="149"/>
        <v>392.57078575236358</v>
      </c>
      <c r="AW108" s="85">
        <f t="shared" ca="1" si="150"/>
        <v>377.32755501223454</v>
      </c>
      <c r="AX108" s="85">
        <f t="shared" ca="1" si="151"/>
        <v>462.47327209339375</v>
      </c>
      <c r="AY108" s="85">
        <f t="shared" ca="1" si="152"/>
        <v>437.41920166823331</v>
      </c>
      <c r="AZ108" s="85">
        <f t="shared" ca="1" si="153"/>
        <v>380.70380722223257</v>
      </c>
      <c r="BA108" s="85">
        <f t="shared" ca="1" si="154"/>
        <v>406.47314523428764</v>
      </c>
      <c r="BB108" s="85">
        <f t="shared" ca="1" si="155"/>
        <v>371.64430382837031</v>
      </c>
      <c r="BC108" s="85">
        <f t="shared" ca="1" si="156"/>
        <v>389.41637754052607</v>
      </c>
      <c r="BD108" s="85">
        <f t="shared" ca="1" si="157"/>
        <v>403.82111618504138</v>
      </c>
      <c r="BE108" s="85">
        <f t="shared" ca="1" si="158"/>
        <v>360.33291906618393</v>
      </c>
      <c r="BF108" s="85">
        <f t="shared" ca="1" si="159"/>
        <v>400.71057899757403</v>
      </c>
      <c r="BG108" s="85">
        <f t="shared" ca="1" si="160"/>
        <v>348.24232705343854</v>
      </c>
      <c r="BH108" s="85">
        <f t="shared" ca="1" si="161"/>
        <v>385.74358000194729</v>
      </c>
      <c r="BI108" s="85">
        <f t="shared" ca="1" si="162"/>
        <v>373.2378460130401</v>
      </c>
      <c r="BJ108" s="85">
        <f t="shared" ca="1" si="163"/>
        <v>403.50521799478207</v>
      </c>
      <c r="BK108" s="85">
        <f t="shared" ca="1" si="164"/>
        <v>398.28112661919209</v>
      </c>
      <c r="BL108" s="85">
        <f t="shared" ca="1" si="165"/>
        <v>380.83415252670966</v>
      </c>
      <c r="BM108" s="85">
        <f t="shared" ca="1" si="166"/>
        <v>336.57224667329774</v>
      </c>
      <c r="BN108" s="85">
        <f t="shared" ca="1" si="103"/>
        <v>436.35314184171261</v>
      </c>
      <c r="BO108" s="85">
        <f t="shared" ca="1" si="192"/>
        <v>463.75365649500588</v>
      </c>
      <c r="BP108" s="85">
        <f t="shared" ca="1" si="193"/>
        <v>342.97113019463285</v>
      </c>
      <c r="BQ108" s="85">
        <f t="shared" ca="1" si="194"/>
        <v>376.07382202310657</v>
      </c>
      <c r="BR108" s="85">
        <f t="shared" ca="1" si="195"/>
        <v>363.45271735685424</v>
      </c>
      <c r="BS108" s="85">
        <f t="shared" ca="1" si="196"/>
        <v>397.29896174190424</v>
      </c>
      <c r="BT108" s="85">
        <f t="shared" ca="1" si="197"/>
        <v>427.95521850107252</v>
      </c>
      <c r="BU108" s="85">
        <f t="shared" ca="1" si="198"/>
        <v>422.08903972776574</v>
      </c>
      <c r="BV108" s="85">
        <f t="shared" ca="1" si="199"/>
        <v>386.61319620328959</v>
      </c>
      <c r="BW108" s="85">
        <f t="shared" ca="1" si="200"/>
        <v>429.62943702506936</v>
      </c>
      <c r="BX108" s="85">
        <f t="shared" ca="1" si="201"/>
        <v>393.28135806490786</v>
      </c>
      <c r="BY108" s="85">
        <f t="shared" ca="1" si="167"/>
        <v>399.6581298389176</v>
      </c>
      <c r="BZ108" s="85">
        <f t="shared" ca="1" si="168"/>
        <v>400.49303711271023</v>
      </c>
      <c r="CA108" s="85">
        <f t="shared" ca="1" si="169"/>
        <v>383.12514302631541</v>
      </c>
      <c r="CB108" s="85">
        <f t="shared" ca="1" si="170"/>
        <v>372.18896081888482</v>
      </c>
      <c r="CC108" s="85">
        <f t="shared" ca="1" si="171"/>
        <v>406.55582044412409</v>
      </c>
      <c r="CD108" s="85">
        <f t="shared" ca="1" si="172"/>
        <v>455.38398675676376</v>
      </c>
      <c r="CE108" s="85">
        <f t="shared" ca="1" si="173"/>
        <v>353.28665068849256</v>
      </c>
      <c r="CF108" s="85">
        <f t="shared" ca="1" si="174"/>
        <v>429.20666259779279</v>
      </c>
      <c r="CG108" s="85">
        <f t="shared" ca="1" si="175"/>
        <v>371.90071398061741</v>
      </c>
      <c r="CH108" s="85">
        <f t="shared" ca="1" si="176"/>
        <v>418.05319935712095</v>
      </c>
      <c r="CI108" s="85">
        <f t="shared" ca="1" si="177"/>
        <v>419.43192703424143</v>
      </c>
      <c r="CJ108" s="85">
        <f t="shared" ca="1" si="178"/>
        <v>372.43789367929901</v>
      </c>
      <c r="CK108" s="85">
        <f t="shared" ca="1" si="179"/>
        <v>393.4208078334272</v>
      </c>
      <c r="CL108" s="85">
        <f t="shared" ca="1" si="180"/>
        <v>370.50791276494363</v>
      </c>
      <c r="CM108" s="85">
        <f t="shared" ca="1" si="181"/>
        <v>431.30796976538414</v>
      </c>
      <c r="CN108" s="85">
        <f t="shared" ca="1" si="182"/>
        <v>380.43614790764246</v>
      </c>
      <c r="CO108" s="85">
        <f t="shared" ca="1" si="183"/>
        <v>370.3657253575127</v>
      </c>
      <c r="CP108" s="85">
        <f t="shared" ca="1" si="184"/>
        <v>470.99143392476168</v>
      </c>
      <c r="CQ108" s="85">
        <f t="shared" ca="1" si="185"/>
        <v>415.01292447548673</v>
      </c>
      <c r="CR108" s="85">
        <f t="shared" ca="1" si="186"/>
        <v>435.12018364692261</v>
      </c>
      <c r="CS108" s="85">
        <f t="shared" ca="1" si="187"/>
        <v>342.26387342867571</v>
      </c>
      <c r="CT108" s="85">
        <f t="shared" ca="1" si="188"/>
        <v>398.86952921201743</v>
      </c>
      <c r="CU108" s="85">
        <f t="shared" ca="1" si="189"/>
        <v>477.46421743863215</v>
      </c>
      <c r="CV108" s="85">
        <f t="shared" ca="1" si="190"/>
        <v>349.43361259718648</v>
      </c>
      <c r="CW108" s="85">
        <f t="shared" ca="1" si="191"/>
        <v>346.86278088993532</v>
      </c>
    </row>
    <row r="109" spans="1:101" x14ac:dyDescent="0.2">
      <c r="A109" s="115">
        <v>106</v>
      </c>
      <c r="B109" s="85">
        <f t="shared" ca="1" si="102"/>
        <v>360.63721588587322</v>
      </c>
      <c r="C109" s="85">
        <f t="shared" ca="1" si="104"/>
        <v>386.89096457848984</v>
      </c>
      <c r="D109" s="85">
        <f t="shared" ca="1" si="105"/>
        <v>369.96115642609595</v>
      </c>
      <c r="E109" s="85">
        <f t="shared" ca="1" si="106"/>
        <v>354.39958455211627</v>
      </c>
      <c r="F109" s="85">
        <f t="shared" ca="1" si="107"/>
        <v>373.71053557469105</v>
      </c>
      <c r="G109" s="85">
        <f t="shared" ca="1" si="108"/>
        <v>402.40454744313411</v>
      </c>
      <c r="H109" s="85">
        <f t="shared" ca="1" si="109"/>
        <v>391.5743177322866</v>
      </c>
      <c r="I109" s="85">
        <f t="shared" ca="1" si="110"/>
        <v>401.1759914241776</v>
      </c>
      <c r="J109" s="85">
        <f t="shared" ca="1" si="111"/>
        <v>412.83838640883107</v>
      </c>
      <c r="K109" s="85">
        <f t="shared" ca="1" si="112"/>
        <v>397.30870146861918</v>
      </c>
      <c r="L109" s="85">
        <f t="shared" ca="1" si="113"/>
        <v>442.4086929686618</v>
      </c>
      <c r="M109" s="85">
        <f t="shared" ca="1" si="114"/>
        <v>329.16237252139865</v>
      </c>
      <c r="N109" s="85">
        <f t="shared" ca="1" si="115"/>
        <v>388.21683319327622</v>
      </c>
      <c r="O109" s="85">
        <f t="shared" ca="1" si="116"/>
        <v>388.64464349665133</v>
      </c>
      <c r="P109" s="85">
        <f t="shared" ca="1" si="117"/>
        <v>378.92405441166068</v>
      </c>
      <c r="Q109" s="85">
        <f t="shared" ca="1" si="118"/>
        <v>413.64469032430935</v>
      </c>
      <c r="R109" s="85">
        <f t="shared" ca="1" si="119"/>
        <v>369.8570907154122</v>
      </c>
      <c r="S109" s="85">
        <f t="shared" ca="1" si="120"/>
        <v>412.57039212561403</v>
      </c>
      <c r="T109" s="85">
        <f t="shared" ca="1" si="121"/>
        <v>396.03656478637123</v>
      </c>
      <c r="U109" s="85">
        <f t="shared" ca="1" si="122"/>
        <v>351.46416848449331</v>
      </c>
      <c r="V109" s="85">
        <f t="shared" ca="1" si="123"/>
        <v>417.49712256275023</v>
      </c>
      <c r="W109" s="85">
        <f t="shared" ca="1" si="124"/>
        <v>395.542682420951</v>
      </c>
      <c r="X109" s="85">
        <f t="shared" ca="1" si="125"/>
        <v>389.04995377821257</v>
      </c>
      <c r="Y109" s="85">
        <f t="shared" ca="1" si="126"/>
        <v>369.89899240931368</v>
      </c>
      <c r="Z109" s="85">
        <f t="shared" ca="1" si="127"/>
        <v>389.17013808392329</v>
      </c>
      <c r="AA109" s="85">
        <f t="shared" ca="1" si="128"/>
        <v>375.54033352626328</v>
      </c>
      <c r="AB109" s="85">
        <f t="shared" ca="1" si="129"/>
        <v>445.78128151678538</v>
      </c>
      <c r="AC109" s="85">
        <f t="shared" ca="1" si="130"/>
        <v>386.47314697473149</v>
      </c>
      <c r="AD109" s="85">
        <f t="shared" ca="1" si="131"/>
        <v>449.08168452607242</v>
      </c>
      <c r="AE109" s="85">
        <f t="shared" ca="1" si="132"/>
        <v>508.68103059771084</v>
      </c>
      <c r="AF109" s="85">
        <f t="shared" ca="1" si="133"/>
        <v>377.6849902516289</v>
      </c>
      <c r="AG109" s="85">
        <f t="shared" ca="1" si="134"/>
        <v>400.06115175508967</v>
      </c>
      <c r="AH109" s="85">
        <f t="shared" ca="1" si="135"/>
        <v>346.93033318365445</v>
      </c>
      <c r="AI109" s="85">
        <f t="shared" ca="1" si="136"/>
        <v>425.86225940993415</v>
      </c>
      <c r="AJ109" s="85">
        <f t="shared" ca="1" si="137"/>
        <v>477.94768198010979</v>
      </c>
      <c r="AK109" s="85">
        <f t="shared" ca="1" si="138"/>
        <v>406.90463936846635</v>
      </c>
      <c r="AL109" s="85">
        <f t="shared" ca="1" si="139"/>
        <v>423.83318818889938</v>
      </c>
      <c r="AM109" s="85">
        <f t="shared" ca="1" si="140"/>
        <v>384.7146125314278</v>
      </c>
      <c r="AN109" s="85">
        <f t="shared" ca="1" si="141"/>
        <v>426.71837627065145</v>
      </c>
      <c r="AO109" s="85">
        <f t="shared" ca="1" si="142"/>
        <v>440.73034560245685</v>
      </c>
      <c r="AP109" s="85">
        <f t="shared" ca="1" si="143"/>
        <v>439.12679087527431</v>
      </c>
      <c r="AQ109" s="85">
        <f t="shared" ca="1" si="144"/>
        <v>364.20004084965285</v>
      </c>
      <c r="AR109" s="85">
        <f t="shared" ca="1" si="145"/>
        <v>389.21381994405584</v>
      </c>
      <c r="AS109" s="85">
        <f t="shared" ca="1" si="146"/>
        <v>371.57657858281499</v>
      </c>
      <c r="AT109" s="85">
        <f t="shared" ca="1" si="147"/>
        <v>441.73483952224228</v>
      </c>
      <c r="AU109" s="85">
        <f t="shared" ca="1" si="148"/>
        <v>405.27076322356947</v>
      </c>
      <c r="AV109" s="85">
        <f t="shared" ca="1" si="149"/>
        <v>396.38408154043339</v>
      </c>
      <c r="AW109" s="85">
        <f t="shared" ca="1" si="150"/>
        <v>380.00308362777702</v>
      </c>
      <c r="AX109" s="85">
        <f t="shared" ca="1" si="151"/>
        <v>474.79102186118735</v>
      </c>
      <c r="AY109" s="85">
        <f t="shared" ca="1" si="152"/>
        <v>438.85110972284804</v>
      </c>
      <c r="AZ109" s="85">
        <f t="shared" ca="1" si="153"/>
        <v>388.37148631207714</v>
      </c>
      <c r="BA109" s="85">
        <f t="shared" ca="1" si="154"/>
        <v>414.00687170198313</v>
      </c>
      <c r="BB109" s="85">
        <f t="shared" ca="1" si="155"/>
        <v>376.28845169272836</v>
      </c>
      <c r="BC109" s="85">
        <f t="shared" ca="1" si="156"/>
        <v>394.84825193752351</v>
      </c>
      <c r="BD109" s="85">
        <f t="shared" ca="1" si="157"/>
        <v>414.3756483612803</v>
      </c>
      <c r="BE109" s="85">
        <f t="shared" ca="1" si="158"/>
        <v>362.98638937911659</v>
      </c>
      <c r="BF109" s="85">
        <f t="shared" ca="1" si="159"/>
        <v>405.22054663486432</v>
      </c>
      <c r="BG109" s="85">
        <f t="shared" ca="1" si="160"/>
        <v>354.98023628735137</v>
      </c>
      <c r="BH109" s="85">
        <f t="shared" ca="1" si="161"/>
        <v>391.33833210939594</v>
      </c>
      <c r="BI109" s="85">
        <f t="shared" ca="1" si="162"/>
        <v>375.26221252447681</v>
      </c>
      <c r="BJ109" s="85">
        <f t="shared" ca="1" si="163"/>
        <v>408.50425371433931</v>
      </c>
      <c r="BK109" s="85">
        <f t="shared" ca="1" si="164"/>
        <v>401.03886695135628</v>
      </c>
      <c r="BL109" s="85">
        <f t="shared" ca="1" si="165"/>
        <v>388.38187327248886</v>
      </c>
      <c r="BM109" s="85">
        <f t="shared" ca="1" si="166"/>
        <v>343.09072326212868</v>
      </c>
      <c r="BN109" s="85">
        <f t="shared" ca="1" si="103"/>
        <v>443.5875971430529</v>
      </c>
      <c r="BO109" s="85">
        <f t="shared" ca="1" si="192"/>
        <v>471.53446938770446</v>
      </c>
      <c r="BP109" s="85">
        <f t="shared" ca="1" si="193"/>
        <v>349.66214650749845</v>
      </c>
      <c r="BQ109" s="85">
        <f t="shared" ca="1" si="194"/>
        <v>378.07717317503125</v>
      </c>
      <c r="BR109" s="85">
        <f t="shared" ca="1" si="195"/>
        <v>372.08273128575087</v>
      </c>
      <c r="BS109" s="85">
        <f t="shared" ca="1" si="196"/>
        <v>403.40149560100565</v>
      </c>
      <c r="BT109" s="85">
        <f t="shared" ca="1" si="197"/>
        <v>434.9759380418401</v>
      </c>
      <c r="BU109" s="85">
        <f t="shared" ca="1" si="198"/>
        <v>425.53556543032073</v>
      </c>
      <c r="BV109" s="85">
        <f t="shared" ca="1" si="199"/>
        <v>394.64303225620858</v>
      </c>
      <c r="BW109" s="85">
        <f t="shared" ca="1" si="200"/>
        <v>429.91144983333953</v>
      </c>
      <c r="BX109" s="85">
        <f t="shared" ca="1" si="201"/>
        <v>398.79786076370419</v>
      </c>
      <c r="BY109" s="85">
        <f t="shared" ca="1" si="167"/>
        <v>403.40418232022466</v>
      </c>
      <c r="BZ109" s="85">
        <f t="shared" ca="1" si="168"/>
        <v>403.21654857873722</v>
      </c>
      <c r="CA109" s="85">
        <f t="shared" ca="1" si="169"/>
        <v>387.8083532022423</v>
      </c>
      <c r="CB109" s="85">
        <f t="shared" ca="1" si="170"/>
        <v>375.80056174850631</v>
      </c>
      <c r="CC109" s="85">
        <f t="shared" ca="1" si="171"/>
        <v>407.46669873056885</v>
      </c>
      <c r="CD109" s="85">
        <f t="shared" ca="1" si="172"/>
        <v>462.14218012735694</v>
      </c>
      <c r="CE109" s="85">
        <f t="shared" ca="1" si="173"/>
        <v>360.68506388291297</v>
      </c>
      <c r="CF109" s="85">
        <f t="shared" ca="1" si="174"/>
        <v>429.02773004332187</v>
      </c>
      <c r="CG109" s="85">
        <f t="shared" ca="1" si="175"/>
        <v>376.72670749513935</v>
      </c>
      <c r="CH109" s="85">
        <f t="shared" ca="1" si="176"/>
        <v>422.34506042790161</v>
      </c>
      <c r="CI109" s="85">
        <f t="shared" ca="1" si="177"/>
        <v>420.97321425403334</v>
      </c>
      <c r="CJ109" s="85">
        <f t="shared" ca="1" si="178"/>
        <v>379.08129253657546</v>
      </c>
      <c r="CK109" s="85">
        <f t="shared" ca="1" si="179"/>
        <v>400.29520501182628</v>
      </c>
      <c r="CL109" s="85">
        <f t="shared" ca="1" si="180"/>
        <v>377.1646219898023</v>
      </c>
      <c r="CM109" s="85">
        <f t="shared" ca="1" si="181"/>
        <v>436.03526924773956</v>
      </c>
      <c r="CN109" s="85">
        <f t="shared" ca="1" si="182"/>
        <v>384.17007180099876</v>
      </c>
      <c r="CO109" s="85">
        <f t="shared" ca="1" si="183"/>
        <v>375.1957366590218</v>
      </c>
      <c r="CP109" s="85">
        <f t="shared" ca="1" si="184"/>
        <v>471.87844467225676</v>
      </c>
      <c r="CQ109" s="85">
        <f t="shared" ca="1" si="185"/>
        <v>421.23232897503254</v>
      </c>
      <c r="CR109" s="85">
        <f t="shared" ca="1" si="186"/>
        <v>442.24637448993587</v>
      </c>
      <c r="CS109" s="85">
        <f t="shared" ca="1" si="187"/>
        <v>344.54969480237588</v>
      </c>
      <c r="CT109" s="85">
        <f t="shared" ca="1" si="188"/>
        <v>402.5422336148182</v>
      </c>
      <c r="CU109" s="85">
        <f t="shared" ca="1" si="189"/>
        <v>486.5165299173608</v>
      </c>
      <c r="CV109" s="85">
        <f t="shared" ca="1" si="190"/>
        <v>352.93554205715685</v>
      </c>
      <c r="CW109" s="85">
        <f t="shared" ca="1" si="191"/>
        <v>348.03207546765452</v>
      </c>
    </row>
    <row r="110" spans="1:101" x14ac:dyDescent="0.2">
      <c r="A110" s="115">
        <v>107</v>
      </c>
      <c r="B110" s="85">
        <f t="shared" ca="1" si="102"/>
        <v>360.63710556959313</v>
      </c>
      <c r="C110" s="85">
        <f t="shared" ca="1" si="104"/>
        <v>388.7430238270295</v>
      </c>
      <c r="D110" s="85">
        <f t="shared" ca="1" si="105"/>
        <v>370.9253937307347</v>
      </c>
      <c r="E110" s="85">
        <f t="shared" ca="1" si="106"/>
        <v>360.66441813644519</v>
      </c>
      <c r="F110" s="85">
        <f t="shared" ca="1" si="107"/>
        <v>379.39961594598572</v>
      </c>
      <c r="G110" s="85">
        <f t="shared" ca="1" si="108"/>
        <v>408.74831482481437</v>
      </c>
      <c r="H110" s="85">
        <f t="shared" ca="1" si="109"/>
        <v>395.1827666926161</v>
      </c>
      <c r="I110" s="85">
        <f t="shared" ca="1" si="110"/>
        <v>405.91236465297533</v>
      </c>
      <c r="J110" s="85">
        <f t="shared" ca="1" si="111"/>
        <v>416.98369145911892</v>
      </c>
      <c r="K110" s="85">
        <f t="shared" ca="1" si="112"/>
        <v>406.27974888157826</v>
      </c>
      <c r="L110" s="85">
        <f t="shared" ca="1" si="113"/>
        <v>444.47920499369536</v>
      </c>
      <c r="M110" s="85">
        <f t="shared" ca="1" si="114"/>
        <v>333.42575218500042</v>
      </c>
      <c r="N110" s="85">
        <f t="shared" ca="1" si="115"/>
        <v>389.39923858283873</v>
      </c>
      <c r="O110" s="85">
        <f t="shared" ca="1" si="116"/>
        <v>392.431617769441</v>
      </c>
      <c r="P110" s="85">
        <f t="shared" ca="1" si="117"/>
        <v>386.77775787279768</v>
      </c>
      <c r="Q110" s="85">
        <f t="shared" ca="1" si="118"/>
        <v>414.88983138049679</v>
      </c>
      <c r="R110" s="85">
        <f t="shared" ca="1" si="119"/>
        <v>375.76770283988259</v>
      </c>
      <c r="S110" s="85">
        <f t="shared" ca="1" si="120"/>
        <v>424.03702770413906</v>
      </c>
      <c r="T110" s="85">
        <f t="shared" ca="1" si="121"/>
        <v>400.1265522221226</v>
      </c>
      <c r="U110" s="85">
        <f t="shared" ca="1" si="122"/>
        <v>356.00359680308731</v>
      </c>
      <c r="V110" s="85">
        <f t="shared" ca="1" si="123"/>
        <v>426.33537051660858</v>
      </c>
      <c r="W110" s="85">
        <f t="shared" ca="1" si="124"/>
        <v>404.97119744304837</v>
      </c>
      <c r="X110" s="85">
        <f t="shared" ca="1" si="125"/>
        <v>397.04992768381464</v>
      </c>
      <c r="Y110" s="85">
        <f t="shared" ca="1" si="126"/>
        <v>370.83022516989195</v>
      </c>
      <c r="Z110" s="85">
        <f t="shared" ca="1" si="127"/>
        <v>394.07911295075536</v>
      </c>
      <c r="AA110" s="85">
        <f t="shared" ca="1" si="128"/>
        <v>381.33109748641493</v>
      </c>
      <c r="AB110" s="85">
        <f t="shared" ca="1" si="129"/>
        <v>451.89980638697574</v>
      </c>
      <c r="AC110" s="85">
        <f t="shared" ca="1" si="130"/>
        <v>398.36424687814548</v>
      </c>
      <c r="AD110" s="85">
        <f t="shared" ca="1" si="131"/>
        <v>455.4594963415679</v>
      </c>
      <c r="AE110" s="85">
        <f t="shared" ca="1" si="132"/>
        <v>510.84985410627013</v>
      </c>
      <c r="AF110" s="85">
        <f t="shared" ca="1" si="133"/>
        <v>381.83625298762121</v>
      </c>
      <c r="AG110" s="85">
        <f t="shared" ca="1" si="134"/>
        <v>405.28294542521002</v>
      </c>
      <c r="AH110" s="85">
        <f t="shared" ca="1" si="135"/>
        <v>351.5177491484024</v>
      </c>
      <c r="AI110" s="85">
        <f t="shared" ca="1" si="136"/>
        <v>434.82912964701472</v>
      </c>
      <c r="AJ110" s="85">
        <f t="shared" ca="1" si="137"/>
        <v>485.34752277820473</v>
      </c>
      <c r="AK110" s="85">
        <f t="shared" ca="1" si="138"/>
        <v>416.00914072551325</v>
      </c>
      <c r="AL110" s="85">
        <f t="shared" ca="1" si="139"/>
        <v>431.14866666704654</v>
      </c>
      <c r="AM110" s="85">
        <f t="shared" ca="1" si="140"/>
        <v>391.90606838844553</v>
      </c>
      <c r="AN110" s="85">
        <f t="shared" ca="1" si="141"/>
        <v>435.02709681879111</v>
      </c>
      <c r="AO110" s="85">
        <f t="shared" ca="1" si="142"/>
        <v>448.7175773726733</v>
      </c>
      <c r="AP110" s="85">
        <f t="shared" ca="1" si="143"/>
        <v>445.7409080851557</v>
      </c>
      <c r="AQ110" s="85">
        <f t="shared" ca="1" si="144"/>
        <v>369.84630954772445</v>
      </c>
      <c r="AR110" s="85">
        <f t="shared" ca="1" si="145"/>
        <v>392.50372292560172</v>
      </c>
      <c r="AS110" s="85">
        <f t="shared" ca="1" si="146"/>
        <v>377.12310730231906</v>
      </c>
      <c r="AT110" s="85">
        <f t="shared" ca="1" si="147"/>
        <v>441.53120007173408</v>
      </c>
      <c r="AU110" s="85">
        <f t="shared" ca="1" si="148"/>
        <v>410.35902866218026</v>
      </c>
      <c r="AV110" s="85">
        <f t="shared" ca="1" si="149"/>
        <v>403.66481239866295</v>
      </c>
      <c r="AW110" s="85">
        <f t="shared" ca="1" si="150"/>
        <v>386.23204448022864</v>
      </c>
      <c r="AX110" s="85">
        <f t="shared" ca="1" si="151"/>
        <v>483.37442577166075</v>
      </c>
      <c r="AY110" s="85">
        <f t="shared" ca="1" si="152"/>
        <v>444.20050488993542</v>
      </c>
      <c r="AZ110" s="85">
        <f t="shared" ca="1" si="153"/>
        <v>392.25634097829374</v>
      </c>
      <c r="BA110" s="85">
        <f t="shared" ca="1" si="154"/>
        <v>419.57635270929433</v>
      </c>
      <c r="BB110" s="85">
        <f t="shared" ca="1" si="155"/>
        <v>377.03778999486292</v>
      </c>
      <c r="BC110" s="85">
        <f t="shared" ca="1" si="156"/>
        <v>403.68245041421193</v>
      </c>
      <c r="BD110" s="85">
        <f t="shared" ca="1" si="157"/>
        <v>418.66642142863094</v>
      </c>
      <c r="BE110" s="85">
        <f t="shared" ca="1" si="158"/>
        <v>369.19265669522213</v>
      </c>
      <c r="BF110" s="85">
        <f t="shared" ca="1" si="159"/>
        <v>411.27859051562501</v>
      </c>
      <c r="BG110" s="85">
        <f t="shared" ca="1" si="160"/>
        <v>360.59115666975561</v>
      </c>
      <c r="BH110" s="85">
        <f t="shared" ca="1" si="161"/>
        <v>397.2481232669366</v>
      </c>
      <c r="BI110" s="85">
        <f t="shared" ca="1" si="162"/>
        <v>375.79775638862924</v>
      </c>
      <c r="BJ110" s="85">
        <f t="shared" ca="1" si="163"/>
        <v>416.51880921361004</v>
      </c>
      <c r="BK110" s="85">
        <f t="shared" ca="1" si="164"/>
        <v>407.84295455969294</v>
      </c>
      <c r="BL110" s="85">
        <f t="shared" ca="1" si="165"/>
        <v>394.98965050976</v>
      </c>
      <c r="BM110" s="85">
        <f t="shared" ca="1" si="166"/>
        <v>349.49933633420108</v>
      </c>
      <c r="BN110" s="85">
        <f t="shared" ca="1" si="103"/>
        <v>449.1069960734585</v>
      </c>
      <c r="BO110" s="85">
        <f t="shared" ca="1" si="192"/>
        <v>484.07717261121417</v>
      </c>
      <c r="BP110" s="85">
        <f t="shared" ca="1" si="193"/>
        <v>353.93387082154607</v>
      </c>
      <c r="BQ110" s="85">
        <f t="shared" ca="1" si="194"/>
        <v>384.43401645542065</v>
      </c>
      <c r="BR110" s="85">
        <f t="shared" ca="1" si="195"/>
        <v>370.09984606327254</v>
      </c>
      <c r="BS110" s="85">
        <f t="shared" ca="1" si="196"/>
        <v>406.3810510509777</v>
      </c>
      <c r="BT110" s="85">
        <f t="shared" ca="1" si="197"/>
        <v>439.92792424200019</v>
      </c>
      <c r="BU110" s="85">
        <f t="shared" ca="1" si="198"/>
        <v>433.33462107102639</v>
      </c>
      <c r="BV110" s="85">
        <f t="shared" ca="1" si="199"/>
        <v>400.01104915620823</v>
      </c>
      <c r="BW110" s="85">
        <f t="shared" ca="1" si="200"/>
        <v>432.78781640531895</v>
      </c>
      <c r="BX110" s="85">
        <f t="shared" ca="1" si="201"/>
        <v>406.15152859019702</v>
      </c>
      <c r="BY110" s="85">
        <f t="shared" ca="1" si="167"/>
        <v>402.00526592917714</v>
      </c>
      <c r="BZ110" s="85">
        <f t="shared" ca="1" si="168"/>
        <v>411.67121912779618</v>
      </c>
      <c r="CA110" s="85">
        <f t="shared" ca="1" si="169"/>
        <v>390.75083794283682</v>
      </c>
      <c r="CB110" s="85">
        <f t="shared" ca="1" si="170"/>
        <v>382.75387447343348</v>
      </c>
      <c r="CC110" s="85">
        <f t="shared" ca="1" si="171"/>
        <v>414.53422620233493</v>
      </c>
      <c r="CD110" s="85">
        <f t="shared" ca="1" si="172"/>
        <v>468.1629046053875</v>
      </c>
      <c r="CE110" s="85">
        <f t="shared" ca="1" si="173"/>
        <v>364.30921940935349</v>
      </c>
      <c r="CF110" s="85">
        <f t="shared" ca="1" si="174"/>
        <v>437.9350346833703</v>
      </c>
      <c r="CG110" s="85">
        <f t="shared" ca="1" si="175"/>
        <v>378.01596867849742</v>
      </c>
      <c r="CH110" s="85">
        <f t="shared" ca="1" si="176"/>
        <v>425.887584320923</v>
      </c>
      <c r="CI110" s="85">
        <f t="shared" ca="1" si="177"/>
        <v>426.25441769956143</v>
      </c>
      <c r="CJ110" s="85">
        <f t="shared" ca="1" si="178"/>
        <v>382.76110318315199</v>
      </c>
      <c r="CK110" s="85">
        <f t="shared" ca="1" si="179"/>
        <v>404.5596783971277</v>
      </c>
      <c r="CL110" s="85">
        <f t="shared" ca="1" si="180"/>
        <v>381.9845706828205</v>
      </c>
      <c r="CM110" s="85">
        <f t="shared" ca="1" si="181"/>
        <v>441.54935379297848</v>
      </c>
      <c r="CN110" s="85">
        <f t="shared" ca="1" si="182"/>
        <v>383.82859794772372</v>
      </c>
      <c r="CO110" s="85">
        <f t="shared" ca="1" si="183"/>
        <v>378.37924161885854</v>
      </c>
      <c r="CP110" s="85">
        <f t="shared" ca="1" si="184"/>
        <v>477.9862228934399</v>
      </c>
      <c r="CQ110" s="85">
        <f t="shared" ca="1" si="185"/>
        <v>425.84786574449311</v>
      </c>
      <c r="CR110" s="85">
        <f t="shared" ca="1" si="186"/>
        <v>446.18435051050795</v>
      </c>
      <c r="CS110" s="85">
        <f t="shared" ca="1" si="187"/>
        <v>351.27574547929839</v>
      </c>
      <c r="CT110" s="85">
        <f t="shared" ca="1" si="188"/>
        <v>407.71614682420829</v>
      </c>
      <c r="CU110" s="85">
        <f t="shared" ca="1" si="189"/>
        <v>496.09380791021789</v>
      </c>
      <c r="CV110" s="85">
        <f t="shared" ca="1" si="190"/>
        <v>358.29949379246176</v>
      </c>
      <c r="CW110" s="85">
        <f t="shared" ca="1" si="191"/>
        <v>355.52563634907312</v>
      </c>
    </row>
    <row r="111" spans="1:101" x14ac:dyDescent="0.2">
      <c r="A111" s="115">
        <v>108</v>
      </c>
      <c r="B111" s="85">
        <f t="shared" ca="1" si="102"/>
        <v>362.82861261285296</v>
      </c>
      <c r="C111" s="85">
        <f t="shared" ca="1" si="104"/>
        <v>395.87331794896471</v>
      </c>
      <c r="D111" s="85">
        <f t="shared" ca="1" si="105"/>
        <v>379.54758897073259</v>
      </c>
      <c r="E111" s="85">
        <f t="shared" ca="1" si="106"/>
        <v>363.78448526122475</v>
      </c>
      <c r="F111" s="85">
        <f t="shared" ca="1" si="107"/>
        <v>382.3888056927521</v>
      </c>
      <c r="G111" s="85">
        <f t="shared" ca="1" si="108"/>
        <v>418.73801245784097</v>
      </c>
      <c r="H111" s="85">
        <f t="shared" ca="1" si="109"/>
        <v>406.3456270916497</v>
      </c>
      <c r="I111" s="85">
        <f t="shared" ca="1" si="110"/>
        <v>408.42049993851407</v>
      </c>
      <c r="J111" s="85">
        <f t="shared" ca="1" si="111"/>
        <v>418.73549012384291</v>
      </c>
      <c r="K111" s="85">
        <f t="shared" ca="1" si="112"/>
        <v>409.80192684832855</v>
      </c>
      <c r="L111" s="85">
        <f t="shared" ca="1" si="113"/>
        <v>452.16680499563711</v>
      </c>
      <c r="M111" s="85">
        <f t="shared" ca="1" si="114"/>
        <v>334.35089340418091</v>
      </c>
      <c r="N111" s="85">
        <f t="shared" ca="1" si="115"/>
        <v>393.10780557656426</v>
      </c>
      <c r="O111" s="85">
        <f t="shared" ca="1" si="116"/>
        <v>400.75433546197092</v>
      </c>
      <c r="P111" s="85">
        <f t="shared" ca="1" si="117"/>
        <v>392.84712019931072</v>
      </c>
      <c r="Q111" s="85">
        <f t="shared" ca="1" si="118"/>
        <v>417.0491670160647</v>
      </c>
      <c r="R111" s="85">
        <f t="shared" ca="1" si="119"/>
        <v>379.68414565413269</v>
      </c>
      <c r="S111" s="85">
        <f t="shared" ca="1" si="120"/>
        <v>426.31262123804476</v>
      </c>
      <c r="T111" s="85">
        <f t="shared" ca="1" si="121"/>
        <v>401.42575744094006</v>
      </c>
      <c r="U111" s="85">
        <f t="shared" ca="1" si="122"/>
        <v>362.70507163768713</v>
      </c>
      <c r="V111" s="85">
        <f t="shared" ca="1" si="123"/>
        <v>433.31942540301958</v>
      </c>
      <c r="W111" s="85">
        <f t="shared" ca="1" si="124"/>
        <v>408.53809318972691</v>
      </c>
      <c r="X111" s="85">
        <f t="shared" ca="1" si="125"/>
        <v>399.46601126095715</v>
      </c>
      <c r="Y111" s="85">
        <f t="shared" ca="1" si="126"/>
        <v>375.36972166764389</v>
      </c>
      <c r="Z111" s="85">
        <f t="shared" ca="1" si="127"/>
        <v>398.46885576801452</v>
      </c>
      <c r="AA111" s="85">
        <f t="shared" ca="1" si="128"/>
        <v>385.74722111083815</v>
      </c>
      <c r="AB111" s="85">
        <f t="shared" ca="1" si="129"/>
        <v>459.08069227809068</v>
      </c>
      <c r="AC111" s="85">
        <f t="shared" ca="1" si="130"/>
        <v>403.66559968367665</v>
      </c>
      <c r="AD111" s="85">
        <f t="shared" ca="1" si="131"/>
        <v>459.68227068251446</v>
      </c>
      <c r="AE111" s="85">
        <f t="shared" ca="1" si="132"/>
        <v>523.05097511246288</v>
      </c>
      <c r="AF111" s="85">
        <f t="shared" ca="1" si="133"/>
        <v>384.1238612250192</v>
      </c>
      <c r="AG111" s="85">
        <f t="shared" ca="1" si="134"/>
        <v>412.26791775823904</v>
      </c>
      <c r="AH111" s="85">
        <f t="shared" ca="1" si="135"/>
        <v>356.07463258423661</v>
      </c>
      <c r="AI111" s="85">
        <f t="shared" ca="1" si="136"/>
        <v>439.41555582112676</v>
      </c>
      <c r="AJ111" s="85">
        <f t="shared" ca="1" si="137"/>
        <v>487.78116370868474</v>
      </c>
      <c r="AK111" s="85">
        <f t="shared" ca="1" si="138"/>
        <v>423.50837773254096</v>
      </c>
      <c r="AL111" s="85">
        <f t="shared" ca="1" si="139"/>
        <v>435.23699892768724</v>
      </c>
      <c r="AM111" s="85">
        <f t="shared" ca="1" si="140"/>
        <v>399.08916253447831</v>
      </c>
      <c r="AN111" s="85">
        <f t="shared" ca="1" si="141"/>
        <v>443.69252348730157</v>
      </c>
      <c r="AO111" s="85">
        <f t="shared" ca="1" si="142"/>
        <v>455.71401290135202</v>
      </c>
      <c r="AP111" s="85">
        <f t="shared" ca="1" si="143"/>
        <v>450.10520177921711</v>
      </c>
      <c r="AQ111" s="85">
        <f t="shared" ca="1" si="144"/>
        <v>375.4894915354563</v>
      </c>
      <c r="AR111" s="85">
        <f t="shared" ca="1" si="145"/>
        <v>399.75591822905136</v>
      </c>
      <c r="AS111" s="85">
        <f t="shared" ca="1" si="146"/>
        <v>382.86404704327077</v>
      </c>
      <c r="AT111" s="85">
        <f t="shared" ca="1" si="147"/>
        <v>448.23001811711487</v>
      </c>
      <c r="AU111" s="85">
        <f t="shared" ca="1" si="148"/>
        <v>414.69823257466095</v>
      </c>
      <c r="AV111" s="85">
        <f t="shared" ca="1" si="149"/>
        <v>405.9331214889213</v>
      </c>
      <c r="AW111" s="85">
        <f t="shared" ca="1" si="150"/>
        <v>390.54375927073636</v>
      </c>
      <c r="AX111" s="85">
        <f t="shared" ca="1" si="151"/>
        <v>489.68626265592633</v>
      </c>
      <c r="AY111" s="85">
        <f t="shared" ca="1" si="152"/>
        <v>453.0650209765351</v>
      </c>
      <c r="AZ111" s="85">
        <f t="shared" ca="1" si="153"/>
        <v>394.63046728156434</v>
      </c>
      <c r="BA111" s="85">
        <f t="shared" ca="1" si="154"/>
        <v>426.67231956691086</v>
      </c>
      <c r="BB111" s="85">
        <f t="shared" ca="1" si="155"/>
        <v>378.60911177081613</v>
      </c>
      <c r="BC111" s="85">
        <f t="shared" ca="1" si="156"/>
        <v>408.15534433335307</v>
      </c>
      <c r="BD111" s="85">
        <f t="shared" ca="1" si="157"/>
        <v>421.12263801888781</v>
      </c>
      <c r="BE111" s="85">
        <f t="shared" ca="1" si="158"/>
        <v>369.13873843260831</v>
      </c>
      <c r="BF111" s="85">
        <f t="shared" ca="1" si="159"/>
        <v>417.61674915778582</v>
      </c>
      <c r="BG111" s="85">
        <f t="shared" ca="1" si="160"/>
        <v>363.96494456724531</v>
      </c>
      <c r="BH111" s="85">
        <f t="shared" ca="1" si="161"/>
        <v>404.12193040752931</v>
      </c>
      <c r="BI111" s="85">
        <f t="shared" ca="1" si="162"/>
        <v>378.10441228409019</v>
      </c>
      <c r="BJ111" s="85">
        <f t="shared" ca="1" si="163"/>
        <v>423.00834382808955</v>
      </c>
      <c r="BK111" s="85">
        <f t="shared" ca="1" si="164"/>
        <v>413.55524045689555</v>
      </c>
      <c r="BL111" s="85">
        <f t="shared" ca="1" si="165"/>
        <v>398.5798414576729</v>
      </c>
      <c r="BM111" s="85">
        <f t="shared" ca="1" si="166"/>
        <v>357.29532169775251</v>
      </c>
      <c r="BN111" s="85">
        <f t="shared" ca="1" si="103"/>
        <v>455.12655611644738</v>
      </c>
      <c r="BO111" s="85">
        <f t="shared" ca="1" si="192"/>
        <v>492.00986583740701</v>
      </c>
      <c r="BP111" s="85">
        <f t="shared" ca="1" si="193"/>
        <v>359.1932745639495</v>
      </c>
      <c r="BQ111" s="85">
        <f t="shared" ca="1" si="194"/>
        <v>388.19177699765419</v>
      </c>
      <c r="BR111" s="85">
        <f t="shared" ca="1" si="195"/>
        <v>377.1580122407475</v>
      </c>
      <c r="BS111" s="85">
        <f t="shared" ca="1" si="196"/>
        <v>406.30551647293061</v>
      </c>
      <c r="BT111" s="85">
        <f t="shared" ca="1" si="197"/>
        <v>439.48599320295432</v>
      </c>
      <c r="BU111" s="85">
        <f t="shared" ca="1" si="198"/>
        <v>441.11780618098965</v>
      </c>
      <c r="BV111" s="85">
        <f t="shared" ca="1" si="199"/>
        <v>409.81168834032263</v>
      </c>
      <c r="BW111" s="85">
        <f t="shared" ca="1" si="200"/>
        <v>444.0944628777649</v>
      </c>
      <c r="BX111" s="85">
        <f t="shared" ca="1" si="201"/>
        <v>411.9975317078725</v>
      </c>
      <c r="BY111" s="85">
        <f t="shared" ca="1" si="167"/>
        <v>405.69047167062052</v>
      </c>
      <c r="BZ111" s="85">
        <f t="shared" ca="1" si="168"/>
        <v>415.49762574634514</v>
      </c>
      <c r="CA111" s="85">
        <f t="shared" ca="1" si="169"/>
        <v>397.03694639360577</v>
      </c>
      <c r="CB111" s="85">
        <f t="shared" ca="1" si="170"/>
        <v>386.91126514724664</v>
      </c>
      <c r="CC111" s="85">
        <f t="shared" ca="1" si="171"/>
        <v>420.66820092294347</v>
      </c>
      <c r="CD111" s="85">
        <f t="shared" ca="1" si="172"/>
        <v>472.21187405295365</v>
      </c>
      <c r="CE111" s="85">
        <f t="shared" ca="1" si="173"/>
        <v>366.31787201782373</v>
      </c>
      <c r="CF111" s="85">
        <f t="shared" ca="1" si="174"/>
        <v>442.39353451204948</v>
      </c>
      <c r="CG111" s="85">
        <f t="shared" ca="1" si="175"/>
        <v>382.20147732300768</v>
      </c>
      <c r="CH111" s="85">
        <f t="shared" ca="1" si="176"/>
        <v>429.38185403510528</v>
      </c>
      <c r="CI111" s="85">
        <f t="shared" ca="1" si="177"/>
        <v>431.22858423366552</v>
      </c>
      <c r="CJ111" s="85">
        <f t="shared" ca="1" si="178"/>
        <v>392.1492268016305</v>
      </c>
      <c r="CK111" s="85">
        <f t="shared" ca="1" si="179"/>
        <v>409.55262085572861</v>
      </c>
      <c r="CL111" s="85">
        <f t="shared" ca="1" si="180"/>
        <v>389.57499963174683</v>
      </c>
      <c r="CM111" s="85">
        <f t="shared" ca="1" si="181"/>
        <v>444.58899913095058</v>
      </c>
      <c r="CN111" s="85">
        <f t="shared" ca="1" si="182"/>
        <v>388.68971219566663</v>
      </c>
      <c r="CO111" s="85">
        <f t="shared" ca="1" si="183"/>
        <v>380.54713460754965</v>
      </c>
      <c r="CP111" s="85">
        <f t="shared" ca="1" si="184"/>
        <v>489.80410618119436</v>
      </c>
      <c r="CQ111" s="85">
        <f t="shared" ca="1" si="185"/>
        <v>427.77352773385388</v>
      </c>
      <c r="CR111" s="85">
        <f t="shared" ca="1" si="186"/>
        <v>450.99171062144433</v>
      </c>
      <c r="CS111" s="85">
        <f t="shared" ca="1" si="187"/>
        <v>353.70437414446263</v>
      </c>
      <c r="CT111" s="85">
        <f t="shared" ca="1" si="188"/>
        <v>413.77693614651446</v>
      </c>
      <c r="CU111" s="85">
        <f t="shared" ca="1" si="189"/>
        <v>508.28116863764154</v>
      </c>
      <c r="CV111" s="85">
        <f t="shared" ca="1" si="190"/>
        <v>365.5598741845435</v>
      </c>
      <c r="CW111" s="85">
        <f t="shared" ca="1" si="191"/>
        <v>360.55359600191116</v>
      </c>
    </row>
    <row r="112" spans="1:101" x14ac:dyDescent="0.2">
      <c r="A112" s="115">
        <v>109</v>
      </c>
      <c r="B112" s="85">
        <f t="shared" ca="1" si="102"/>
        <v>369.44489491191979</v>
      </c>
      <c r="C112" s="85">
        <f t="shared" ca="1" si="104"/>
        <v>401.29161138295615</v>
      </c>
      <c r="D112" s="85">
        <f t="shared" ca="1" si="105"/>
        <v>385.84269250589364</v>
      </c>
      <c r="E112" s="85">
        <f t="shared" ca="1" si="106"/>
        <v>371.60120062873398</v>
      </c>
      <c r="F112" s="85">
        <f t="shared" ca="1" si="107"/>
        <v>384.59704977466185</v>
      </c>
      <c r="G112" s="85">
        <f t="shared" ca="1" si="108"/>
        <v>422.63517690636343</v>
      </c>
      <c r="H112" s="85">
        <f t="shared" ca="1" si="109"/>
        <v>413.52638270583975</v>
      </c>
      <c r="I112" s="85">
        <f t="shared" ca="1" si="110"/>
        <v>413.92485972236699</v>
      </c>
      <c r="J112" s="85">
        <f t="shared" ca="1" si="111"/>
        <v>426.03163161710705</v>
      </c>
      <c r="K112" s="85">
        <f t="shared" ca="1" si="112"/>
        <v>415.58008339024474</v>
      </c>
      <c r="L112" s="85">
        <f t="shared" ca="1" si="113"/>
        <v>461.37112654552573</v>
      </c>
      <c r="M112" s="85">
        <f t="shared" ca="1" si="114"/>
        <v>336.04193394183983</v>
      </c>
      <c r="N112" s="85">
        <f t="shared" ca="1" si="115"/>
        <v>394.56680436119865</v>
      </c>
      <c r="O112" s="85">
        <f t="shared" ca="1" si="116"/>
        <v>407.01642274713691</v>
      </c>
      <c r="P112" s="85">
        <f t="shared" ca="1" si="117"/>
        <v>405.17902285844019</v>
      </c>
      <c r="Q112" s="85">
        <f t="shared" ca="1" si="118"/>
        <v>417.67220145190839</v>
      </c>
      <c r="R112" s="85">
        <f t="shared" ca="1" si="119"/>
        <v>382.91476599830207</v>
      </c>
      <c r="S112" s="85">
        <f t="shared" ca="1" si="120"/>
        <v>433.99512229967945</v>
      </c>
      <c r="T112" s="85">
        <f t="shared" ca="1" si="121"/>
        <v>408.64213726652696</v>
      </c>
      <c r="U112" s="85">
        <f t="shared" ca="1" si="122"/>
        <v>370.5702283867459</v>
      </c>
      <c r="V112" s="85">
        <f t="shared" ca="1" si="123"/>
        <v>438.12156736419405</v>
      </c>
      <c r="W112" s="85">
        <f t="shared" ca="1" si="124"/>
        <v>413.77144369318069</v>
      </c>
      <c r="X112" s="85">
        <f t="shared" ca="1" si="125"/>
        <v>407.7502277372846</v>
      </c>
      <c r="Y112" s="85">
        <f t="shared" ca="1" si="126"/>
        <v>381.29770576323432</v>
      </c>
      <c r="Z112" s="85">
        <f t="shared" ca="1" si="127"/>
        <v>406.03133366350698</v>
      </c>
      <c r="AA112" s="85">
        <f t="shared" ca="1" si="128"/>
        <v>388.54205564612613</v>
      </c>
      <c r="AB112" s="85">
        <f t="shared" ca="1" si="129"/>
        <v>470.6090236947947</v>
      </c>
      <c r="AC112" s="85">
        <f t="shared" ca="1" si="130"/>
        <v>407.13244411298871</v>
      </c>
      <c r="AD112" s="85">
        <f t="shared" ca="1" si="131"/>
        <v>469.85270083917021</v>
      </c>
      <c r="AE112" s="85">
        <f t="shared" ca="1" si="132"/>
        <v>528.13548467117994</v>
      </c>
      <c r="AF112" s="85">
        <f t="shared" ca="1" si="133"/>
        <v>387.01841019336155</v>
      </c>
      <c r="AG112" s="85">
        <f t="shared" ca="1" si="134"/>
        <v>415.18972652589486</v>
      </c>
      <c r="AH112" s="85">
        <f t="shared" ca="1" si="135"/>
        <v>363.91675509378064</v>
      </c>
      <c r="AI112" s="85">
        <f t="shared" ca="1" si="136"/>
        <v>447.62890909896589</v>
      </c>
      <c r="AJ112" s="85">
        <f t="shared" ca="1" si="137"/>
        <v>490.70657860985852</v>
      </c>
      <c r="AK112" s="85">
        <f t="shared" ca="1" si="138"/>
        <v>431.48567198398683</v>
      </c>
      <c r="AL112" s="85">
        <f t="shared" ca="1" si="139"/>
        <v>437.79491479827334</v>
      </c>
      <c r="AM112" s="85">
        <f t="shared" ca="1" si="140"/>
        <v>405.06269619453406</v>
      </c>
      <c r="AN112" s="85">
        <f t="shared" ca="1" si="141"/>
        <v>457.27550556406356</v>
      </c>
      <c r="AO112" s="85">
        <f t="shared" ca="1" si="142"/>
        <v>462.19013541512197</v>
      </c>
      <c r="AP112" s="85">
        <f t="shared" ca="1" si="143"/>
        <v>458.5005248627607</v>
      </c>
      <c r="AQ112" s="85">
        <f t="shared" ca="1" si="144"/>
        <v>382.66025845901362</v>
      </c>
      <c r="AR112" s="85">
        <f t="shared" ca="1" si="145"/>
        <v>407.65381897317764</v>
      </c>
      <c r="AS112" s="85">
        <f t="shared" ca="1" si="146"/>
        <v>387.29505673073294</v>
      </c>
      <c r="AT112" s="85">
        <f t="shared" ca="1" si="147"/>
        <v>454.01825707012597</v>
      </c>
      <c r="AU112" s="85">
        <f t="shared" ca="1" si="148"/>
        <v>421.45429366659778</v>
      </c>
      <c r="AV112" s="85">
        <f t="shared" ca="1" si="149"/>
        <v>410.06305530589475</v>
      </c>
      <c r="AW112" s="85">
        <f t="shared" ca="1" si="150"/>
        <v>396.06157441833284</v>
      </c>
      <c r="AX112" s="85">
        <f t="shared" ca="1" si="151"/>
        <v>491.5648693363691</v>
      </c>
      <c r="AY112" s="85">
        <f t="shared" ca="1" si="152"/>
        <v>462.84143141795812</v>
      </c>
      <c r="AZ112" s="85">
        <f t="shared" ca="1" si="153"/>
        <v>402.63846828912045</v>
      </c>
      <c r="BA112" s="85">
        <f t="shared" ca="1" si="154"/>
        <v>432.56109348407722</v>
      </c>
      <c r="BB112" s="85">
        <f t="shared" ca="1" si="155"/>
        <v>386.28956164057251</v>
      </c>
      <c r="BC112" s="85">
        <f t="shared" ca="1" si="156"/>
        <v>415.23112589056285</v>
      </c>
      <c r="BD112" s="85">
        <f t="shared" ca="1" si="157"/>
        <v>422.38492843105365</v>
      </c>
      <c r="BE112" s="85">
        <f t="shared" ca="1" si="158"/>
        <v>373.75828646215859</v>
      </c>
      <c r="BF112" s="85">
        <f t="shared" ca="1" si="159"/>
        <v>422.98489228096383</v>
      </c>
      <c r="BG112" s="85">
        <f t="shared" ca="1" si="160"/>
        <v>369.81318363634034</v>
      </c>
      <c r="BH112" s="85">
        <f t="shared" ca="1" si="161"/>
        <v>410.14740621676037</v>
      </c>
      <c r="BI112" s="85">
        <f t="shared" ca="1" si="162"/>
        <v>384.40951124140031</v>
      </c>
      <c r="BJ112" s="85">
        <f t="shared" ca="1" si="163"/>
        <v>430.29784576608603</v>
      </c>
      <c r="BK112" s="85">
        <f t="shared" ca="1" si="164"/>
        <v>419.9739324883044</v>
      </c>
      <c r="BL112" s="85">
        <f t="shared" ca="1" si="165"/>
        <v>405.69889474536888</v>
      </c>
      <c r="BM112" s="85">
        <f t="shared" ca="1" si="166"/>
        <v>362.76288829030557</v>
      </c>
      <c r="BN112" s="85">
        <f t="shared" ca="1" si="103"/>
        <v>466.33124499140661</v>
      </c>
      <c r="BO112" s="85">
        <f t="shared" ca="1" si="192"/>
        <v>499.60433012150298</v>
      </c>
      <c r="BP112" s="85">
        <f t="shared" ca="1" si="193"/>
        <v>368.89871181154837</v>
      </c>
      <c r="BQ112" s="85">
        <f t="shared" ca="1" si="194"/>
        <v>393.75080283813998</v>
      </c>
      <c r="BR112" s="85">
        <f t="shared" ca="1" si="195"/>
        <v>380.76655079666267</v>
      </c>
      <c r="BS112" s="85">
        <f t="shared" ca="1" si="196"/>
        <v>415.21775293586978</v>
      </c>
      <c r="BT112" s="85">
        <f t="shared" ca="1" si="197"/>
        <v>444.24632394271572</v>
      </c>
      <c r="BU112" s="85">
        <f t="shared" ca="1" si="198"/>
        <v>447.32498803397084</v>
      </c>
      <c r="BV112" s="85">
        <f t="shared" ca="1" si="199"/>
        <v>414.37027980439797</v>
      </c>
      <c r="BW112" s="85">
        <f t="shared" ca="1" si="200"/>
        <v>449.4477178037136</v>
      </c>
      <c r="BX112" s="85">
        <f t="shared" ca="1" si="201"/>
        <v>419.89030481636877</v>
      </c>
      <c r="BY112" s="85">
        <f t="shared" ca="1" si="167"/>
        <v>411.37190632252447</v>
      </c>
      <c r="BZ112" s="85">
        <f t="shared" ca="1" si="168"/>
        <v>417.472031527041</v>
      </c>
      <c r="CA112" s="85">
        <f t="shared" ca="1" si="169"/>
        <v>402.174881650923</v>
      </c>
      <c r="CB112" s="85">
        <f t="shared" ca="1" si="170"/>
        <v>392.11452636437497</v>
      </c>
      <c r="CC112" s="85">
        <f t="shared" ca="1" si="171"/>
        <v>428.28793193798379</v>
      </c>
      <c r="CD112" s="85">
        <f t="shared" ca="1" si="172"/>
        <v>481.94538726730667</v>
      </c>
      <c r="CE112" s="85">
        <f t="shared" ca="1" si="173"/>
        <v>371.47060692682766</v>
      </c>
      <c r="CF112" s="85">
        <f t="shared" ca="1" si="174"/>
        <v>455.71920995342231</v>
      </c>
      <c r="CG112" s="85">
        <f t="shared" ca="1" si="175"/>
        <v>385.65042401261866</v>
      </c>
      <c r="CH112" s="85">
        <f t="shared" ca="1" si="176"/>
        <v>434.83419095084469</v>
      </c>
      <c r="CI112" s="85">
        <f t="shared" ca="1" si="177"/>
        <v>435.58502881729299</v>
      </c>
      <c r="CJ112" s="85">
        <f t="shared" ca="1" si="178"/>
        <v>396.6479966432052</v>
      </c>
      <c r="CK112" s="85">
        <f t="shared" ca="1" si="179"/>
        <v>414.97742304325618</v>
      </c>
      <c r="CL112" s="85">
        <f t="shared" ca="1" si="180"/>
        <v>393.14338888068687</v>
      </c>
      <c r="CM112" s="85">
        <f t="shared" ca="1" si="181"/>
        <v>453.75999144319394</v>
      </c>
      <c r="CN112" s="85">
        <f t="shared" ca="1" si="182"/>
        <v>393.08752276677734</v>
      </c>
      <c r="CO112" s="85">
        <f t="shared" ca="1" si="183"/>
        <v>386.09316725616816</v>
      </c>
      <c r="CP112" s="85">
        <f t="shared" ca="1" si="184"/>
        <v>496.20646941518265</v>
      </c>
      <c r="CQ112" s="85">
        <f t="shared" ca="1" si="185"/>
        <v>428.20784751480056</v>
      </c>
      <c r="CR112" s="85">
        <f t="shared" ca="1" si="186"/>
        <v>453.81746401705038</v>
      </c>
      <c r="CS112" s="85">
        <f t="shared" ca="1" si="187"/>
        <v>355.71458698621814</v>
      </c>
      <c r="CT112" s="85">
        <f t="shared" ca="1" si="188"/>
        <v>421.96592218844711</v>
      </c>
      <c r="CU112" s="85">
        <f t="shared" ca="1" si="189"/>
        <v>515.49365635334595</v>
      </c>
      <c r="CV112" s="85">
        <f t="shared" ca="1" si="190"/>
        <v>373.58763230273649</v>
      </c>
      <c r="CW112" s="85">
        <f t="shared" ca="1" si="191"/>
        <v>365.39755012338429</v>
      </c>
    </row>
    <row r="113" spans="1:101" x14ac:dyDescent="0.2">
      <c r="A113" s="115">
        <v>110</v>
      </c>
      <c r="B113" s="85">
        <f t="shared" ca="1" si="102"/>
        <v>368.09073122787294</v>
      </c>
      <c r="C113" s="85">
        <f t="shared" ca="1" si="104"/>
        <v>400.61196746077752</v>
      </c>
      <c r="D113" s="85">
        <f t="shared" ca="1" si="105"/>
        <v>389.00788957783834</v>
      </c>
      <c r="E113" s="85">
        <f t="shared" ca="1" si="106"/>
        <v>379.8575989580761</v>
      </c>
      <c r="F113" s="85">
        <f t="shared" ca="1" si="107"/>
        <v>389.95637692766485</v>
      </c>
      <c r="G113" s="85">
        <f t="shared" ca="1" si="108"/>
        <v>432.5096826318852</v>
      </c>
      <c r="H113" s="85">
        <f t="shared" ca="1" si="109"/>
        <v>418.88466847465918</v>
      </c>
      <c r="I113" s="85">
        <f t="shared" ca="1" si="110"/>
        <v>418.32307539408475</v>
      </c>
      <c r="J113" s="85">
        <f t="shared" ca="1" si="111"/>
        <v>433.93035814084959</v>
      </c>
      <c r="K113" s="85">
        <f t="shared" ca="1" si="112"/>
        <v>419.36543700466126</v>
      </c>
      <c r="L113" s="85">
        <f t="shared" ca="1" si="113"/>
        <v>467.51345232701698</v>
      </c>
      <c r="M113" s="85">
        <f t="shared" ca="1" si="114"/>
        <v>338.83777011643423</v>
      </c>
      <c r="N113" s="85">
        <f t="shared" ca="1" si="115"/>
        <v>402.69710852596603</v>
      </c>
      <c r="O113" s="85">
        <f t="shared" ca="1" si="116"/>
        <v>413.23879212018807</v>
      </c>
      <c r="P113" s="85">
        <f t="shared" ca="1" si="117"/>
        <v>415.12972880743996</v>
      </c>
      <c r="Q113" s="85">
        <f t="shared" ca="1" si="118"/>
        <v>423.90819039153575</v>
      </c>
      <c r="R113" s="85">
        <f t="shared" ca="1" si="119"/>
        <v>385.72486284189654</v>
      </c>
      <c r="S113" s="85">
        <f t="shared" ca="1" si="120"/>
        <v>438.01359622589354</v>
      </c>
      <c r="T113" s="85">
        <f t="shared" ca="1" si="121"/>
        <v>415.62509584339125</v>
      </c>
      <c r="U113" s="85">
        <f t="shared" ca="1" si="122"/>
        <v>374.58183634139692</v>
      </c>
      <c r="V113" s="85">
        <f t="shared" ca="1" si="123"/>
        <v>449.9371725717956</v>
      </c>
      <c r="W113" s="85">
        <f t="shared" ca="1" si="124"/>
        <v>417.41712758883926</v>
      </c>
      <c r="X113" s="85">
        <f t="shared" ca="1" si="125"/>
        <v>416.12027728171955</v>
      </c>
      <c r="Y113" s="85">
        <f t="shared" ca="1" si="126"/>
        <v>384.06211917436718</v>
      </c>
      <c r="Z113" s="85">
        <f t="shared" ca="1" si="127"/>
        <v>407.42274262961615</v>
      </c>
      <c r="AA113" s="85">
        <f t="shared" ca="1" si="128"/>
        <v>394.0164091673015</v>
      </c>
      <c r="AB113" s="85">
        <f t="shared" ca="1" si="129"/>
        <v>479.02970371968638</v>
      </c>
      <c r="AC113" s="85">
        <f t="shared" ca="1" si="130"/>
        <v>410.99560124398897</v>
      </c>
      <c r="AD113" s="85">
        <f t="shared" ca="1" si="131"/>
        <v>477.15533775155342</v>
      </c>
      <c r="AE113" s="85">
        <f t="shared" ca="1" si="132"/>
        <v>547.58445858861944</v>
      </c>
      <c r="AF113" s="85">
        <f t="shared" ca="1" si="133"/>
        <v>390.40945967370658</v>
      </c>
      <c r="AG113" s="85">
        <f t="shared" ca="1" si="134"/>
        <v>418.42927986129666</v>
      </c>
      <c r="AH113" s="85">
        <f t="shared" ca="1" si="135"/>
        <v>370.52002845537919</v>
      </c>
      <c r="AI113" s="85">
        <f t="shared" ca="1" si="136"/>
        <v>446.4291024594491</v>
      </c>
      <c r="AJ113" s="85">
        <f t="shared" ca="1" si="137"/>
        <v>501.43891975218014</v>
      </c>
      <c r="AK113" s="85">
        <f t="shared" ca="1" si="138"/>
        <v>440.21985220842271</v>
      </c>
      <c r="AL113" s="85">
        <f t="shared" ca="1" si="139"/>
        <v>445.23633017686524</v>
      </c>
      <c r="AM113" s="85">
        <f t="shared" ca="1" si="140"/>
        <v>407.98559305940034</v>
      </c>
      <c r="AN113" s="85">
        <f t="shared" ca="1" si="141"/>
        <v>459.15737480761806</v>
      </c>
      <c r="AO113" s="85">
        <f t="shared" ca="1" si="142"/>
        <v>474.48578915710158</v>
      </c>
      <c r="AP113" s="85">
        <f t="shared" ca="1" si="143"/>
        <v>465.56185166967572</v>
      </c>
      <c r="AQ113" s="85">
        <f t="shared" ca="1" si="144"/>
        <v>386.78229295534561</v>
      </c>
      <c r="AR113" s="85">
        <f t="shared" ca="1" si="145"/>
        <v>414.28310505187136</v>
      </c>
      <c r="AS113" s="85">
        <f t="shared" ca="1" si="146"/>
        <v>395.53699066710942</v>
      </c>
      <c r="AT113" s="85">
        <f t="shared" ca="1" si="147"/>
        <v>454.24428481561301</v>
      </c>
      <c r="AU113" s="85">
        <f t="shared" ca="1" si="148"/>
        <v>430.02631932624155</v>
      </c>
      <c r="AV113" s="85">
        <f t="shared" ca="1" si="149"/>
        <v>413.64694630609347</v>
      </c>
      <c r="AW113" s="85">
        <f t="shared" ca="1" si="150"/>
        <v>399.03668745738867</v>
      </c>
      <c r="AX113" s="85">
        <f t="shared" ca="1" si="151"/>
        <v>497.37889571670655</v>
      </c>
      <c r="AY113" s="85">
        <f t="shared" ca="1" si="152"/>
        <v>467.51928507612894</v>
      </c>
      <c r="AZ113" s="85">
        <f t="shared" ca="1" si="153"/>
        <v>410.02287743474068</v>
      </c>
      <c r="BA113" s="85">
        <f t="shared" ca="1" si="154"/>
        <v>440.25509046655134</v>
      </c>
      <c r="BB113" s="85">
        <f t="shared" ca="1" si="155"/>
        <v>391.95153791327209</v>
      </c>
      <c r="BC113" s="85">
        <f t="shared" ca="1" si="156"/>
        <v>423.54554669845675</v>
      </c>
      <c r="BD113" s="85">
        <f t="shared" ca="1" si="157"/>
        <v>421.3289865965458</v>
      </c>
      <c r="BE113" s="85">
        <f t="shared" ca="1" si="158"/>
        <v>382.83443406912232</v>
      </c>
      <c r="BF113" s="85">
        <f t="shared" ca="1" si="159"/>
        <v>430.29593463074826</v>
      </c>
      <c r="BG113" s="85">
        <f t="shared" ca="1" si="160"/>
        <v>374.70817678432098</v>
      </c>
      <c r="BH113" s="85">
        <f t="shared" ca="1" si="161"/>
        <v>419.40213605932428</v>
      </c>
      <c r="BI113" s="85">
        <f t="shared" ca="1" si="162"/>
        <v>391.66474975510732</v>
      </c>
      <c r="BJ113" s="85">
        <f t="shared" ca="1" si="163"/>
        <v>432.29068135217443</v>
      </c>
      <c r="BK113" s="85">
        <f t="shared" ca="1" si="164"/>
        <v>422.91048815289673</v>
      </c>
      <c r="BL113" s="85">
        <f t="shared" ca="1" si="165"/>
        <v>410.90367817349505</v>
      </c>
      <c r="BM113" s="85">
        <f t="shared" ca="1" si="166"/>
        <v>368.77828871017084</v>
      </c>
      <c r="BN113" s="85">
        <f t="shared" ca="1" si="103"/>
        <v>472.59951761885446</v>
      </c>
      <c r="BO113" s="85">
        <f t="shared" ca="1" si="192"/>
        <v>501.90384982531032</v>
      </c>
      <c r="BP113" s="85">
        <f t="shared" ca="1" si="193"/>
        <v>371.01843662847625</v>
      </c>
      <c r="BQ113" s="85">
        <f t="shared" ca="1" si="194"/>
        <v>397.5170924002739</v>
      </c>
      <c r="BR113" s="85">
        <f t="shared" ca="1" si="195"/>
        <v>388.14308285905065</v>
      </c>
      <c r="BS113" s="85">
        <f t="shared" ca="1" si="196"/>
        <v>419.62638662290243</v>
      </c>
      <c r="BT113" s="85">
        <f t="shared" ca="1" si="197"/>
        <v>451.86726443655562</v>
      </c>
      <c r="BU113" s="85">
        <f t="shared" ca="1" si="198"/>
        <v>450.11906317275128</v>
      </c>
      <c r="BV113" s="85">
        <f t="shared" ca="1" si="199"/>
        <v>421.6121175657554</v>
      </c>
      <c r="BW113" s="85">
        <f t="shared" ca="1" si="200"/>
        <v>455.02819462315301</v>
      </c>
      <c r="BX113" s="85">
        <f t="shared" ca="1" si="201"/>
        <v>427.48162846190132</v>
      </c>
      <c r="BY113" s="85">
        <f t="shared" ca="1" si="167"/>
        <v>416.8184438034757</v>
      </c>
      <c r="BZ113" s="85">
        <f t="shared" ca="1" si="168"/>
        <v>421.92425364725005</v>
      </c>
      <c r="CA113" s="85">
        <f t="shared" ca="1" si="169"/>
        <v>409.19007788982293</v>
      </c>
      <c r="CB113" s="85">
        <f t="shared" ca="1" si="170"/>
        <v>398.19731919857117</v>
      </c>
      <c r="CC113" s="85">
        <f t="shared" ca="1" si="171"/>
        <v>434.06438834580592</v>
      </c>
      <c r="CD113" s="85">
        <f t="shared" ca="1" si="172"/>
        <v>488.46478632836056</v>
      </c>
      <c r="CE113" s="85">
        <f t="shared" ca="1" si="173"/>
        <v>375.78999815626662</v>
      </c>
      <c r="CF113" s="85">
        <f t="shared" ca="1" si="174"/>
        <v>461.03815836623102</v>
      </c>
      <c r="CG113" s="85">
        <f t="shared" ca="1" si="175"/>
        <v>390.02449821604665</v>
      </c>
      <c r="CH113" s="85">
        <f t="shared" ca="1" si="176"/>
        <v>443.07076899995752</v>
      </c>
      <c r="CI113" s="85">
        <f t="shared" ca="1" si="177"/>
        <v>440.30924703464319</v>
      </c>
      <c r="CJ113" s="85">
        <f t="shared" ca="1" si="178"/>
        <v>405.56723390191195</v>
      </c>
      <c r="CK113" s="85">
        <f t="shared" ca="1" si="179"/>
        <v>421.13215733503461</v>
      </c>
      <c r="CL113" s="85">
        <f t="shared" ca="1" si="180"/>
        <v>403.27733397132772</v>
      </c>
      <c r="CM113" s="85">
        <f t="shared" ca="1" si="181"/>
        <v>454.49545124530601</v>
      </c>
      <c r="CN113" s="85">
        <f t="shared" ca="1" si="182"/>
        <v>395.10804235398501</v>
      </c>
      <c r="CO113" s="85">
        <f t="shared" ca="1" si="183"/>
        <v>392.97442982156036</v>
      </c>
      <c r="CP113" s="85">
        <f t="shared" ca="1" si="184"/>
        <v>499.42427930319417</v>
      </c>
      <c r="CQ113" s="85">
        <f t="shared" ca="1" si="185"/>
        <v>432.3646994851282</v>
      </c>
      <c r="CR113" s="85">
        <f t="shared" ca="1" si="186"/>
        <v>460.75148247984572</v>
      </c>
      <c r="CS113" s="85">
        <f t="shared" ca="1" si="187"/>
        <v>361.26153466450705</v>
      </c>
      <c r="CT113" s="85">
        <f t="shared" ca="1" si="188"/>
        <v>429.73497623327575</v>
      </c>
      <c r="CU113" s="85">
        <f t="shared" ca="1" si="189"/>
        <v>520.09552986961421</v>
      </c>
      <c r="CV113" s="85">
        <f t="shared" ca="1" si="190"/>
        <v>376.722465483512</v>
      </c>
      <c r="CW113" s="85">
        <f t="shared" ca="1" si="191"/>
        <v>375.12503668459743</v>
      </c>
    </row>
    <row r="114" spans="1:101" x14ac:dyDescent="0.2">
      <c r="A114" s="115">
        <v>111</v>
      </c>
      <c r="B114" s="85">
        <f t="shared" ca="1" si="102"/>
        <v>367.32746196392452</v>
      </c>
      <c r="C114" s="85">
        <f t="shared" ca="1" si="104"/>
        <v>407.3260888141042</v>
      </c>
      <c r="D114" s="85">
        <f t="shared" ca="1" si="105"/>
        <v>389.16135780864363</v>
      </c>
      <c r="E114" s="85">
        <f t="shared" ca="1" si="106"/>
        <v>389.0122715760283</v>
      </c>
      <c r="F114" s="85">
        <f t="shared" ca="1" si="107"/>
        <v>400.13021310435505</v>
      </c>
      <c r="G114" s="85">
        <f t="shared" ca="1" si="108"/>
        <v>432.3191095557487</v>
      </c>
      <c r="H114" s="85">
        <f t="shared" ca="1" si="109"/>
        <v>420.62824049397022</v>
      </c>
      <c r="I114" s="85">
        <f t="shared" ca="1" si="110"/>
        <v>426.00191998948031</v>
      </c>
      <c r="J114" s="85">
        <f t="shared" ca="1" si="111"/>
        <v>438.06184494551621</v>
      </c>
      <c r="K114" s="85">
        <f t="shared" ca="1" si="112"/>
        <v>428.73315426374711</v>
      </c>
      <c r="L114" s="85">
        <f t="shared" ca="1" si="113"/>
        <v>472.40493510371977</v>
      </c>
      <c r="M114" s="85">
        <f t="shared" ca="1" si="114"/>
        <v>341.92031378346582</v>
      </c>
      <c r="N114" s="85">
        <f t="shared" ca="1" si="115"/>
        <v>408.80242931885329</v>
      </c>
      <c r="O114" s="85">
        <f t="shared" ca="1" si="116"/>
        <v>414.07322438434153</v>
      </c>
      <c r="P114" s="85">
        <f t="shared" ca="1" si="117"/>
        <v>420.69732943961731</v>
      </c>
      <c r="Q114" s="85">
        <f t="shared" ca="1" si="118"/>
        <v>430.53689047374758</v>
      </c>
      <c r="R114" s="85">
        <f t="shared" ca="1" si="119"/>
        <v>394.93996124253164</v>
      </c>
      <c r="S114" s="85">
        <f t="shared" ca="1" si="120"/>
        <v>444.3984218333448</v>
      </c>
      <c r="T114" s="85">
        <f t="shared" ca="1" si="121"/>
        <v>419.72452152196723</v>
      </c>
      <c r="U114" s="85">
        <f t="shared" ca="1" si="122"/>
        <v>378.84115848212662</v>
      </c>
      <c r="V114" s="85">
        <f t="shared" ca="1" si="123"/>
        <v>453.10974925477325</v>
      </c>
      <c r="W114" s="85">
        <f t="shared" ca="1" si="124"/>
        <v>422.49445539600111</v>
      </c>
      <c r="X114" s="85">
        <f t="shared" ca="1" si="125"/>
        <v>424.40056405680843</v>
      </c>
      <c r="Y114" s="85">
        <f t="shared" ca="1" si="126"/>
        <v>385.96570528514513</v>
      </c>
      <c r="Z114" s="85">
        <f t="shared" ca="1" si="127"/>
        <v>410.64454118828718</v>
      </c>
      <c r="AA114" s="85">
        <f t="shared" ca="1" si="128"/>
        <v>398.2791696518434</v>
      </c>
      <c r="AB114" s="85">
        <f t="shared" ca="1" si="129"/>
        <v>483.77887316838888</v>
      </c>
      <c r="AC114" s="85">
        <f t="shared" ca="1" si="130"/>
        <v>415.01827565118737</v>
      </c>
      <c r="AD114" s="85">
        <f t="shared" ca="1" si="131"/>
        <v>489.65085304369404</v>
      </c>
      <c r="AE114" s="85">
        <f t="shared" ca="1" si="132"/>
        <v>550.23941888041259</v>
      </c>
      <c r="AF114" s="85">
        <f t="shared" ca="1" si="133"/>
        <v>398.4310257196654</v>
      </c>
      <c r="AG114" s="85">
        <f t="shared" ca="1" si="134"/>
        <v>425.30131698380336</v>
      </c>
      <c r="AH114" s="85">
        <f t="shared" ca="1" si="135"/>
        <v>373.35082177098968</v>
      </c>
      <c r="AI114" s="85">
        <f t="shared" ca="1" si="136"/>
        <v>456.60490643976004</v>
      </c>
      <c r="AJ114" s="85">
        <f t="shared" ca="1" si="137"/>
        <v>506.59974743293708</v>
      </c>
      <c r="AK114" s="85">
        <f t="shared" ca="1" si="138"/>
        <v>446.87936378423285</v>
      </c>
      <c r="AL114" s="85">
        <f t="shared" ca="1" si="139"/>
        <v>453.16985930369702</v>
      </c>
      <c r="AM114" s="85">
        <f t="shared" ca="1" si="140"/>
        <v>412.78712220729119</v>
      </c>
      <c r="AN114" s="85">
        <f t="shared" ca="1" si="141"/>
        <v>464.94980610288854</v>
      </c>
      <c r="AO114" s="85">
        <f t="shared" ca="1" si="142"/>
        <v>479.6557963990623</v>
      </c>
      <c r="AP114" s="85">
        <f t="shared" ca="1" si="143"/>
        <v>469.42738913504473</v>
      </c>
      <c r="AQ114" s="85">
        <f t="shared" ca="1" si="144"/>
        <v>391.77072144862876</v>
      </c>
      <c r="AR114" s="85">
        <f t="shared" ca="1" si="145"/>
        <v>421.11124473304432</v>
      </c>
      <c r="AS114" s="85">
        <f t="shared" ca="1" si="146"/>
        <v>406.35778798896428</v>
      </c>
      <c r="AT114" s="85">
        <f t="shared" ca="1" si="147"/>
        <v>463.94968529378292</v>
      </c>
      <c r="AU114" s="85">
        <f t="shared" ca="1" si="148"/>
        <v>433.92414226800076</v>
      </c>
      <c r="AV114" s="85">
        <f t="shared" ca="1" si="149"/>
        <v>417.17029515987451</v>
      </c>
      <c r="AW114" s="85">
        <f t="shared" ca="1" si="150"/>
        <v>408.32212610234421</v>
      </c>
      <c r="AX114" s="85">
        <f t="shared" ca="1" si="151"/>
        <v>503.16840427959767</v>
      </c>
      <c r="AY114" s="85">
        <f t="shared" ca="1" si="152"/>
        <v>474.48713214686944</v>
      </c>
      <c r="AZ114" s="85">
        <f t="shared" ca="1" si="153"/>
        <v>413.17267644979449</v>
      </c>
      <c r="BA114" s="85">
        <f t="shared" ca="1" si="154"/>
        <v>452.24222484341027</v>
      </c>
      <c r="BB114" s="85">
        <f t="shared" ca="1" si="155"/>
        <v>397.14276970502743</v>
      </c>
      <c r="BC114" s="85">
        <f t="shared" ca="1" si="156"/>
        <v>428.83535092106769</v>
      </c>
      <c r="BD114" s="85">
        <f t="shared" ca="1" si="157"/>
        <v>430.10439830030197</v>
      </c>
      <c r="BE114" s="85">
        <f t="shared" ca="1" si="158"/>
        <v>389.28924499528858</v>
      </c>
      <c r="BF114" s="85">
        <f t="shared" ca="1" si="159"/>
        <v>438.86682675975374</v>
      </c>
      <c r="BG114" s="85">
        <f t="shared" ca="1" si="160"/>
        <v>376.76421877819587</v>
      </c>
      <c r="BH114" s="85">
        <f t="shared" ca="1" si="161"/>
        <v>432.53748346372385</v>
      </c>
      <c r="BI114" s="85">
        <f t="shared" ca="1" si="162"/>
        <v>399.08448207116305</v>
      </c>
      <c r="BJ114" s="85">
        <f t="shared" ca="1" si="163"/>
        <v>440.64010495387629</v>
      </c>
      <c r="BK114" s="85">
        <f t="shared" ca="1" si="164"/>
        <v>423.24430260718248</v>
      </c>
      <c r="BL114" s="85">
        <f t="shared" ca="1" si="165"/>
        <v>418.14263557064243</v>
      </c>
      <c r="BM114" s="85">
        <f t="shared" ca="1" si="166"/>
        <v>373.20026463013772</v>
      </c>
      <c r="BN114" s="85">
        <f t="shared" ca="1" si="103"/>
        <v>481.90061962616483</v>
      </c>
      <c r="BO114" s="85">
        <f t="shared" ca="1" si="192"/>
        <v>505.61793332413998</v>
      </c>
      <c r="BP114" s="85">
        <f t="shared" ca="1" si="193"/>
        <v>378.29830023509498</v>
      </c>
      <c r="BQ114" s="85">
        <f t="shared" ca="1" si="194"/>
        <v>400.06641984686274</v>
      </c>
      <c r="BR114" s="85">
        <f t="shared" ca="1" si="195"/>
        <v>397.59314988098839</v>
      </c>
      <c r="BS114" s="85">
        <f t="shared" ca="1" si="196"/>
        <v>428.8996987823358</v>
      </c>
      <c r="BT114" s="85">
        <f t="shared" ca="1" si="197"/>
        <v>459.69029067875584</v>
      </c>
      <c r="BU114" s="85">
        <f t="shared" ca="1" si="198"/>
        <v>455.67619710191155</v>
      </c>
      <c r="BV114" s="85">
        <f t="shared" ca="1" si="199"/>
        <v>428.40406326824308</v>
      </c>
      <c r="BW114" s="85">
        <f t="shared" ca="1" si="200"/>
        <v>461.6165846696145</v>
      </c>
      <c r="BX114" s="85">
        <f t="shared" ca="1" si="201"/>
        <v>433.35814010827522</v>
      </c>
      <c r="BY114" s="85">
        <f t="shared" ca="1" si="167"/>
        <v>422.42469584006295</v>
      </c>
      <c r="BZ114" s="85">
        <f t="shared" ca="1" si="168"/>
        <v>425.43955032406069</v>
      </c>
      <c r="CA114" s="85">
        <f t="shared" ca="1" si="169"/>
        <v>411.99278841009254</v>
      </c>
      <c r="CB114" s="85">
        <f t="shared" ca="1" si="170"/>
        <v>403.41679452826025</v>
      </c>
      <c r="CC114" s="85">
        <f t="shared" ca="1" si="171"/>
        <v>439.08695124068828</v>
      </c>
      <c r="CD114" s="85">
        <f t="shared" ca="1" si="172"/>
        <v>493.56040763223911</v>
      </c>
      <c r="CE114" s="85">
        <f t="shared" ca="1" si="173"/>
        <v>383.99061778319407</v>
      </c>
      <c r="CF114" s="85">
        <f t="shared" ca="1" si="174"/>
        <v>471.15269934630129</v>
      </c>
      <c r="CG114" s="85">
        <f t="shared" ca="1" si="175"/>
        <v>398.11168475249139</v>
      </c>
      <c r="CH114" s="85">
        <f t="shared" ca="1" si="176"/>
        <v>454.75436083181302</v>
      </c>
      <c r="CI114" s="85">
        <f t="shared" ca="1" si="177"/>
        <v>440.35618306136007</v>
      </c>
      <c r="CJ114" s="85">
        <f t="shared" ca="1" si="178"/>
        <v>409.13699055704689</v>
      </c>
      <c r="CK114" s="85">
        <f t="shared" ca="1" si="179"/>
        <v>428.71174090182097</v>
      </c>
      <c r="CL114" s="85">
        <f t="shared" ca="1" si="180"/>
        <v>406.54428391390138</v>
      </c>
      <c r="CM114" s="85">
        <f t="shared" ca="1" si="181"/>
        <v>457.32811746710638</v>
      </c>
      <c r="CN114" s="85">
        <f t="shared" ca="1" si="182"/>
        <v>398.30475197869771</v>
      </c>
      <c r="CO114" s="85">
        <f t="shared" ca="1" si="183"/>
        <v>393.20591836956953</v>
      </c>
      <c r="CP114" s="85">
        <f t="shared" ca="1" si="184"/>
        <v>509.48230067627662</v>
      </c>
      <c r="CQ114" s="85">
        <f t="shared" ca="1" si="185"/>
        <v>432.11681621588917</v>
      </c>
      <c r="CR114" s="85">
        <f t="shared" ca="1" si="186"/>
        <v>464.49982523909387</v>
      </c>
      <c r="CS114" s="85">
        <f t="shared" ca="1" si="187"/>
        <v>364.37530849024455</v>
      </c>
      <c r="CT114" s="85">
        <f t="shared" ca="1" si="188"/>
        <v>437.55811518383047</v>
      </c>
      <c r="CU114" s="85">
        <f t="shared" ca="1" si="189"/>
        <v>527.77969769497986</v>
      </c>
      <c r="CV114" s="85">
        <f t="shared" ca="1" si="190"/>
        <v>384.09952914549433</v>
      </c>
      <c r="CW114" s="85">
        <f t="shared" ca="1" si="191"/>
        <v>381.75804779115083</v>
      </c>
    </row>
    <row r="115" spans="1:101" x14ac:dyDescent="0.2">
      <c r="A115" s="115">
        <v>112</v>
      </c>
      <c r="B115" s="85">
        <f t="shared" ca="1" si="102"/>
        <v>377.4409828520009</v>
      </c>
      <c r="C115" s="85">
        <f t="shared" ca="1" si="104"/>
        <v>412.39054086778367</v>
      </c>
      <c r="D115" s="85">
        <f t="shared" ca="1" si="105"/>
        <v>401.39722784103367</v>
      </c>
      <c r="E115" s="85">
        <f t="shared" ca="1" si="106"/>
        <v>393.4654298283167</v>
      </c>
      <c r="F115" s="85">
        <f t="shared" ca="1" si="107"/>
        <v>398.73789752700333</v>
      </c>
      <c r="G115" s="85">
        <f t="shared" ca="1" si="108"/>
        <v>439.79496307721206</v>
      </c>
      <c r="H115" s="85">
        <f t="shared" ca="1" si="109"/>
        <v>423.14193475979602</v>
      </c>
      <c r="I115" s="85">
        <f t="shared" ca="1" si="110"/>
        <v>431.86616180353622</v>
      </c>
      <c r="J115" s="85">
        <f t="shared" ca="1" si="111"/>
        <v>440.12514117441799</v>
      </c>
      <c r="K115" s="85">
        <f t="shared" ca="1" si="112"/>
        <v>436.77276771987664</v>
      </c>
      <c r="L115" s="85">
        <f t="shared" ca="1" si="113"/>
        <v>475.92771277339534</v>
      </c>
      <c r="M115" s="85">
        <f t="shared" ca="1" si="114"/>
        <v>347.59732597005222</v>
      </c>
      <c r="N115" s="85">
        <f t="shared" ca="1" si="115"/>
        <v>411.616899962986</v>
      </c>
      <c r="O115" s="85">
        <f t="shared" ca="1" si="116"/>
        <v>414.18873516862521</v>
      </c>
      <c r="P115" s="85">
        <f t="shared" ca="1" si="117"/>
        <v>422.71961768930561</v>
      </c>
      <c r="Q115" s="85">
        <f t="shared" ca="1" si="118"/>
        <v>439.64059644589452</v>
      </c>
      <c r="R115" s="85">
        <f t="shared" ca="1" si="119"/>
        <v>399.01995760771064</v>
      </c>
      <c r="S115" s="85">
        <f t="shared" ca="1" si="120"/>
        <v>448.17254133286519</v>
      </c>
      <c r="T115" s="85">
        <f t="shared" ca="1" si="121"/>
        <v>427.29822551283559</v>
      </c>
      <c r="U115" s="85">
        <f t="shared" ca="1" si="122"/>
        <v>386.54538585991975</v>
      </c>
      <c r="V115" s="85">
        <f t="shared" ca="1" si="123"/>
        <v>457.38435896906878</v>
      </c>
      <c r="W115" s="85">
        <f t="shared" ca="1" si="124"/>
        <v>427.98590262600766</v>
      </c>
      <c r="X115" s="85">
        <f t="shared" ca="1" si="125"/>
        <v>428.67056179266217</v>
      </c>
      <c r="Y115" s="85">
        <f t="shared" ca="1" si="126"/>
        <v>391.42250805246584</v>
      </c>
      <c r="Z115" s="85">
        <f t="shared" ca="1" si="127"/>
        <v>411.22618573621486</v>
      </c>
      <c r="AA115" s="85">
        <f t="shared" ca="1" si="128"/>
        <v>405.95050499745975</v>
      </c>
      <c r="AB115" s="85">
        <f t="shared" ca="1" si="129"/>
        <v>487.7092270221226</v>
      </c>
      <c r="AC115" s="85">
        <f t="shared" ca="1" si="130"/>
        <v>422.63027393533076</v>
      </c>
      <c r="AD115" s="85">
        <f t="shared" ca="1" si="131"/>
        <v>502.31229507982863</v>
      </c>
      <c r="AE115" s="85">
        <f t="shared" ca="1" si="132"/>
        <v>560.60311440698604</v>
      </c>
      <c r="AF115" s="85">
        <f t="shared" ca="1" si="133"/>
        <v>400.20138239847029</v>
      </c>
      <c r="AG115" s="85">
        <f t="shared" ca="1" si="134"/>
        <v>433.35872763424942</v>
      </c>
      <c r="AH115" s="85">
        <f t="shared" ca="1" si="135"/>
        <v>378.12329989707206</v>
      </c>
      <c r="AI115" s="85">
        <f t="shared" ca="1" si="136"/>
        <v>458.75319432384663</v>
      </c>
      <c r="AJ115" s="85">
        <f t="shared" ca="1" si="137"/>
        <v>511.09265519306007</v>
      </c>
      <c r="AK115" s="85">
        <f t="shared" ca="1" si="138"/>
        <v>454.0948624034778</v>
      </c>
      <c r="AL115" s="85">
        <f t="shared" ca="1" si="139"/>
        <v>457.9894726261532</v>
      </c>
      <c r="AM115" s="85">
        <f t="shared" ca="1" si="140"/>
        <v>415.38851875879664</v>
      </c>
      <c r="AN115" s="85">
        <f t="shared" ca="1" si="141"/>
        <v>467.31964226205469</v>
      </c>
      <c r="AO115" s="85">
        <f t="shared" ca="1" si="142"/>
        <v>488.30780179369322</v>
      </c>
      <c r="AP115" s="85">
        <f t="shared" ca="1" si="143"/>
        <v>474.82649338062498</v>
      </c>
      <c r="AQ115" s="85">
        <f t="shared" ca="1" si="144"/>
        <v>398.88016613479101</v>
      </c>
      <c r="AR115" s="85">
        <f t="shared" ca="1" si="145"/>
        <v>429.14491649195645</v>
      </c>
      <c r="AS115" s="85">
        <f t="shared" ca="1" si="146"/>
        <v>410.13750383087546</v>
      </c>
      <c r="AT115" s="85">
        <f t="shared" ca="1" si="147"/>
        <v>466.4744588488698</v>
      </c>
      <c r="AU115" s="85">
        <f t="shared" ca="1" si="148"/>
        <v>439.7335043895747</v>
      </c>
      <c r="AV115" s="85">
        <f t="shared" ca="1" si="149"/>
        <v>425.69926020720015</v>
      </c>
      <c r="AW115" s="85">
        <f t="shared" ca="1" si="150"/>
        <v>414.61304798028419</v>
      </c>
      <c r="AX115" s="85">
        <f t="shared" ca="1" si="151"/>
        <v>505.17758616999458</v>
      </c>
      <c r="AY115" s="85">
        <f t="shared" ca="1" si="152"/>
        <v>480.46532678724191</v>
      </c>
      <c r="AZ115" s="85">
        <f t="shared" ca="1" si="153"/>
        <v>421.69645830743968</v>
      </c>
      <c r="BA115" s="85">
        <f t="shared" ca="1" si="154"/>
        <v>457.60966255470487</v>
      </c>
      <c r="BB115" s="85">
        <f t="shared" ca="1" si="155"/>
        <v>408.22074089237384</v>
      </c>
      <c r="BC115" s="85">
        <f t="shared" ca="1" si="156"/>
        <v>432.72382160251135</v>
      </c>
      <c r="BD115" s="85">
        <f t="shared" ca="1" si="157"/>
        <v>435.18863918178488</v>
      </c>
      <c r="BE115" s="85">
        <f t="shared" ca="1" si="158"/>
        <v>391.43806813259624</v>
      </c>
      <c r="BF115" s="85">
        <f t="shared" ca="1" si="159"/>
        <v>438.9688250266218</v>
      </c>
      <c r="BG115" s="85">
        <f t="shared" ca="1" si="160"/>
        <v>384.9463782087704</v>
      </c>
      <c r="BH115" s="85">
        <f t="shared" ca="1" si="161"/>
        <v>436.54779222432956</v>
      </c>
      <c r="BI115" s="85">
        <f t="shared" ca="1" si="162"/>
        <v>406.42982472246979</v>
      </c>
      <c r="BJ115" s="85">
        <f t="shared" ca="1" si="163"/>
        <v>441.12602438349376</v>
      </c>
      <c r="BK115" s="85">
        <f t="shared" ca="1" si="164"/>
        <v>429.62140115688288</v>
      </c>
      <c r="BL115" s="85">
        <f t="shared" ca="1" si="165"/>
        <v>416.74643432202322</v>
      </c>
      <c r="BM115" s="85">
        <f t="shared" ca="1" si="166"/>
        <v>379.80257012559611</v>
      </c>
      <c r="BN115" s="85">
        <f t="shared" ca="1" si="103"/>
        <v>482.14274702334865</v>
      </c>
      <c r="BO115" s="85">
        <f t="shared" ca="1" si="192"/>
        <v>508.76814886976109</v>
      </c>
      <c r="BP115" s="85">
        <f t="shared" ca="1" si="193"/>
        <v>382.36105964110402</v>
      </c>
      <c r="BQ115" s="85">
        <f t="shared" ca="1" si="194"/>
        <v>405.90009492999445</v>
      </c>
      <c r="BR115" s="85">
        <f t="shared" ca="1" si="195"/>
        <v>401.083433894385</v>
      </c>
      <c r="BS115" s="85">
        <f t="shared" ca="1" si="196"/>
        <v>434.41435576055369</v>
      </c>
      <c r="BT115" s="85">
        <f t="shared" ca="1" si="197"/>
        <v>463.40219780012637</v>
      </c>
      <c r="BU115" s="85">
        <f t="shared" ca="1" si="198"/>
        <v>460.87243963112758</v>
      </c>
      <c r="BV115" s="85">
        <f t="shared" ca="1" si="199"/>
        <v>428.64966598137033</v>
      </c>
      <c r="BW115" s="85">
        <f t="shared" ca="1" si="200"/>
        <v>469.52871574397147</v>
      </c>
      <c r="BX115" s="85">
        <f t="shared" ca="1" si="201"/>
        <v>437.7459236624851</v>
      </c>
      <c r="BY115" s="85">
        <f t="shared" ca="1" si="167"/>
        <v>427.50897504912479</v>
      </c>
      <c r="BZ115" s="85">
        <f t="shared" ca="1" si="168"/>
        <v>429.70620774138871</v>
      </c>
      <c r="CA115" s="85">
        <f t="shared" ca="1" si="169"/>
        <v>420.89222253648171</v>
      </c>
      <c r="CB115" s="85">
        <f t="shared" ca="1" si="170"/>
        <v>409.89533154858776</v>
      </c>
      <c r="CC115" s="85">
        <f t="shared" ca="1" si="171"/>
        <v>438.93061722585338</v>
      </c>
      <c r="CD115" s="85">
        <f t="shared" ca="1" si="172"/>
        <v>499.40682397163675</v>
      </c>
      <c r="CE115" s="85">
        <f t="shared" ca="1" si="173"/>
        <v>386.33956622915747</v>
      </c>
      <c r="CF115" s="85">
        <f t="shared" ca="1" si="174"/>
        <v>479.02878404054093</v>
      </c>
      <c r="CG115" s="85">
        <f t="shared" ca="1" si="175"/>
        <v>399.44782624385067</v>
      </c>
      <c r="CH115" s="85">
        <f t="shared" ca="1" si="176"/>
        <v>462.10914950871819</v>
      </c>
      <c r="CI115" s="85">
        <f t="shared" ca="1" si="177"/>
        <v>444.45015502982625</v>
      </c>
      <c r="CJ115" s="85">
        <f t="shared" ca="1" si="178"/>
        <v>415.47811324858139</v>
      </c>
      <c r="CK115" s="85">
        <f t="shared" ca="1" si="179"/>
        <v>435.93619852586068</v>
      </c>
      <c r="CL115" s="85">
        <f t="shared" ca="1" si="180"/>
        <v>409.83815052470197</v>
      </c>
      <c r="CM115" s="85">
        <f t="shared" ca="1" si="181"/>
        <v>464.26309607456454</v>
      </c>
      <c r="CN115" s="85">
        <f t="shared" ca="1" si="182"/>
        <v>405.19728947119046</v>
      </c>
      <c r="CO115" s="85">
        <f t="shared" ca="1" si="183"/>
        <v>399.12195524656465</v>
      </c>
      <c r="CP115" s="85">
        <f t="shared" ca="1" si="184"/>
        <v>515.27721014579777</v>
      </c>
      <c r="CQ115" s="85">
        <f t="shared" ca="1" si="185"/>
        <v>436.50021570822048</v>
      </c>
      <c r="CR115" s="85">
        <f t="shared" ca="1" si="186"/>
        <v>472.0883877026647</v>
      </c>
      <c r="CS115" s="85">
        <f t="shared" ca="1" si="187"/>
        <v>369.4947536489488</v>
      </c>
      <c r="CT115" s="85">
        <f t="shared" ca="1" si="188"/>
        <v>444.76093685619372</v>
      </c>
      <c r="CU115" s="85">
        <f t="shared" ca="1" si="189"/>
        <v>530.59178605899331</v>
      </c>
      <c r="CV115" s="85">
        <f t="shared" ca="1" si="190"/>
        <v>391.36680789606095</v>
      </c>
      <c r="CW115" s="85">
        <f t="shared" ca="1" si="191"/>
        <v>391.15802070311514</v>
      </c>
    </row>
    <row r="116" spans="1:101" x14ac:dyDescent="0.2">
      <c r="A116" s="115">
        <v>113</v>
      </c>
      <c r="B116" s="85">
        <f t="shared" ca="1" si="102"/>
        <v>380.57113445674162</v>
      </c>
      <c r="C116" s="85">
        <f t="shared" ca="1" si="104"/>
        <v>418.3227285779239</v>
      </c>
      <c r="D116" s="85">
        <f t="shared" ca="1" si="105"/>
        <v>401.37219675033612</v>
      </c>
      <c r="E116" s="85">
        <f t="shared" ca="1" si="106"/>
        <v>405.30603188921884</v>
      </c>
      <c r="F116" s="85">
        <f t="shared" ca="1" si="107"/>
        <v>400.93180714443213</v>
      </c>
      <c r="G116" s="85">
        <f t="shared" ca="1" si="108"/>
        <v>445.07701520908648</v>
      </c>
      <c r="H116" s="85">
        <f t="shared" ca="1" si="109"/>
        <v>427.98821938538623</v>
      </c>
      <c r="I116" s="85">
        <f t="shared" ca="1" si="110"/>
        <v>444.23993002764894</v>
      </c>
      <c r="J116" s="85">
        <f t="shared" ca="1" si="111"/>
        <v>445.46044534521332</v>
      </c>
      <c r="K116" s="85">
        <f t="shared" ca="1" si="112"/>
        <v>441.43303728472682</v>
      </c>
      <c r="L116" s="85">
        <f t="shared" ca="1" si="113"/>
        <v>483.63391297446026</v>
      </c>
      <c r="M116" s="85">
        <f t="shared" ca="1" si="114"/>
        <v>352.63717102857379</v>
      </c>
      <c r="N116" s="85">
        <f t="shared" ca="1" si="115"/>
        <v>419.50903674691455</v>
      </c>
      <c r="O116" s="85">
        <f t="shared" ca="1" si="116"/>
        <v>421.01961813130293</v>
      </c>
      <c r="P116" s="85">
        <f t="shared" ca="1" si="117"/>
        <v>427.3683172530761</v>
      </c>
      <c r="Q116" s="85">
        <f t="shared" ca="1" si="118"/>
        <v>453.3380705172799</v>
      </c>
      <c r="R116" s="85">
        <f t="shared" ca="1" si="119"/>
        <v>403.81927937301981</v>
      </c>
      <c r="S116" s="85">
        <f t="shared" ca="1" si="120"/>
        <v>459.65385696895697</v>
      </c>
      <c r="T116" s="85">
        <f t="shared" ca="1" si="121"/>
        <v>424.99243581086478</v>
      </c>
      <c r="U116" s="85">
        <f t="shared" ca="1" si="122"/>
        <v>391.66074861795499</v>
      </c>
      <c r="V116" s="85">
        <f t="shared" ca="1" si="123"/>
        <v>463.28576961472788</v>
      </c>
      <c r="W116" s="85">
        <f t="shared" ca="1" si="124"/>
        <v>431.37579505396747</v>
      </c>
      <c r="X116" s="85">
        <f t="shared" ca="1" si="125"/>
        <v>434.29690867855214</v>
      </c>
      <c r="Y116" s="85">
        <f t="shared" ca="1" si="126"/>
        <v>392.11217832564495</v>
      </c>
      <c r="Z116" s="85">
        <f t="shared" ca="1" si="127"/>
        <v>417.72876648295727</v>
      </c>
      <c r="AA116" s="85">
        <f t="shared" ca="1" si="128"/>
        <v>410.13434154606517</v>
      </c>
      <c r="AB116" s="85">
        <f t="shared" ca="1" si="129"/>
        <v>491.59225530896526</v>
      </c>
      <c r="AC116" s="85">
        <f t="shared" ca="1" si="130"/>
        <v>426.62512307687774</v>
      </c>
      <c r="AD116" s="85">
        <f t="shared" ca="1" si="131"/>
        <v>511.93529614461801</v>
      </c>
      <c r="AE116" s="85">
        <f t="shared" ca="1" si="132"/>
        <v>575.77037208980164</v>
      </c>
      <c r="AF116" s="85">
        <f t="shared" ca="1" si="133"/>
        <v>409.06149686025515</v>
      </c>
      <c r="AG116" s="85">
        <f t="shared" ca="1" si="134"/>
        <v>434.01415034390459</v>
      </c>
      <c r="AH116" s="85">
        <f t="shared" ca="1" si="135"/>
        <v>386.92964963160154</v>
      </c>
      <c r="AI116" s="85">
        <f t="shared" ca="1" si="136"/>
        <v>463.79126893912655</v>
      </c>
      <c r="AJ116" s="85">
        <f t="shared" ca="1" si="137"/>
        <v>515.65036067530787</v>
      </c>
      <c r="AK116" s="85">
        <f t="shared" ca="1" si="138"/>
        <v>460.28899215726733</v>
      </c>
      <c r="AL116" s="85">
        <f t="shared" ca="1" si="139"/>
        <v>463.9860827887473</v>
      </c>
      <c r="AM116" s="85">
        <f t="shared" ca="1" si="140"/>
        <v>415.62736266571358</v>
      </c>
      <c r="AN116" s="85">
        <f t="shared" ca="1" si="141"/>
        <v>468.03047395143403</v>
      </c>
      <c r="AO116" s="85">
        <f t="shared" ca="1" si="142"/>
        <v>497.77039163510381</v>
      </c>
      <c r="AP116" s="85">
        <f t="shared" ca="1" si="143"/>
        <v>483.08618162092</v>
      </c>
      <c r="AQ116" s="85">
        <f t="shared" ca="1" si="144"/>
        <v>403.67936628385348</v>
      </c>
      <c r="AR116" s="85">
        <f t="shared" ca="1" si="145"/>
        <v>438.22509789549866</v>
      </c>
      <c r="AS116" s="85">
        <f t="shared" ca="1" si="146"/>
        <v>416.27436037489247</v>
      </c>
      <c r="AT116" s="85">
        <f t="shared" ca="1" si="147"/>
        <v>468.53272949505174</v>
      </c>
      <c r="AU116" s="85">
        <f t="shared" ca="1" si="148"/>
        <v>439.74925173805775</v>
      </c>
      <c r="AV116" s="85">
        <f t="shared" ca="1" si="149"/>
        <v>434.59393504203518</v>
      </c>
      <c r="AW116" s="85">
        <f t="shared" ca="1" si="150"/>
        <v>422.950804428391</v>
      </c>
      <c r="AX116" s="85">
        <f t="shared" ca="1" si="151"/>
        <v>508.8489221320703</v>
      </c>
      <c r="AY116" s="85">
        <f t="shared" ca="1" si="152"/>
        <v>486.03435630004799</v>
      </c>
      <c r="AZ116" s="85">
        <f t="shared" ca="1" si="153"/>
        <v>429.00557562996914</v>
      </c>
      <c r="BA116" s="85">
        <f t="shared" ca="1" si="154"/>
        <v>462.92776394360658</v>
      </c>
      <c r="BB116" s="85">
        <f t="shared" ca="1" si="155"/>
        <v>416.71315159938706</v>
      </c>
      <c r="BC116" s="85">
        <f t="shared" ca="1" si="156"/>
        <v>440.44168948847027</v>
      </c>
      <c r="BD116" s="85">
        <f t="shared" ca="1" si="157"/>
        <v>442.13406757229279</v>
      </c>
      <c r="BE116" s="85">
        <f t="shared" ca="1" si="158"/>
        <v>396.41160277469368</v>
      </c>
      <c r="BF116" s="85">
        <f t="shared" ca="1" si="159"/>
        <v>443.69171585219715</v>
      </c>
      <c r="BG116" s="85">
        <f t="shared" ca="1" si="160"/>
        <v>386.20259015431947</v>
      </c>
      <c r="BH116" s="85">
        <f t="shared" ca="1" si="161"/>
        <v>441.8935226337739</v>
      </c>
      <c r="BI116" s="85">
        <f t="shared" ca="1" si="162"/>
        <v>409.08170187802477</v>
      </c>
      <c r="BJ116" s="85">
        <f t="shared" ca="1" si="163"/>
        <v>447.00466053067061</v>
      </c>
      <c r="BK116" s="85">
        <f t="shared" ca="1" si="164"/>
        <v>435.47503177165822</v>
      </c>
      <c r="BL116" s="85">
        <f t="shared" ca="1" si="165"/>
        <v>420.03927979216468</v>
      </c>
      <c r="BM116" s="85">
        <f t="shared" ca="1" si="166"/>
        <v>386.31234619794941</v>
      </c>
      <c r="BN116" s="85">
        <f t="shared" ca="1" si="103"/>
        <v>485.03831339688304</v>
      </c>
      <c r="BO116" s="85">
        <f t="shared" ca="1" si="192"/>
        <v>517.83039951392129</v>
      </c>
      <c r="BP116" s="85">
        <f t="shared" ca="1" si="193"/>
        <v>387.96577492807546</v>
      </c>
      <c r="BQ116" s="85">
        <f t="shared" ca="1" si="194"/>
        <v>406.19963427053563</v>
      </c>
      <c r="BR116" s="85">
        <f t="shared" ca="1" si="195"/>
        <v>405.9341925160582</v>
      </c>
      <c r="BS116" s="85">
        <f t="shared" ca="1" si="196"/>
        <v>437.08488458839275</v>
      </c>
      <c r="BT116" s="85">
        <f t="shared" ca="1" si="197"/>
        <v>468.66362173223177</v>
      </c>
      <c r="BU116" s="85">
        <f t="shared" ca="1" si="198"/>
        <v>462.91849684589386</v>
      </c>
      <c r="BV116" s="85">
        <f t="shared" ca="1" si="199"/>
        <v>435.04621011821479</v>
      </c>
      <c r="BW116" s="85">
        <f t="shared" ca="1" si="200"/>
        <v>472.39752234159039</v>
      </c>
      <c r="BX116" s="85">
        <f t="shared" ca="1" si="201"/>
        <v>442.78761154626562</v>
      </c>
      <c r="BY116" s="85">
        <f t="shared" ca="1" si="167"/>
        <v>435.47159162590356</v>
      </c>
      <c r="BZ116" s="85">
        <f t="shared" ca="1" si="168"/>
        <v>435.87241507190191</v>
      </c>
      <c r="CA116" s="85">
        <f t="shared" ca="1" si="169"/>
        <v>429.69496158882066</v>
      </c>
      <c r="CB116" s="85">
        <f t="shared" ca="1" si="170"/>
        <v>416.80674932516126</v>
      </c>
      <c r="CC116" s="85">
        <f t="shared" ca="1" si="171"/>
        <v>444.26526474376652</v>
      </c>
      <c r="CD116" s="85">
        <f t="shared" ca="1" si="172"/>
        <v>504.45443295398246</v>
      </c>
      <c r="CE116" s="85">
        <f t="shared" ca="1" si="173"/>
        <v>389.94729715036118</v>
      </c>
      <c r="CF116" s="85">
        <f t="shared" ca="1" si="174"/>
        <v>482.72388498976335</v>
      </c>
      <c r="CG116" s="85">
        <f t="shared" ca="1" si="175"/>
        <v>409.58840055970143</v>
      </c>
      <c r="CH116" s="85">
        <f t="shared" ca="1" si="176"/>
        <v>466.23867449432419</v>
      </c>
      <c r="CI116" s="85">
        <f t="shared" ca="1" si="177"/>
        <v>458.13909028700209</v>
      </c>
      <c r="CJ116" s="85">
        <f t="shared" ca="1" si="178"/>
        <v>422.56601264599209</v>
      </c>
      <c r="CK116" s="85">
        <f t="shared" ca="1" si="179"/>
        <v>437.17797017302127</v>
      </c>
      <c r="CL116" s="85">
        <f t="shared" ca="1" si="180"/>
        <v>410.86806169135662</v>
      </c>
      <c r="CM116" s="85">
        <f t="shared" ca="1" si="181"/>
        <v>470.86658684973486</v>
      </c>
      <c r="CN116" s="85">
        <f t="shared" ca="1" si="182"/>
        <v>411.5467301064491</v>
      </c>
      <c r="CO116" s="85">
        <f t="shared" ca="1" si="183"/>
        <v>399.86070319807988</v>
      </c>
      <c r="CP116" s="85">
        <f t="shared" ca="1" si="184"/>
        <v>519.39017159862919</v>
      </c>
      <c r="CQ116" s="85">
        <f t="shared" ca="1" si="185"/>
        <v>442.84400284743822</v>
      </c>
      <c r="CR116" s="85">
        <f t="shared" ca="1" si="186"/>
        <v>474.55139681495638</v>
      </c>
      <c r="CS116" s="85">
        <f t="shared" ca="1" si="187"/>
        <v>374.14935043043062</v>
      </c>
      <c r="CT116" s="85">
        <f t="shared" ca="1" si="188"/>
        <v>454.5132586070261</v>
      </c>
      <c r="CU116" s="85">
        <f t="shared" ca="1" si="189"/>
        <v>533.98653651041241</v>
      </c>
      <c r="CV116" s="85">
        <f t="shared" ca="1" si="190"/>
        <v>398.82687807580618</v>
      </c>
      <c r="CW116" s="85">
        <f t="shared" ca="1" si="191"/>
        <v>397.41000091757661</v>
      </c>
    </row>
    <row r="117" spans="1:101" x14ac:dyDescent="0.2">
      <c r="A117" s="115">
        <v>114</v>
      </c>
      <c r="B117" s="85">
        <f t="shared" ca="1" si="102"/>
        <v>390.26606896017347</v>
      </c>
      <c r="C117" s="85">
        <f t="shared" ca="1" si="104"/>
        <v>427.09114827846582</v>
      </c>
      <c r="D117" s="85">
        <f t="shared" ca="1" si="105"/>
        <v>408.82073940993337</v>
      </c>
      <c r="E117" s="85">
        <f t="shared" ca="1" si="106"/>
        <v>409.17094160441746</v>
      </c>
      <c r="F117" s="85">
        <f t="shared" ca="1" si="107"/>
        <v>406.28826415541494</v>
      </c>
      <c r="G117" s="85">
        <f t="shared" ca="1" si="108"/>
        <v>447.88025028407981</v>
      </c>
      <c r="H117" s="85">
        <f t="shared" ca="1" si="109"/>
        <v>436.05006835627137</v>
      </c>
      <c r="I117" s="85">
        <f t="shared" ca="1" si="110"/>
        <v>448.79472110697083</v>
      </c>
      <c r="J117" s="85">
        <f t="shared" ca="1" si="111"/>
        <v>445.9910984400334</v>
      </c>
      <c r="K117" s="85">
        <f t="shared" ca="1" si="112"/>
        <v>451.36580611359744</v>
      </c>
      <c r="L117" s="85">
        <f t="shared" ca="1" si="113"/>
        <v>488.43573232654904</v>
      </c>
      <c r="M117" s="85">
        <f t="shared" ca="1" si="114"/>
        <v>358.45969046766407</v>
      </c>
      <c r="N117" s="85">
        <f t="shared" ca="1" si="115"/>
        <v>426.55217842203263</v>
      </c>
      <c r="O117" s="85">
        <f t="shared" ca="1" si="116"/>
        <v>426.10416670452912</v>
      </c>
      <c r="P117" s="85">
        <f t="shared" ca="1" si="117"/>
        <v>429.86542713719433</v>
      </c>
      <c r="Q117" s="85">
        <f t="shared" ca="1" si="118"/>
        <v>463.52991142161062</v>
      </c>
      <c r="R117" s="85">
        <f t="shared" ca="1" si="119"/>
        <v>407.5519840474613</v>
      </c>
      <c r="S117" s="85">
        <f t="shared" ca="1" si="120"/>
        <v>462.50382461944554</v>
      </c>
      <c r="T117" s="85">
        <f t="shared" ca="1" si="121"/>
        <v>435.3726402402263</v>
      </c>
      <c r="U117" s="85">
        <f t="shared" ca="1" si="122"/>
        <v>399.89820279882832</v>
      </c>
      <c r="V117" s="85">
        <f t="shared" ca="1" si="123"/>
        <v>470.34631229161096</v>
      </c>
      <c r="W117" s="85">
        <f t="shared" ca="1" si="124"/>
        <v>429.43786419777877</v>
      </c>
      <c r="X117" s="85">
        <f t="shared" ca="1" si="125"/>
        <v>442.25801253611411</v>
      </c>
      <c r="Y117" s="85">
        <f t="shared" ca="1" si="126"/>
        <v>400.84563436966386</v>
      </c>
      <c r="Z117" s="85">
        <f t="shared" ca="1" si="127"/>
        <v>429.15932681293577</v>
      </c>
      <c r="AA117" s="85">
        <f t="shared" ca="1" si="128"/>
        <v>414.67211406425469</v>
      </c>
      <c r="AB117" s="85">
        <f t="shared" ca="1" si="129"/>
        <v>496.66849798634416</v>
      </c>
      <c r="AC117" s="85">
        <f t="shared" ca="1" si="130"/>
        <v>434.50845325112056</v>
      </c>
      <c r="AD117" s="85">
        <f t="shared" ca="1" si="131"/>
        <v>523.58737058271095</v>
      </c>
      <c r="AE117" s="85">
        <f t="shared" ca="1" si="132"/>
        <v>583.53251793567904</v>
      </c>
      <c r="AF117" s="85">
        <f t="shared" ca="1" si="133"/>
        <v>415.32658372745249</v>
      </c>
      <c r="AG117" s="85">
        <f t="shared" ca="1" si="134"/>
        <v>436.74842523691717</v>
      </c>
      <c r="AH117" s="85">
        <f t="shared" ca="1" si="135"/>
        <v>390.78167820496634</v>
      </c>
      <c r="AI117" s="85">
        <f t="shared" ca="1" si="136"/>
        <v>472.12037263513776</v>
      </c>
      <c r="AJ117" s="85">
        <f t="shared" ca="1" si="137"/>
        <v>524.98983531574834</v>
      </c>
      <c r="AK117" s="85">
        <f t="shared" ca="1" si="138"/>
        <v>465.54557600597104</v>
      </c>
      <c r="AL117" s="85">
        <f t="shared" ca="1" si="139"/>
        <v>472.2882526274484</v>
      </c>
      <c r="AM117" s="85">
        <f t="shared" ca="1" si="140"/>
        <v>422.75407118676202</v>
      </c>
      <c r="AN117" s="85">
        <f t="shared" ca="1" si="141"/>
        <v>475.39152516752836</v>
      </c>
      <c r="AO117" s="85">
        <f t="shared" ca="1" si="142"/>
        <v>506.11176951627692</v>
      </c>
      <c r="AP117" s="85">
        <f t="shared" ca="1" si="143"/>
        <v>490.46381890707687</v>
      </c>
      <c r="AQ117" s="85">
        <f t="shared" ca="1" si="144"/>
        <v>408.20236704303164</v>
      </c>
      <c r="AR117" s="85">
        <f t="shared" ca="1" si="145"/>
        <v>445.43477921549527</v>
      </c>
      <c r="AS117" s="85">
        <f t="shared" ca="1" si="146"/>
        <v>415.04447789124998</v>
      </c>
      <c r="AT117" s="85">
        <f t="shared" ca="1" si="147"/>
        <v>474.74603194859077</v>
      </c>
      <c r="AU117" s="85">
        <f t="shared" ca="1" si="148"/>
        <v>445.88207951716498</v>
      </c>
      <c r="AV117" s="85">
        <f t="shared" ca="1" si="149"/>
        <v>442.95483674811493</v>
      </c>
      <c r="AW117" s="85">
        <f t="shared" ca="1" si="150"/>
        <v>429.11678399456849</v>
      </c>
      <c r="AX117" s="85">
        <f t="shared" ca="1" si="151"/>
        <v>518.35719170739048</v>
      </c>
      <c r="AY117" s="85">
        <f t="shared" ca="1" si="152"/>
        <v>493.44321670388643</v>
      </c>
      <c r="AZ117" s="85">
        <f t="shared" ca="1" si="153"/>
        <v>432.95963757623247</v>
      </c>
      <c r="BA117" s="85">
        <f t="shared" ca="1" si="154"/>
        <v>466.97394632636531</v>
      </c>
      <c r="BB117" s="85">
        <f t="shared" ca="1" si="155"/>
        <v>418.81753057860129</v>
      </c>
      <c r="BC117" s="85">
        <f t="shared" ca="1" si="156"/>
        <v>448.96865414629156</v>
      </c>
      <c r="BD117" s="85">
        <f t="shared" ca="1" si="157"/>
        <v>448.98589853533571</v>
      </c>
      <c r="BE117" s="85">
        <f t="shared" ca="1" si="158"/>
        <v>405.96533225771219</v>
      </c>
      <c r="BF117" s="85">
        <f t="shared" ca="1" si="159"/>
        <v>452.99518531731604</v>
      </c>
      <c r="BG117" s="85">
        <f t="shared" ca="1" si="160"/>
        <v>390.58219399270479</v>
      </c>
      <c r="BH117" s="85">
        <f t="shared" ca="1" si="161"/>
        <v>448.93086527444484</v>
      </c>
      <c r="BI117" s="85">
        <f t="shared" ca="1" si="162"/>
        <v>413.62915734710009</v>
      </c>
      <c r="BJ117" s="85">
        <f t="shared" ca="1" si="163"/>
        <v>447.16646918297374</v>
      </c>
      <c r="BK117" s="85">
        <f t="shared" ca="1" si="164"/>
        <v>446.16754941127692</v>
      </c>
      <c r="BL117" s="85">
        <f t="shared" ca="1" si="165"/>
        <v>427.43737350000993</v>
      </c>
      <c r="BM117" s="85">
        <f t="shared" ca="1" si="166"/>
        <v>389.53010612211017</v>
      </c>
      <c r="BN117" s="85">
        <f t="shared" ca="1" si="103"/>
        <v>486.49425970300496</v>
      </c>
      <c r="BO117" s="85">
        <f t="shared" ca="1" si="192"/>
        <v>521.4506029641243</v>
      </c>
      <c r="BP117" s="85">
        <f t="shared" ca="1" si="193"/>
        <v>393.67703437648123</v>
      </c>
      <c r="BQ117" s="85">
        <f t="shared" ca="1" si="194"/>
        <v>410.0831352080279</v>
      </c>
      <c r="BR117" s="85">
        <f t="shared" ca="1" si="195"/>
        <v>410.37852773984037</v>
      </c>
      <c r="BS117" s="85">
        <f t="shared" ca="1" si="196"/>
        <v>444.99157573549024</v>
      </c>
      <c r="BT117" s="85">
        <f t="shared" ca="1" si="197"/>
        <v>473.53173421442131</v>
      </c>
      <c r="BU117" s="85">
        <f t="shared" ca="1" si="198"/>
        <v>472.6707960622611</v>
      </c>
      <c r="BV117" s="85">
        <f t="shared" ca="1" si="199"/>
        <v>449.25484127524845</v>
      </c>
      <c r="BW117" s="85">
        <f t="shared" ca="1" si="200"/>
        <v>477.07836309805765</v>
      </c>
      <c r="BX117" s="85">
        <f t="shared" ca="1" si="201"/>
        <v>449.81521315379524</v>
      </c>
      <c r="BY117" s="85">
        <f t="shared" ca="1" si="167"/>
        <v>440.63947443870381</v>
      </c>
      <c r="BZ117" s="85">
        <f t="shared" ca="1" si="168"/>
        <v>440.06937158466917</v>
      </c>
      <c r="CA117" s="85">
        <f t="shared" ca="1" si="169"/>
        <v>431.98291992657727</v>
      </c>
      <c r="CB117" s="85">
        <f t="shared" ca="1" si="170"/>
        <v>417.42049311850286</v>
      </c>
      <c r="CC117" s="85">
        <f t="shared" ca="1" si="171"/>
        <v>449.5022228520848</v>
      </c>
      <c r="CD117" s="85">
        <f t="shared" ca="1" si="172"/>
        <v>508.04657560891872</v>
      </c>
      <c r="CE117" s="85">
        <f t="shared" ca="1" si="173"/>
        <v>399.654340664313</v>
      </c>
      <c r="CF117" s="85">
        <f t="shared" ca="1" si="174"/>
        <v>487.83546130896224</v>
      </c>
      <c r="CG117" s="85">
        <f t="shared" ca="1" si="175"/>
        <v>413.61556477402024</v>
      </c>
      <c r="CH117" s="85">
        <f t="shared" ca="1" si="176"/>
        <v>472.15268654706188</v>
      </c>
      <c r="CI117" s="85">
        <f t="shared" ca="1" si="177"/>
        <v>471.46808730642749</v>
      </c>
      <c r="CJ117" s="85">
        <f t="shared" ca="1" si="178"/>
        <v>425.61295223945132</v>
      </c>
      <c r="CK117" s="85">
        <f t="shared" ca="1" si="179"/>
        <v>438.06643280998139</v>
      </c>
      <c r="CL117" s="85">
        <f t="shared" ca="1" si="180"/>
        <v>415.83581853357924</v>
      </c>
      <c r="CM117" s="85">
        <f t="shared" ca="1" si="181"/>
        <v>476.83144940158957</v>
      </c>
      <c r="CN117" s="85">
        <f t="shared" ca="1" si="182"/>
        <v>414.79669628019747</v>
      </c>
      <c r="CO117" s="85">
        <f t="shared" ca="1" si="183"/>
        <v>406.98744461791807</v>
      </c>
      <c r="CP117" s="85">
        <f t="shared" ca="1" si="184"/>
        <v>526.69848752027849</v>
      </c>
      <c r="CQ117" s="85">
        <f t="shared" ca="1" si="185"/>
        <v>449.64517414982566</v>
      </c>
      <c r="CR117" s="85">
        <f t="shared" ca="1" si="186"/>
        <v>481.12715728168121</v>
      </c>
      <c r="CS117" s="85">
        <f t="shared" ca="1" si="187"/>
        <v>378.73755428980081</v>
      </c>
      <c r="CT117" s="85">
        <f t="shared" ca="1" si="188"/>
        <v>456.1427061306639</v>
      </c>
      <c r="CU117" s="85">
        <f t="shared" ca="1" si="189"/>
        <v>545.59537624528423</v>
      </c>
      <c r="CV117" s="85">
        <f t="shared" ca="1" si="190"/>
        <v>402.951480021137</v>
      </c>
      <c r="CW117" s="85">
        <f t="shared" ca="1" si="191"/>
        <v>403.11481427585733</v>
      </c>
    </row>
    <row r="118" spans="1:101" x14ac:dyDescent="0.2">
      <c r="A118" s="115">
        <v>115</v>
      </c>
      <c r="B118" s="85">
        <f t="shared" ca="1" si="102"/>
        <v>395.70720879952427</v>
      </c>
      <c r="C118" s="85">
        <f t="shared" ca="1" si="104"/>
        <v>435.25983938004953</v>
      </c>
      <c r="D118" s="85">
        <f t="shared" ca="1" si="105"/>
        <v>417.37070078876098</v>
      </c>
      <c r="E118" s="85">
        <f t="shared" ca="1" si="106"/>
        <v>413.87872910860159</v>
      </c>
      <c r="F118" s="85">
        <f t="shared" ca="1" si="107"/>
        <v>417.75720611704065</v>
      </c>
      <c r="G118" s="85">
        <f t="shared" ca="1" si="108"/>
        <v>457.2435309239022</v>
      </c>
      <c r="H118" s="85">
        <f t="shared" ca="1" si="109"/>
        <v>446.89688502470011</v>
      </c>
      <c r="I118" s="85">
        <f t="shared" ca="1" si="110"/>
        <v>458.31127982205373</v>
      </c>
      <c r="J118" s="85">
        <f t="shared" ca="1" si="111"/>
        <v>452.78599892607929</v>
      </c>
      <c r="K118" s="85">
        <f t="shared" ca="1" si="112"/>
        <v>456.10429367236821</v>
      </c>
      <c r="L118" s="85">
        <f t="shared" ca="1" si="113"/>
        <v>497.81105850126505</v>
      </c>
      <c r="M118" s="85">
        <f t="shared" ca="1" si="114"/>
        <v>363.28526321946538</v>
      </c>
      <c r="N118" s="85">
        <f t="shared" ca="1" si="115"/>
        <v>435.38826853058828</v>
      </c>
      <c r="O118" s="85">
        <f t="shared" ca="1" si="116"/>
        <v>432.39039067604676</v>
      </c>
      <c r="P118" s="85">
        <f t="shared" ca="1" si="117"/>
        <v>437.75964604955806</v>
      </c>
      <c r="Q118" s="85">
        <f t="shared" ca="1" si="118"/>
        <v>468.57090611046738</v>
      </c>
      <c r="R118" s="85">
        <f t="shared" ca="1" si="119"/>
        <v>412.64850024305446</v>
      </c>
      <c r="S118" s="85">
        <f t="shared" ca="1" si="120"/>
        <v>466.3363688435029</v>
      </c>
      <c r="T118" s="85">
        <f t="shared" ca="1" si="121"/>
        <v>449.92101730867932</v>
      </c>
      <c r="U118" s="85">
        <f t="shared" ca="1" si="122"/>
        <v>406.29430635619809</v>
      </c>
      <c r="V118" s="85">
        <f t="shared" ca="1" si="123"/>
        <v>478.24698882607964</v>
      </c>
      <c r="W118" s="85">
        <f t="shared" ca="1" si="124"/>
        <v>435.79531851984143</v>
      </c>
      <c r="X118" s="85">
        <f t="shared" ca="1" si="125"/>
        <v>447.21547651586076</v>
      </c>
      <c r="Y118" s="85">
        <f t="shared" ca="1" si="126"/>
        <v>404.05915100108672</v>
      </c>
      <c r="Z118" s="85">
        <f t="shared" ca="1" si="127"/>
        <v>440.33478472262198</v>
      </c>
      <c r="AA118" s="85">
        <f t="shared" ca="1" si="128"/>
        <v>415.93159639894088</v>
      </c>
      <c r="AB118" s="85">
        <f t="shared" ca="1" si="129"/>
        <v>505.15986203730517</v>
      </c>
      <c r="AC118" s="85">
        <f t="shared" ca="1" si="130"/>
        <v>435.77115881674979</v>
      </c>
      <c r="AD118" s="85">
        <f t="shared" ca="1" si="131"/>
        <v>530.80691640560735</v>
      </c>
      <c r="AE118" s="85">
        <f t="shared" ca="1" si="132"/>
        <v>591.26197231777223</v>
      </c>
      <c r="AF118" s="85">
        <f t="shared" ca="1" si="133"/>
        <v>418.97951222681587</v>
      </c>
      <c r="AG118" s="85">
        <f t="shared" ca="1" si="134"/>
        <v>442.93145134041947</v>
      </c>
      <c r="AH118" s="85">
        <f t="shared" ca="1" si="135"/>
        <v>397.08763639128551</v>
      </c>
      <c r="AI118" s="85">
        <f t="shared" ca="1" si="136"/>
        <v>483.3433184790224</v>
      </c>
      <c r="AJ118" s="85">
        <f t="shared" ca="1" si="137"/>
        <v>528.04147868922394</v>
      </c>
      <c r="AK118" s="85">
        <f t="shared" ca="1" si="138"/>
        <v>462.88846843031598</v>
      </c>
      <c r="AL118" s="85">
        <f t="shared" ca="1" si="139"/>
        <v>477.98339007178959</v>
      </c>
      <c r="AM118" s="85">
        <f t="shared" ca="1" si="140"/>
        <v>431.74584779536832</v>
      </c>
      <c r="AN118" s="85">
        <f t="shared" ca="1" si="141"/>
        <v>484.34154425752041</v>
      </c>
      <c r="AO118" s="85">
        <f t="shared" ca="1" si="142"/>
        <v>513.93982071960454</v>
      </c>
      <c r="AP118" s="85">
        <f t="shared" ca="1" si="143"/>
        <v>494.12836720259253</v>
      </c>
      <c r="AQ118" s="85">
        <f t="shared" ca="1" si="144"/>
        <v>411.08413109435401</v>
      </c>
      <c r="AR118" s="85">
        <f t="shared" ca="1" si="145"/>
        <v>451.61142482537019</v>
      </c>
      <c r="AS118" s="85">
        <f t="shared" ca="1" si="146"/>
        <v>425.19428019288517</v>
      </c>
      <c r="AT118" s="85">
        <f t="shared" ca="1" si="147"/>
        <v>481.58217917193684</v>
      </c>
      <c r="AU118" s="85">
        <f t="shared" ca="1" si="148"/>
        <v>457.99947633436142</v>
      </c>
      <c r="AV118" s="85">
        <f t="shared" ca="1" si="149"/>
        <v>443.29254314325607</v>
      </c>
      <c r="AW118" s="85">
        <f t="shared" ca="1" si="150"/>
        <v>433.15431628255669</v>
      </c>
      <c r="AX118" s="85">
        <f t="shared" ca="1" si="151"/>
        <v>521.49249764236993</v>
      </c>
      <c r="AY118" s="85">
        <f t="shared" ca="1" si="152"/>
        <v>497.73520833107324</v>
      </c>
      <c r="AZ118" s="85">
        <f t="shared" ca="1" si="153"/>
        <v>446.31492153048129</v>
      </c>
      <c r="BA118" s="85">
        <f t="shared" ca="1" si="154"/>
        <v>474.583662823775</v>
      </c>
      <c r="BB118" s="85">
        <f t="shared" ca="1" si="155"/>
        <v>426.10403835340742</v>
      </c>
      <c r="BC118" s="85">
        <f t="shared" ca="1" si="156"/>
        <v>455.9106871280311</v>
      </c>
      <c r="BD118" s="85">
        <f t="shared" ca="1" si="157"/>
        <v>455.78199706770312</v>
      </c>
      <c r="BE118" s="85">
        <f t="shared" ca="1" si="158"/>
        <v>411.45092050332153</v>
      </c>
      <c r="BF118" s="85">
        <f t="shared" ca="1" si="159"/>
        <v>458.16017386624702</v>
      </c>
      <c r="BG118" s="85">
        <f t="shared" ca="1" si="160"/>
        <v>394.60281437889898</v>
      </c>
      <c r="BH118" s="85">
        <f t="shared" ca="1" si="161"/>
        <v>453.58015904786538</v>
      </c>
      <c r="BI118" s="85">
        <f t="shared" ca="1" si="162"/>
        <v>421.87877799470084</v>
      </c>
      <c r="BJ118" s="85">
        <f t="shared" ca="1" si="163"/>
        <v>459.75945844207843</v>
      </c>
      <c r="BK118" s="85">
        <f t="shared" ca="1" si="164"/>
        <v>454.90357309881136</v>
      </c>
      <c r="BL118" s="85">
        <f t="shared" ca="1" si="165"/>
        <v>432.82874781624133</v>
      </c>
      <c r="BM118" s="85">
        <f t="shared" ca="1" si="166"/>
        <v>394.02162268064876</v>
      </c>
      <c r="BN118" s="85">
        <f t="shared" ca="1" si="103"/>
        <v>495.58145474850454</v>
      </c>
      <c r="BO118" s="85">
        <f t="shared" ca="1" si="192"/>
        <v>529.69073374887898</v>
      </c>
      <c r="BP118" s="85">
        <f t="shared" ca="1" si="193"/>
        <v>401.92818631136072</v>
      </c>
      <c r="BQ118" s="85">
        <f t="shared" ca="1" si="194"/>
        <v>419.97103135822891</v>
      </c>
      <c r="BR118" s="85">
        <f t="shared" ca="1" si="195"/>
        <v>416.08458004300979</v>
      </c>
      <c r="BS118" s="85">
        <f t="shared" ca="1" si="196"/>
        <v>450.32874896120455</v>
      </c>
      <c r="BT118" s="85">
        <f t="shared" ca="1" si="197"/>
        <v>483.51755744255422</v>
      </c>
      <c r="BU118" s="85">
        <f t="shared" ca="1" si="198"/>
        <v>472.34019802931118</v>
      </c>
      <c r="BV118" s="85">
        <f t="shared" ca="1" si="199"/>
        <v>456.11409187397192</v>
      </c>
      <c r="BW118" s="85">
        <f t="shared" ca="1" si="200"/>
        <v>478.78780778795078</v>
      </c>
      <c r="BX118" s="85">
        <f t="shared" ca="1" si="201"/>
        <v>451.37533886009862</v>
      </c>
      <c r="BY118" s="85">
        <f t="shared" ca="1" si="167"/>
        <v>447.71948333794103</v>
      </c>
      <c r="BZ118" s="85">
        <f t="shared" ca="1" si="168"/>
        <v>449.28661996719103</v>
      </c>
      <c r="CA118" s="85">
        <f t="shared" ca="1" si="169"/>
        <v>437.72958886624997</v>
      </c>
      <c r="CB118" s="85">
        <f t="shared" ca="1" si="170"/>
        <v>420.38966512846002</v>
      </c>
      <c r="CC118" s="85">
        <f t="shared" ca="1" si="171"/>
        <v>453.89991027147028</v>
      </c>
      <c r="CD118" s="85">
        <f t="shared" ca="1" si="172"/>
        <v>517.20864446110397</v>
      </c>
      <c r="CE118" s="85">
        <f t="shared" ca="1" si="173"/>
        <v>404.62926716598992</v>
      </c>
      <c r="CF118" s="85">
        <f t="shared" ca="1" si="174"/>
        <v>500.61106887121167</v>
      </c>
      <c r="CG118" s="85">
        <f t="shared" ca="1" si="175"/>
        <v>415.54448007400384</v>
      </c>
      <c r="CH118" s="85">
        <f t="shared" ca="1" si="176"/>
        <v>477.06042875396741</v>
      </c>
      <c r="CI118" s="85">
        <f t="shared" ca="1" si="177"/>
        <v>475.90170879956793</v>
      </c>
      <c r="CJ118" s="85">
        <f t="shared" ca="1" si="178"/>
        <v>431.42472020097932</v>
      </c>
      <c r="CK118" s="85">
        <f t="shared" ca="1" si="179"/>
        <v>444.43323056181941</v>
      </c>
      <c r="CL118" s="85">
        <f t="shared" ca="1" si="180"/>
        <v>422.63983490831424</v>
      </c>
      <c r="CM118" s="85">
        <f t="shared" ca="1" si="181"/>
        <v>482.95527119822123</v>
      </c>
      <c r="CN118" s="85">
        <f t="shared" ca="1" si="182"/>
        <v>416.40442119569877</v>
      </c>
      <c r="CO118" s="85">
        <f t="shared" ca="1" si="183"/>
        <v>410.24527625343461</v>
      </c>
      <c r="CP118" s="85">
        <f t="shared" ca="1" si="184"/>
        <v>534.94722325045734</v>
      </c>
      <c r="CQ118" s="85">
        <f t="shared" ca="1" si="185"/>
        <v>451.96078031790637</v>
      </c>
      <c r="CR118" s="85">
        <f t="shared" ca="1" si="186"/>
        <v>489.54360963838849</v>
      </c>
      <c r="CS118" s="85">
        <f t="shared" ca="1" si="187"/>
        <v>384.40641826851612</v>
      </c>
      <c r="CT118" s="85">
        <f t="shared" ca="1" si="188"/>
        <v>457.65894539480377</v>
      </c>
      <c r="CU118" s="85">
        <f t="shared" ca="1" si="189"/>
        <v>549.63134757713112</v>
      </c>
      <c r="CV118" s="85">
        <f t="shared" ca="1" si="190"/>
        <v>410.34455330413101</v>
      </c>
      <c r="CW118" s="85">
        <f t="shared" ca="1" si="191"/>
        <v>407.36125487232863</v>
      </c>
    </row>
    <row r="119" spans="1:101" x14ac:dyDescent="0.2">
      <c r="A119" s="115">
        <v>116</v>
      </c>
      <c r="B119" s="85">
        <f t="shared" ca="1" si="102"/>
        <v>402.67688598531987</v>
      </c>
      <c r="C119" s="85">
        <f t="shared" ca="1" si="104"/>
        <v>444.75606131061704</v>
      </c>
      <c r="D119" s="85">
        <f t="shared" ca="1" si="105"/>
        <v>423.36777448695602</v>
      </c>
      <c r="E119" s="85">
        <f t="shared" ca="1" si="106"/>
        <v>423.44909964216578</v>
      </c>
      <c r="F119" s="85">
        <f t="shared" ca="1" si="107"/>
        <v>426.93817896661335</v>
      </c>
      <c r="G119" s="85">
        <f t="shared" ca="1" si="108"/>
        <v>468.47429451971499</v>
      </c>
      <c r="H119" s="85">
        <f t="shared" ca="1" si="109"/>
        <v>447.0653343245358</v>
      </c>
      <c r="I119" s="85">
        <f t="shared" ca="1" si="110"/>
        <v>466.13019067642585</v>
      </c>
      <c r="J119" s="85">
        <f t="shared" ca="1" si="111"/>
        <v>454.08450442798539</v>
      </c>
      <c r="K119" s="85">
        <f t="shared" ca="1" si="112"/>
        <v>459.35218099162989</v>
      </c>
      <c r="L119" s="85">
        <f t="shared" ca="1" si="113"/>
        <v>506.5069019935076</v>
      </c>
      <c r="M119" s="85">
        <f t="shared" ca="1" si="114"/>
        <v>365.71942254839934</v>
      </c>
      <c r="N119" s="85">
        <f t="shared" ca="1" si="115"/>
        <v>439.33122552149814</v>
      </c>
      <c r="O119" s="85">
        <f t="shared" ca="1" si="116"/>
        <v>442.04725157046948</v>
      </c>
      <c r="P119" s="85">
        <f t="shared" ca="1" si="117"/>
        <v>444.93565175045649</v>
      </c>
      <c r="Q119" s="85">
        <f t="shared" ca="1" si="118"/>
        <v>472.85094866944314</v>
      </c>
      <c r="R119" s="85">
        <f t="shared" ca="1" si="119"/>
        <v>418.42766074195447</v>
      </c>
      <c r="S119" s="85">
        <f t="shared" ca="1" si="120"/>
        <v>475.34692400366339</v>
      </c>
      <c r="T119" s="85">
        <f t="shared" ca="1" si="121"/>
        <v>457.44836311570401</v>
      </c>
      <c r="U119" s="85">
        <f t="shared" ca="1" si="122"/>
        <v>410.04101698665613</v>
      </c>
      <c r="V119" s="85">
        <f t="shared" ca="1" si="123"/>
        <v>483.35506059326167</v>
      </c>
      <c r="W119" s="85">
        <f t="shared" ca="1" si="124"/>
        <v>445.83830702930862</v>
      </c>
      <c r="X119" s="85">
        <f t="shared" ca="1" si="125"/>
        <v>458.6628394960025</v>
      </c>
      <c r="Y119" s="85">
        <f t="shared" ca="1" si="126"/>
        <v>407.52963003549212</v>
      </c>
      <c r="Z119" s="85">
        <f t="shared" ca="1" si="127"/>
        <v>447.21672274179355</v>
      </c>
      <c r="AA119" s="85">
        <f t="shared" ca="1" si="128"/>
        <v>420.63820797698276</v>
      </c>
      <c r="AB119" s="85">
        <f t="shared" ca="1" si="129"/>
        <v>513.01903501081381</v>
      </c>
      <c r="AC119" s="85">
        <f t="shared" ca="1" si="130"/>
        <v>447.92442491843582</v>
      </c>
      <c r="AD119" s="85">
        <f t="shared" ca="1" si="131"/>
        <v>535.21227335061837</v>
      </c>
      <c r="AE119" s="85">
        <f t="shared" ca="1" si="132"/>
        <v>593.19202039087315</v>
      </c>
      <c r="AF119" s="85">
        <f t="shared" ca="1" si="133"/>
        <v>419.19443308888083</v>
      </c>
      <c r="AG119" s="85">
        <f t="shared" ca="1" si="134"/>
        <v>447.30767576128562</v>
      </c>
      <c r="AH119" s="85">
        <f t="shared" ca="1" si="135"/>
        <v>407.2489413213072</v>
      </c>
      <c r="AI119" s="85">
        <f t="shared" ca="1" si="136"/>
        <v>485.65145590756038</v>
      </c>
      <c r="AJ119" s="85">
        <f t="shared" ca="1" si="137"/>
        <v>536.43824050283001</v>
      </c>
      <c r="AK119" s="85">
        <f t="shared" ca="1" si="138"/>
        <v>473.74551093125308</v>
      </c>
      <c r="AL119" s="85">
        <f t="shared" ca="1" si="139"/>
        <v>482.28264356749253</v>
      </c>
      <c r="AM119" s="85">
        <f t="shared" ca="1" si="140"/>
        <v>433.81430803585522</v>
      </c>
      <c r="AN119" s="85">
        <f t="shared" ca="1" si="141"/>
        <v>481.85005505295914</v>
      </c>
      <c r="AO119" s="85">
        <f t="shared" ca="1" si="142"/>
        <v>526.41236733678659</v>
      </c>
      <c r="AP119" s="85">
        <f t="shared" ca="1" si="143"/>
        <v>502.16460893148474</v>
      </c>
      <c r="AQ119" s="85">
        <f t="shared" ca="1" si="144"/>
        <v>419.65860590248758</v>
      </c>
      <c r="AR119" s="85">
        <f t="shared" ca="1" si="145"/>
        <v>460.94164730256517</v>
      </c>
      <c r="AS119" s="85">
        <f t="shared" ca="1" si="146"/>
        <v>427.62197225692813</v>
      </c>
      <c r="AT119" s="85">
        <f t="shared" ca="1" si="147"/>
        <v>493.05022081105977</v>
      </c>
      <c r="AU119" s="85">
        <f t="shared" ca="1" si="148"/>
        <v>471.20679271812065</v>
      </c>
      <c r="AV119" s="85">
        <f t="shared" ca="1" si="149"/>
        <v>449.82271731335737</v>
      </c>
      <c r="AW119" s="85">
        <f t="shared" ca="1" si="150"/>
        <v>443.71506264412102</v>
      </c>
      <c r="AX119" s="85">
        <f t="shared" ca="1" si="151"/>
        <v>535.59304686124619</v>
      </c>
      <c r="AY119" s="85">
        <f t="shared" ca="1" si="152"/>
        <v>505.04981782413881</v>
      </c>
      <c r="AZ119" s="85">
        <f t="shared" ca="1" si="153"/>
        <v>451.15705792082713</v>
      </c>
      <c r="BA119" s="85">
        <f t="shared" ca="1" si="154"/>
        <v>483.97555300741811</v>
      </c>
      <c r="BB119" s="85">
        <f t="shared" ca="1" si="155"/>
        <v>433.23247751029021</v>
      </c>
      <c r="BC119" s="85">
        <f t="shared" ca="1" si="156"/>
        <v>458.74529753470398</v>
      </c>
      <c r="BD119" s="85">
        <f t="shared" ca="1" si="157"/>
        <v>460.29976026174677</v>
      </c>
      <c r="BE119" s="85">
        <f t="shared" ca="1" si="158"/>
        <v>408.61330128417387</v>
      </c>
      <c r="BF119" s="85">
        <f t="shared" ca="1" si="159"/>
        <v>466.61095071113141</v>
      </c>
      <c r="BG119" s="85">
        <f t="shared" ca="1" si="160"/>
        <v>403.03838179339647</v>
      </c>
      <c r="BH119" s="85">
        <f t="shared" ca="1" si="161"/>
        <v>453.75183985704183</v>
      </c>
      <c r="BI119" s="85">
        <f t="shared" ca="1" si="162"/>
        <v>427.26128173555139</v>
      </c>
      <c r="BJ119" s="85">
        <f t="shared" ca="1" si="163"/>
        <v>463.81151940849537</v>
      </c>
      <c r="BK119" s="85">
        <f t="shared" ca="1" si="164"/>
        <v>463.16120100499853</v>
      </c>
      <c r="BL119" s="85">
        <f t="shared" ca="1" si="165"/>
        <v>437.27819321974471</v>
      </c>
      <c r="BM119" s="85">
        <f t="shared" ca="1" si="166"/>
        <v>399.18047314120349</v>
      </c>
      <c r="BN119" s="85">
        <f t="shared" ca="1" si="103"/>
        <v>504.6368415753833</v>
      </c>
      <c r="BO119" s="85">
        <f t="shared" ca="1" si="192"/>
        <v>534.79111092278276</v>
      </c>
      <c r="BP119" s="85">
        <f t="shared" ca="1" si="193"/>
        <v>413.73259967513542</v>
      </c>
      <c r="BQ119" s="85">
        <f t="shared" ca="1" si="194"/>
        <v>423.3794815849601</v>
      </c>
      <c r="BR119" s="85">
        <f t="shared" ca="1" si="195"/>
        <v>419.3472613463174</v>
      </c>
      <c r="BS119" s="85">
        <f t="shared" ca="1" si="196"/>
        <v>457.35407282170615</v>
      </c>
      <c r="BT119" s="85">
        <f t="shared" ca="1" si="197"/>
        <v>490.53226265610368</v>
      </c>
      <c r="BU119" s="85">
        <f t="shared" ca="1" si="198"/>
        <v>477.87054599749899</v>
      </c>
      <c r="BV119" s="85">
        <f t="shared" ca="1" si="199"/>
        <v>461.67158521543655</v>
      </c>
      <c r="BW119" s="85">
        <f t="shared" ca="1" si="200"/>
        <v>483.69748851472713</v>
      </c>
      <c r="BX119" s="85">
        <f t="shared" ca="1" si="201"/>
        <v>460.16105791081389</v>
      </c>
      <c r="BY119" s="85">
        <f t="shared" ca="1" si="167"/>
        <v>458.75097622980286</v>
      </c>
      <c r="BZ119" s="85">
        <f t="shared" ca="1" si="168"/>
        <v>453.92859424965445</v>
      </c>
      <c r="CA119" s="85">
        <f t="shared" ca="1" si="169"/>
        <v>441.91909636411935</v>
      </c>
      <c r="CB119" s="85">
        <f t="shared" ca="1" si="170"/>
        <v>424.3966277031422</v>
      </c>
      <c r="CC119" s="85">
        <f t="shared" ca="1" si="171"/>
        <v>459.66222803344345</v>
      </c>
      <c r="CD119" s="85">
        <f t="shared" ca="1" si="172"/>
        <v>524.21067731955554</v>
      </c>
      <c r="CE119" s="85">
        <f t="shared" ca="1" si="173"/>
        <v>409.61021044723032</v>
      </c>
      <c r="CF119" s="85">
        <f t="shared" ca="1" si="174"/>
        <v>501.65877937651237</v>
      </c>
      <c r="CG119" s="85">
        <f t="shared" ca="1" si="175"/>
        <v>422.54629980616608</v>
      </c>
      <c r="CH119" s="85">
        <f t="shared" ca="1" si="176"/>
        <v>487.26452303383951</v>
      </c>
      <c r="CI119" s="85">
        <f t="shared" ca="1" si="177"/>
        <v>478.4972183914204</v>
      </c>
      <c r="CJ119" s="85">
        <f t="shared" ca="1" si="178"/>
        <v>436.93774417430626</v>
      </c>
      <c r="CK119" s="85">
        <f t="shared" ca="1" si="179"/>
        <v>448.04615939600779</v>
      </c>
      <c r="CL119" s="85">
        <f t="shared" ca="1" si="180"/>
        <v>431.10064663534058</v>
      </c>
      <c r="CM119" s="85">
        <f t="shared" ca="1" si="181"/>
        <v>491.11012972080277</v>
      </c>
      <c r="CN119" s="85">
        <f t="shared" ca="1" si="182"/>
        <v>420.99495140874836</v>
      </c>
      <c r="CO119" s="85">
        <f t="shared" ca="1" si="183"/>
        <v>413.74649742847686</v>
      </c>
      <c r="CP119" s="85">
        <f t="shared" ca="1" si="184"/>
        <v>541.92310742341874</v>
      </c>
      <c r="CQ119" s="85">
        <f t="shared" ca="1" si="185"/>
        <v>463.53800029934837</v>
      </c>
      <c r="CR119" s="85">
        <f t="shared" ca="1" si="186"/>
        <v>492.24410915370208</v>
      </c>
      <c r="CS119" s="85">
        <f t="shared" ca="1" si="187"/>
        <v>387.89084994922456</v>
      </c>
      <c r="CT119" s="85">
        <f t="shared" ca="1" si="188"/>
        <v>461.14668217691565</v>
      </c>
      <c r="CU119" s="85">
        <f t="shared" ca="1" si="189"/>
        <v>553.49296485734874</v>
      </c>
      <c r="CV119" s="85">
        <f t="shared" ca="1" si="190"/>
        <v>418.80981694784538</v>
      </c>
      <c r="CW119" s="85">
        <f t="shared" ca="1" si="191"/>
        <v>412.2892594315112</v>
      </c>
    </row>
    <row r="120" spans="1:101" x14ac:dyDescent="0.2">
      <c r="A120" s="115">
        <v>117</v>
      </c>
      <c r="B120" s="85">
        <f t="shared" ca="1" si="102"/>
        <v>408.40619501878297</v>
      </c>
      <c r="C120" s="85">
        <f t="shared" ca="1" si="104"/>
        <v>448.00892844691441</v>
      </c>
      <c r="D120" s="85">
        <f t="shared" ca="1" si="105"/>
        <v>431.83087350331766</v>
      </c>
      <c r="E120" s="85">
        <f t="shared" ca="1" si="106"/>
        <v>427.49160421800417</v>
      </c>
      <c r="F120" s="85">
        <f t="shared" ca="1" si="107"/>
        <v>431.46815512432136</v>
      </c>
      <c r="G120" s="85">
        <f t="shared" ca="1" si="108"/>
        <v>477.98805171035758</v>
      </c>
      <c r="H120" s="85">
        <f t="shared" ca="1" si="109"/>
        <v>453.81378156663317</v>
      </c>
      <c r="I120" s="85">
        <f t="shared" ca="1" si="110"/>
        <v>467.88699487075303</v>
      </c>
      <c r="J120" s="85">
        <f t="shared" ca="1" si="111"/>
        <v>456.131651510513</v>
      </c>
      <c r="K120" s="85">
        <f t="shared" ca="1" si="112"/>
        <v>465.08366849503869</v>
      </c>
      <c r="L120" s="85">
        <f t="shared" ca="1" si="113"/>
        <v>514.44371492073947</v>
      </c>
      <c r="M120" s="85">
        <f t="shared" ca="1" si="114"/>
        <v>370.67562505155053</v>
      </c>
      <c r="N120" s="85">
        <f t="shared" ca="1" si="115"/>
        <v>444.7309062621045</v>
      </c>
      <c r="O120" s="85">
        <f t="shared" ca="1" si="116"/>
        <v>447.2721857219704</v>
      </c>
      <c r="P120" s="85">
        <f t="shared" ca="1" si="117"/>
        <v>454.65034761471719</v>
      </c>
      <c r="Q120" s="85">
        <f t="shared" ca="1" si="118"/>
        <v>479.40123071576278</v>
      </c>
      <c r="R120" s="85">
        <f t="shared" ca="1" si="119"/>
        <v>422.36678482836425</v>
      </c>
      <c r="S120" s="85">
        <f t="shared" ca="1" si="120"/>
        <v>482.05754962931678</v>
      </c>
      <c r="T120" s="85">
        <f t="shared" ca="1" si="121"/>
        <v>461.88584880616031</v>
      </c>
      <c r="U120" s="85">
        <f t="shared" ca="1" si="122"/>
        <v>414.03424934648649</v>
      </c>
      <c r="V120" s="85">
        <f t="shared" ca="1" si="123"/>
        <v>485.25609869053164</v>
      </c>
      <c r="W120" s="85">
        <f t="shared" ca="1" si="124"/>
        <v>450.90019973486557</v>
      </c>
      <c r="X120" s="85">
        <f t="shared" ca="1" si="125"/>
        <v>465.97180990976273</v>
      </c>
      <c r="Y120" s="85">
        <f t="shared" ca="1" si="126"/>
        <v>417.84605227247363</v>
      </c>
      <c r="Z120" s="85">
        <f t="shared" ca="1" si="127"/>
        <v>449.96132901052971</v>
      </c>
      <c r="AA120" s="85">
        <f t="shared" ca="1" si="128"/>
        <v>428.82320210290089</v>
      </c>
      <c r="AB120" s="85">
        <f t="shared" ca="1" si="129"/>
        <v>516.05716094318313</v>
      </c>
      <c r="AC120" s="85">
        <f t="shared" ca="1" si="130"/>
        <v>458.75864314084652</v>
      </c>
      <c r="AD120" s="85">
        <f t="shared" ca="1" si="131"/>
        <v>534.32524077399898</v>
      </c>
      <c r="AE120" s="85">
        <f t="shared" ca="1" si="132"/>
        <v>608.06227729777697</v>
      </c>
      <c r="AF120" s="85">
        <f t="shared" ca="1" si="133"/>
        <v>425.42375729822851</v>
      </c>
      <c r="AG120" s="85">
        <f t="shared" ca="1" si="134"/>
        <v>460.65989775461179</v>
      </c>
      <c r="AH120" s="85">
        <f t="shared" ca="1" si="135"/>
        <v>411.82203444064908</v>
      </c>
      <c r="AI120" s="85">
        <f t="shared" ca="1" si="136"/>
        <v>490.29411524222093</v>
      </c>
      <c r="AJ120" s="85">
        <f t="shared" ca="1" si="137"/>
        <v>542.83448266206199</v>
      </c>
      <c r="AK120" s="85">
        <f t="shared" ca="1" si="138"/>
        <v>477.06028411647463</v>
      </c>
      <c r="AL120" s="85">
        <f t="shared" ca="1" si="139"/>
        <v>489.82143708282621</v>
      </c>
      <c r="AM120" s="85">
        <f t="shared" ca="1" si="140"/>
        <v>440.37940111766881</v>
      </c>
      <c r="AN120" s="85">
        <f t="shared" ca="1" si="141"/>
        <v>489.78531681017563</v>
      </c>
      <c r="AO120" s="85">
        <f t="shared" ca="1" si="142"/>
        <v>534.62757533792706</v>
      </c>
      <c r="AP120" s="85">
        <f t="shared" ca="1" si="143"/>
        <v>507.51097728707532</v>
      </c>
      <c r="AQ120" s="85">
        <f t="shared" ca="1" si="144"/>
        <v>426.7096875008462</v>
      </c>
      <c r="AR120" s="85">
        <f t="shared" ca="1" si="145"/>
        <v>468.51407667100216</v>
      </c>
      <c r="AS120" s="85">
        <f t="shared" ca="1" si="146"/>
        <v>428.91638472742318</v>
      </c>
      <c r="AT120" s="85">
        <f t="shared" ca="1" si="147"/>
        <v>503.52721300486536</v>
      </c>
      <c r="AU120" s="85">
        <f t="shared" ca="1" si="148"/>
        <v>470.27425341887829</v>
      </c>
      <c r="AV120" s="85">
        <f t="shared" ca="1" si="149"/>
        <v>457.01832377378281</v>
      </c>
      <c r="AW120" s="85">
        <f t="shared" ca="1" si="150"/>
        <v>453.92124262009617</v>
      </c>
      <c r="AX120" s="85">
        <f t="shared" ca="1" si="151"/>
        <v>537.29817953189524</v>
      </c>
      <c r="AY120" s="85">
        <f t="shared" ca="1" si="152"/>
        <v>508.44762499311719</v>
      </c>
      <c r="AZ120" s="85">
        <f t="shared" ca="1" si="153"/>
        <v>458.92908891560495</v>
      </c>
      <c r="BA120" s="85">
        <f t="shared" ca="1" si="154"/>
        <v>489.20094720409571</v>
      </c>
      <c r="BB120" s="85">
        <f t="shared" ca="1" si="155"/>
        <v>440.54903617732549</v>
      </c>
      <c r="BC120" s="85">
        <f t="shared" ca="1" si="156"/>
        <v>464.95066937683379</v>
      </c>
      <c r="BD120" s="85">
        <f t="shared" ca="1" si="157"/>
        <v>467.40658301557465</v>
      </c>
      <c r="BE120" s="85">
        <f t="shared" ca="1" si="158"/>
        <v>411.42435703481328</v>
      </c>
      <c r="BF120" s="85">
        <f t="shared" ca="1" si="159"/>
        <v>466.52807598406508</v>
      </c>
      <c r="BG120" s="85">
        <f t="shared" ca="1" si="160"/>
        <v>408.08768756738147</v>
      </c>
      <c r="BH120" s="85">
        <f t="shared" ca="1" si="161"/>
        <v>463.46100876138081</v>
      </c>
      <c r="BI120" s="85">
        <f t="shared" ca="1" si="162"/>
        <v>432.58165646748421</v>
      </c>
      <c r="BJ120" s="85">
        <f t="shared" ca="1" si="163"/>
        <v>471.87141675050555</v>
      </c>
      <c r="BK120" s="85">
        <f t="shared" ca="1" si="164"/>
        <v>474.31294323536542</v>
      </c>
      <c r="BL120" s="85">
        <f t="shared" ca="1" si="165"/>
        <v>442.43709273568675</v>
      </c>
      <c r="BM120" s="85">
        <f t="shared" ca="1" si="166"/>
        <v>404.39532704095052</v>
      </c>
      <c r="BN120" s="85">
        <f t="shared" ca="1" si="103"/>
        <v>513.80994631761189</v>
      </c>
      <c r="BO120" s="85">
        <f t="shared" ca="1" si="192"/>
        <v>541.29302347510179</v>
      </c>
      <c r="BP120" s="85">
        <f t="shared" ca="1" si="193"/>
        <v>421.28407208108734</v>
      </c>
      <c r="BQ120" s="85">
        <f t="shared" ca="1" si="194"/>
        <v>433.6818969340211</v>
      </c>
      <c r="BR120" s="85">
        <f t="shared" ca="1" si="195"/>
        <v>429.99527837024579</v>
      </c>
      <c r="BS120" s="85">
        <f t="shared" ca="1" si="196"/>
        <v>464.08289373491561</v>
      </c>
      <c r="BT120" s="85">
        <f t="shared" ca="1" si="197"/>
        <v>494.24835280248391</v>
      </c>
      <c r="BU120" s="85">
        <f t="shared" ca="1" si="198"/>
        <v>486.28150440786862</v>
      </c>
      <c r="BV120" s="85">
        <f t="shared" ca="1" si="199"/>
        <v>464.46891667262008</v>
      </c>
      <c r="BW120" s="85">
        <f t="shared" ca="1" si="200"/>
        <v>503.63904645290449</v>
      </c>
      <c r="BX120" s="85">
        <f t="shared" ca="1" si="201"/>
        <v>466.69959563708812</v>
      </c>
      <c r="BY120" s="85">
        <f t="shared" ca="1" si="167"/>
        <v>464.6525310475003</v>
      </c>
      <c r="BZ120" s="85">
        <f t="shared" ca="1" si="168"/>
        <v>461.42648338374994</v>
      </c>
      <c r="CA120" s="85">
        <f t="shared" ca="1" si="169"/>
        <v>442.20589153748705</v>
      </c>
      <c r="CB120" s="85">
        <f t="shared" ca="1" si="170"/>
        <v>428.44509116250902</v>
      </c>
      <c r="CC120" s="85">
        <f t="shared" ca="1" si="171"/>
        <v>463.46707004915339</v>
      </c>
      <c r="CD120" s="85">
        <f t="shared" ca="1" si="172"/>
        <v>529.40336141594389</v>
      </c>
      <c r="CE120" s="85">
        <f t="shared" ca="1" si="173"/>
        <v>413.88094365622072</v>
      </c>
      <c r="CF120" s="85">
        <f t="shared" ca="1" si="174"/>
        <v>512.4415581923314</v>
      </c>
      <c r="CG120" s="85">
        <f t="shared" ca="1" si="175"/>
        <v>424.38843732736296</v>
      </c>
      <c r="CH120" s="85">
        <f t="shared" ca="1" si="176"/>
        <v>491.52500301462737</v>
      </c>
      <c r="CI120" s="85">
        <f t="shared" ca="1" si="177"/>
        <v>484.2153926423004</v>
      </c>
      <c r="CJ120" s="85">
        <f t="shared" ca="1" si="178"/>
        <v>442.51207727709397</v>
      </c>
      <c r="CK120" s="85">
        <f t="shared" ca="1" si="179"/>
        <v>462.25707188654371</v>
      </c>
      <c r="CL120" s="85">
        <f t="shared" ca="1" si="180"/>
        <v>437.71428962773888</v>
      </c>
      <c r="CM120" s="85">
        <f t="shared" ca="1" si="181"/>
        <v>496.71331292663081</v>
      </c>
      <c r="CN120" s="85">
        <f t="shared" ca="1" si="182"/>
        <v>425.99343591918569</v>
      </c>
      <c r="CO120" s="85">
        <f t="shared" ca="1" si="183"/>
        <v>419.96962403391905</v>
      </c>
      <c r="CP120" s="85">
        <f t="shared" ca="1" si="184"/>
        <v>549.48719968692421</v>
      </c>
      <c r="CQ120" s="85">
        <f t="shared" ca="1" si="185"/>
        <v>470.05322696345718</v>
      </c>
      <c r="CR120" s="85">
        <f t="shared" ca="1" si="186"/>
        <v>501.27245792891057</v>
      </c>
      <c r="CS120" s="85">
        <f t="shared" ca="1" si="187"/>
        <v>395.88893880549057</v>
      </c>
      <c r="CT120" s="85">
        <f t="shared" ca="1" si="188"/>
        <v>468.10678295860316</v>
      </c>
      <c r="CU120" s="85">
        <f t="shared" ca="1" si="189"/>
        <v>556.51310297281486</v>
      </c>
      <c r="CV120" s="85">
        <f t="shared" ca="1" si="190"/>
        <v>424.53862781172671</v>
      </c>
      <c r="CW120" s="85">
        <f t="shared" ca="1" si="191"/>
        <v>416.24570039499906</v>
      </c>
    </row>
    <row r="121" spans="1:101" x14ac:dyDescent="0.2">
      <c r="A121" s="115">
        <v>118</v>
      </c>
      <c r="B121" s="85">
        <f t="shared" ca="1" si="102"/>
        <v>416.14862606547666</v>
      </c>
      <c r="C121" s="85">
        <f t="shared" ca="1" si="104"/>
        <v>457.22541354028425</v>
      </c>
      <c r="D121" s="85">
        <f t="shared" ca="1" si="105"/>
        <v>437.73395316632804</v>
      </c>
      <c r="E121" s="85">
        <f t="shared" ca="1" si="106"/>
        <v>432.27205371438652</v>
      </c>
      <c r="F121" s="85">
        <f t="shared" ca="1" si="107"/>
        <v>433.18652830635131</v>
      </c>
      <c r="G121" s="85">
        <f t="shared" ca="1" si="108"/>
        <v>479.19548017947386</v>
      </c>
      <c r="H121" s="85">
        <f t="shared" ca="1" si="109"/>
        <v>461.54589296295376</v>
      </c>
      <c r="I121" s="85">
        <f t="shared" ca="1" si="110"/>
        <v>472.99886902821072</v>
      </c>
      <c r="J121" s="85">
        <f t="shared" ca="1" si="111"/>
        <v>458.76129356090235</v>
      </c>
      <c r="K121" s="85">
        <f t="shared" ca="1" si="112"/>
        <v>473.04136874108866</v>
      </c>
      <c r="L121" s="85">
        <f t="shared" ca="1" si="113"/>
        <v>522.02623019198813</v>
      </c>
      <c r="M121" s="85">
        <f t="shared" ca="1" si="114"/>
        <v>377.13474944399661</v>
      </c>
      <c r="N121" s="85">
        <f t="shared" ca="1" si="115"/>
        <v>451.87856679364961</v>
      </c>
      <c r="O121" s="85">
        <f t="shared" ca="1" si="116"/>
        <v>449.02665974515935</v>
      </c>
      <c r="P121" s="85">
        <f t="shared" ca="1" si="117"/>
        <v>461.79525839379818</v>
      </c>
      <c r="Q121" s="85">
        <f t="shared" ca="1" si="118"/>
        <v>483.80818933930453</v>
      </c>
      <c r="R121" s="85">
        <f t="shared" ca="1" si="119"/>
        <v>427.60333909740677</v>
      </c>
      <c r="S121" s="85">
        <f t="shared" ca="1" si="120"/>
        <v>488.92075544141255</v>
      </c>
      <c r="T121" s="85">
        <f t="shared" ca="1" si="121"/>
        <v>471.15737600356709</v>
      </c>
      <c r="U121" s="85">
        <f t="shared" ca="1" si="122"/>
        <v>418.75559608003925</v>
      </c>
      <c r="V121" s="85">
        <f t="shared" ca="1" si="123"/>
        <v>497.50696550833163</v>
      </c>
      <c r="W121" s="85">
        <f t="shared" ca="1" si="124"/>
        <v>457.42577252217302</v>
      </c>
      <c r="X121" s="85">
        <f t="shared" ca="1" si="125"/>
        <v>472.21299938219198</v>
      </c>
      <c r="Y121" s="85">
        <f t="shared" ca="1" si="126"/>
        <v>419.30520032268873</v>
      </c>
      <c r="Z121" s="85">
        <f t="shared" ca="1" si="127"/>
        <v>460.16379235399421</v>
      </c>
      <c r="AA121" s="85">
        <f t="shared" ca="1" si="128"/>
        <v>431.84190452847321</v>
      </c>
      <c r="AB121" s="85">
        <f t="shared" ca="1" si="129"/>
        <v>524.68745402921866</v>
      </c>
      <c r="AC121" s="85">
        <f t="shared" ca="1" si="130"/>
        <v>473.21620993193596</v>
      </c>
      <c r="AD121" s="85">
        <f t="shared" ca="1" si="131"/>
        <v>541.45158464506335</v>
      </c>
      <c r="AE121" s="85">
        <f t="shared" ca="1" si="132"/>
        <v>610.80174417084618</v>
      </c>
      <c r="AF121" s="85">
        <f t="shared" ca="1" si="133"/>
        <v>433.04572100801914</v>
      </c>
      <c r="AG121" s="85">
        <f t="shared" ca="1" si="134"/>
        <v>472.42080723399755</v>
      </c>
      <c r="AH121" s="85">
        <f t="shared" ca="1" si="135"/>
        <v>417.56746741343244</v>
      </c>
      <c r="AI121" s="85">
        <f t="shared" ca="1" si="136"/>
        <v>494.99966217518181</v>
      </c>
      <c r="AJ121" s="85">
        <f t="shared" ca="1" si="137"/>
        <v>545.21586781710459</v>
      </c>
      <c r="AK121" s="85">
        <f t="shared" ca="1" si="138"/>
        <v>480.59165615271917</v>
      </c>
      <c r="AL121" s="85">
        <f t="shared" ca="1" si="139"/>
        <v>500.68977301357461</v>
      </c>
      <c r="AM121" s="85">
        <f t="shared" ca="1" si="140"/>
        <v>446.26213485924586</v>
      </c>
      <c r="AN121" s="85">
        <f t="shared" ca="1" si="141"/>
        <v>500.04403112369943</v>
      </c>
      <c r="AO121" s="85">
        <f t="shared" ca="1" si="142"/>
        <v>537.84419715910269</v>
      </c>
      <c r="AP121" s="85">
        <f t="shared" ca="1" si="143"/>
        <v>511.53537682164961</v>
      </c>
      <c r="AQ121" s="85">
        <f t="shared" ca="1" si="144"/>
        <v>437.01473311933654</v>
      </c>
      <c r="AR121" s="85">
        <f t="shared" ca="1" si="145"/>
        <v>475.59354430620101</v>
      </c>
      <c r="AS121" s="85">
        <f t="shared" ca="1" si="146"/>
        <v>431.15002347449996</v>
      </c>
      <c r="AT121" s="85">
        <f t="shared" ca="1" si="147"/>
        <v>505.85307431608783</v>
      </c>
      <c r="AU121" s="85">
        <f t="shared" ca="1" si="148"/>
        <v>474.91929891248469</v>
      </c>
      <c r="AV121" s="85">
        <f t="shared" ca="1" si="149"/>
        <v>464.59370939566577</v>
      </c>
      <c r="AW121" s="85">
        <f t="shared" ca="1" si="150"/>
        <v>460.04763592899633</v>
      </c>
      <c r="AX121" s="85">
        <f t="shared" ca="1" si="151"/>
        <v>540.80251308868526</v>
      </c>
      <c r="AY121" s="85">
        <f t="shared" ca="1" si="152"/>
        <v>518.57839164223617</v>
      </c>
      <c r="AZ121" s="85">
        <f t="shared" ca="1" si="153"/>
        <v>477.01011784962918</v>
      </c>
      <c r="BA121" s="85">
        <f t="shared" ca="1" si="154"/>
        <v>503.94864783170243</v>
      </c>
      <c r="BB121" s="85">
        <f t="shared" ca="1" si="155"/>
        <v>442.1595019967628</v>
      </c>
      <c r="BC121" s="85">
        <f t="shared" ca="1" si="156"/>
        <v>461.97469137957148</v>
      </c>
      <c r="BD121" s="85">
        <f t="shared" ca="1" si="157"/>
        <v>475.11765444489475</v>
      </c>
      <c r="BE121" s="85">
        <f t="shared" ca="1" si="158"/>
        <v>418.71715935752184</v>
      </c>
      <c r="BF121" s="85">
        <f t="shared" ca="1" si="159"/>
        <v>470.53420096209402</v>
      </c>
      <c r="BG121" s="85">
        <f t="shared" ca="1" si="160"/>
        <v>417.94379298044788</v>
      </c>
      <c r="BH121" s="85">
        <f t="shared" ca="1" si="161"/>
        <v>467.53644442575387</v>
      </c>
      <c r="BI121" s="85">
        <f t="shared" ca="1" si="162"/>
        <v>439.29938495254873</v>
      </c>
      <c r="BJ121" s="85">
        <f t="shared" ca="1" si="163"/>
        <v>480.63586103754278</v>
      </c>
      <c r="BK121" s="85">
        <f t="shared" ca="1" si="164"/>
        <v>480.45817724537898</v>
      </c>
      <c r="BL121" s="85">
        <f t="shared" ca="1" si="165"/>
        <v>444.86446498068534</v>
      </c>
      <c r="BM121" s="85">
        <f t="shared" ca="1" si="166"/>
        <v>409.74685879375801</v>
      </c>
      <c r="BN121" s="85">
        <f t="shared" ca="1" si="103"/>
        <v>516.78948668019575</v>
      </c>
      <c r="BO121" s="85">
        <f t="shared" ca="1" si="192"/>
        <v>550.8550374567958</v>
      </c>
      <c r="BP121" s="85">
        <f t="shared" ca="1" si="193"/>
        <v>425.28557676737034</v>
      </c>
      <c r="BQ121" s="85">
        <f t="shared" ca="1" si="194"/>
        <v>441.64641275358719</v>
      </c>
      <c r="BR121" s="85">
        <f t="shared" ca="1" si="195"/>
        <v>432.73508573235586</v>
      </c>
      <c r="BS121" s="85">
        <f t="shared" ca="1" si="196"/>
        <v>478.25033354015994</v>
      </c>
      <c r="BT121" s="85">
        <f t="shared" ca="1" si="197"/>
        <v>503.49749790110155</v>
      </c>
      <c r="BU121" s="85">
        <f t="shared" ca="1" si="198"/>
        <v>500.53523310251285</v>
      </c>
      <c r="BV121" s="85">
        <f t="shared" ca="1" si="199"/>
        <v>474.9750316663023</v>
      </c>
      <c r="BW121" s="85">
        <f t="shared" ca="1" si="200"/>
        <v>505.93041202370995</v>
      </c>
      <c r="BX121" s="85">
        <f t="shared" ca="1" si="201"/>
        <v>478.44154471745992</v>
      </c>
      <c r="BY121" s="85">
        <f t="shared" ca="1" si="167"/>
        <v>464.47186539892027</v>
      </c>
      <c r="BZ121" s="85">
        <f t="shared" ca="1" si="168"/>
        <v>463.37167996868266</v>
      </c>
      <c r="CA121" s="85">
        <f t="shared" ca="1" si="169"/>
        <v>454.68829395746701</v>
      </c>
      <c r="CB121" s="85">
        <f t="shared" ca="1" si="170"/>
        <v>437.49620314959549</v>
      </c>
      <c r="CC121" s="85">
        <f t="shared" ca="1" si="171"/>
        <v>472.78918398195191</v>
      </c>
      <c r="CD121" s="85">
        <f t="shared" ca="1" si="172"/>
        <v>536.66894274426204</v>
      </c>
      <c r="CE121" s="85">
        <f t="shared" ca="1" si="173"/>
        <v>421.36447943200238</v>
      </c>
      <c r="CF121" s="85">
        <f t="shared" ca="1" si="174"/>
        <v>518.27552321606663</v>
      </c>
      <c r="CG121" s="85">
        <f t="shared" ca="1" si="175"/>
        <v>430.08844454460495</v>
      </c>
      <c r="CH121" s="85">
        <f t="shared" ca="1" si="176"/>
        <v>499.44180721007928</v>
      </c>
      <c r="CI121" s="85">
        <f t="shared" ca="1" si="177"/>
        <v>484.83486015721041</v>
      </c>
      <c r="CJ121" s="85">
        <f t="shared" ca="1" si="178"/>
        <v>448.47567289725833</v>
      </c>
      <c r="CK121" s="85">
        <f t="shared" ca="1" si="179"/>
        <v>473.16571574639249</v>
      </c>
      <c r="CL121" s="85">
        <f t="shared" ca="1" si="180"/>
        <v>441.37159693649312</v>
      </c>
      <c r="CM121" s="85">
        <f t="shared" ca="1" si="181"/>
        <v>504.0137675782666</v>
      </c>
      <c r="CN121" s="85">
        <f t="shared" ca="1" si="182"/>
        <v>430.30477467015993</v>
      </c>
      <c r="CO121" s="85">
        <f t="shared" ca="1" si="183"/>
        <v>422.26902229689199</v>
      </c>
      <c r="CP121" s="85">
        <f t="shared" ca="1" si="184"/>
        <v>553.2320092995825</v>
      </c>
      <c r="CQ121" s="85">
        <f t="shared" ca="1" si="185"/>
        <v>470.62890669628683</v>
      </c>
      <c r="CR121" s="85">
        <f t="shared" ca="1" si="186"/>
        <v>509.21743820992907</v>
      </c>
      <c r="CS121" s="85">
        <f t="shared" ca="1" si="187"/>
        <v>397.99276854688139</v>
      </c>
      <c r="CT121" s="85">
        <f t="shared" ca="1" si="188"/>
        <v>477.00252813769447</v>
      </c>
      <c r="CU121" s="85">
        <f t="shared" ca="1" si="189"/>
        <v>564.22026145756479</v>
      </c>
      <c r="CV121" s="85">
        <f t="shared" ca="1" si="190"/>
        <v>432.64779037826054</v>
      </c>
      <c r="CW121" s="85">
        <f t="shared" ca="1" si="191"/>
        <v>423.02280609513434</v>
      </c>
    </row>
    <row r="122" spans="1:101" x14ac:dyDescent="0.2">
      <c r="A122" s="115">
        <v>119</v>
      </c>
      <c r="B122" s="85">
        <f t="shared" ca="1" si="102"/>
        <v>422.54080192590544</v>
      </c>
      <c r="C122" s="85">
        <f t="shared" ca="1" si="104"/>
        <v>462.37748821083528</v>
      </c>
      <c r="D122" s="85">
        <f t="shared" ca="1" si="105"/>
        <v>443.43132417162536</v>
      </c>
      <c r="E122" s="85">
        <f t="shared" ca="1" si="106"/>
        <v>438.14164133679435</v>
      </c>
      <c r="F122" s="85">
        <f t="shared" ca="1" si="107"/>
        <v>438.66017799646932</v>
      </c>
      <c r="G122" s="85">
        <f t="shared" ca="1" si="108"/>
        <v>485.74033375982975</v>
      </c>
      <c r="H122" s="85">
        <f t="shared" ca="1" si="109"/>
        <v>463.27270387815827</v>
      </c>
      <c r="I122" s="85">
        <f t="shared" ca="1" si="110"/>
        <v>485.80181262931171</v>
      </c>
      <c r="J122" s="85">
        <f t="shared" ca="1" si="111"/>
        <v>461.05120075035825</v>
      </c>
      <c r="K122" s="85">
        <f t="shared" ca="1" si="112"/>
        <v>483.16961736597466</v>
      </c>
      <c r="L122" s="85">
        <f t="shared" ca="1" si="113"/>
        <v>530.47453036151671</v>
      </c>
      <c r="M122" s="85">
        <f t="shared" ca="1" si="114"/>
        <v>379.53407167730222</v>
      </c>
      <c r="N122" s="85">
        <f t="shared" ca="1" si="115"/>
        <v>458.73782777776802</v>
      </c>
      <c r="O122" s="85">
        <f t="shared" ca="1" si="116"/>
        <v>457.88041435264881</v>
      </c>
      <c r="P122" s="85">
        <f t="shared" ca="1" si="117"/>
        <v>464.95374106164377</v>
      </c>
      <c r="Q122" s="85">
        <f t="shared" ca="1" si="118"/>
        <v>497.44835432520591</v>
      </c>
      <c r="R122" s="85">
        <f t="shared" ca="1" si="119"/>
        <v>434.78577987706473</v>
      </c>
      <c r="S122" s="85">
        <f t="shared" ca="1" si="120"/>
        <v>498.72067970246627</v>
      </c>
      <c r="T122" s="85">
        <f t="shared" ca="1" si="121"/>
        <v>476.82903205074695</v>
      </c>
      <c r="U122" s="85">
        <f t="shared" ca="1" si="122"/>
        <v>422.83918356967467</v>
      </c>
      <c r="V122" s="85">
        <f t="shared" ca="1" si="123"/>
        <v>505.00719903303707</v>
      </c>
      <c r="W122" s="85">
        <f t="shared" ca="1" si="124"/>
        <v>458.54060678102047</v>
      </c>
      <c r="X122" s="85">
        <f t="shared" ca="1" si="125"/>
        <v>481.0272958388623</v>
      </c>
      <c r="Y122" s="85">
        <f t="shared" ca="1" si="126"/>
        <v>424.09501470243941</v>
      </c>
      <c r="Z122" s="85">
        <f t="shared" ca="1" si="127"/>
        <v>468.13358206706897</v>
      </c>
      <c r="AA122" s="85">
        <f t="shared" ca="1" si="128"/>
        <v>439.27186976791955</v>
      </c>
      <c r="AB122" s="85">
        <f t="shared" ca="1" si="129"/>
        <v>537.71298321833751</v>
      </c>
      <c r="AC122" s="85">
        <f t="shared" ca="1" si="130"/>
        <v>479.18799170065535</v>
      </c>
      <c r="AD122" s="85">
        <f t="shared" ca="1" si="131"/>
        <v>551.96959911167153</v>
      </c>
      <c r="AE122" s="85">
        <f t="shared" ca="1" si="132"/>
        <v>630.47270604362416</v>
      </c>
      <c r="AF122" s="85">
        <f t="shared" ca="1" si="133"/>
        <v>440.57154311783057</v>
      </c>
      <c r="AG122" s="85">
        <f t="shared" ca="1" si="134"/>
        <v>480.79220847532264</v>
      </c>
      <c r="AH122" s="85">
        <f t="shared" ca="1" si="135"/>
        <v>417.88202002117134</v>
      </c>
      <c r="AI122" s="85">
        <f t="shared" ca="1" si="136"/>
        <v>503.42339760091346</v>
      </c>
      <c r="AJ122" s="85">
        <f t="shared" ca="1" si="137"/>
        <v>552.38761098265911</v>
      </c>
      <c r="AK122" s="85">
        <f t="shared" ca="1" si="138"/>
        <v>483.8362392985465</v>
      </c>
      <c r="AL122" s="85">
        <f t="shared" ca="1" si="139"/>
        <v>503.18521993641485</v>
      </c>
      <c r="AM122" s="85">
        <f t="shared" ca="1" si="140"/>
        <v>449.41569924183921</v>
      </c>
      <c r="AN122" s="85">
        <f t="shared" ca="1" si="141"/>
        <v>509.50869007538796</v>
      </c>
      <c r="AO122" s="85">
        <f t="shared" ca="1" si="142"/>
        <v>546.11982412648365</v>
      </c>
      <c r="AP122" s="85">
        <f t="shared" ca="1" si="143"/>
        <v>522.79889189063829</v>
      </c>
      <c r="AQ122" s="85">
        <f t="shared" ca="1" si="144"/>
        <v>439.10967983032629</v>
      </c>
      <c r="AR122" s="85">
        <f t="shared" ca="1" si="145"/>
        <v>483.61644019744176</v>
      </c>
      <c r="AS122" s="85">
        <f t="shared" ca="1" si="146"/>
        <v>441.06278839465108</v>
      </c>
      <c r="AT122" s="85">
        <f t="shared" ca="1" si="147"/>
        <v>511.09851492053173</v>
      </c>
      <c r="AU122" s="85">
        <f t="shared" ca="1" si="148"/>
        <v>480.54945555647407</v>
      </c>
      <c r="AV122" s="85">
        <f t="shared" ca="1" si="149"/>
        <v>471.32717806752675</v>
      </c>
      <c r="AW122" s="85">
        <f t="shared" ca="1" si="150"/>
        <v>469.07404997430774</v>
      </c>
      <c r="AX122" s="85">
        <f t="shared" ca="1" si="151"/>
        <v>541.72633840232493</v>
      </c>
      <c r="AY122" s="85">
        <f t="shared" ca="1" si="152"/>
        <v>515.36288701079536</v>
      </c>
      <c r="AZ122" s="85">
        <f t="shared" ca="1" si="153"/>
        <v>485.43812716384434</v>
      </c>
      <c r="BA122" s="85">
        <f t="shared" ca="1" si="154"/>
        <v>516.44744293489191</v>
      </c>
      <c r="BB122" s="85">
        <f t="shared" ca="1" si="155"/>
        <v>450.55668177156889</v>
      </c>
      <c r="BC122" s="85">
        <f t="shared" ca="1" si="156"/>
        <v>466.22794828418046</v>
      </c>
      <c r="BD122" s="85">
        <f t="shared" ca="1" si="157"/>
        <v>485.26757436294645</v>
      </c>
      <c r="BE122" s="85">
        <f t="shared" ca="1" si="158"/>
        <v>425.39654702261487</v>
      </c>
      <c r="BF122" s="85">
        <f t="shared" ca="1" si="159"/>
        <v>475.31886113552054</v>
      </c>
      <c r="BG122" s="85">
        <f t="shared" ca="1" si="160"/>
        <v>424.47391600772062</v>
      </c>
      <c r="BH122" s="85">
        <f t="shared" ca="1" si="161"/>
        <v>478.84257136828518</v>
      </c>
      <c r="BI122" s="85">
        <f t="shared" ca="1" si="162"/>
        <v>442.95762020476457</v>
      </c>
      <c r="BJ122" s="85">
        <f t="shared" ca="1" si="163"/>
        <v>489.08184157773758</v>
      </c>
      <c r="BK122" s="85">
        <f t="shared" ca="1" si="164"/>
        <v>486.06854022208495</v>
      </c>
      <c r="BL122" s="85">
        <f t="shared" ca="1" si="165"/>
        <v>452.64008740890131</v>
      </c>
      <c r="BM122" s="85">
        <f t="shared" ca="1" si="166"/>
        <v>415.90572710785597</v>
      </c>
      <c r="BN122" s="85">
        <f t="shared" ca="1" si="103"/>
        <v>527.74369054359249</v>
      </c>
      <c r="BO122" s="85">
        <f t="shared" ca="1" si="192"/>
        <v>557.69664610401924</v>
      </c>
      <c r="BP122" s="85">
        <f t="shared" ca="1" si="193"/>
        <v>431.63867147620482</v>
      </c>
      <c r="BQ122" s="85">
        <f t="shared" ca="1" si="194"/>
        <v>447.34078021416445</v>
      </c>
      <c r="BR122" s="85">
        <f t="shared" ca="1" si="195"/>
        <v>440.32515945968908</v>
      </c>
      <c r="BS122" s="85">
        <f t="shared" ca="1" si="196"/>
        <v>489.79036171498632</v>
      </c>
      <c r="BT122" s="85">
        <f t="shared" ca="1" si="197"/>
        <v>510.86137840635354</v>
      </c>
      <c r="BU122" s="85">
        <f t="shared" ca="1" si="198"/>
        <v>513.06406727192189</v>
      </c>
      <c r="BV122" s="85">
        <f t="shared" ca="1" si="199"/>
        <v>477.76821212269175</v>
      </c>
      <c r="BW122" s="85">
        <f t="shared" ca="1" si="200"/>
        <v>507.30957509894188</v>
      </c>
      <c r="BX122" s="85">
        <f t="shared" ca="1" si="201"/>
        <v>490.38756337611852</v>
      </c>
      <c r="BY122" s="85">
        <f t="shared" ca="1" si="167"/>
        <v>472.3757962730877</v>
      </c>
      <c r="BZ122" s="85">
        <f t="shared" ca="1" si="168"/>
        <v>467.49833346192611</v>
      </c>
      <c r="CA122" s="85">
        <f t="shared" ca="1" si="169"/>
        <v>460.50531825987485</v>
      </c>
      <c r="CB122" s="85">
        <f t="shared" ca="1" si="170"/>
        <v>442.3328809261638</v>
      </c>
      <c r="CC122" s="85">
        <f t="shared" ca="1" si="171"/>
        <v>483.59447004407269</v>
      </c>
      <c r="CD122" s="85">
        <f t="shared" ca="1" si="172"/>
        <v>540.20406036650593</v>
      </c>
      <c r="CE122" s="85">
        <f t="shared" ca="1" si="173"/>
        <v>428.89343752505198</v>
      </c>
      <c r="CF122" s="85">
        <f t="shared" ca="1" si="174"/>
        <v>526.44520861826459</v>
      </c>
      <c r="CG122" s="85">
        <f t="shared" ca="1" si="175"/>
        <v>434.86724040376271</v>
      </c>
      <c r="CH122" s="85">
        <f t="shared" ca="1" si="176"/>
        <v>503.16822779616319</v>
      </c>
      <c r="CI122" s="85">
        <f t="shared" ca="1" si="177"/>
        <v>491.60137914545442</v>
      </c>
      <c r="CJ122" s="85">
        <f t="shared" ca="1" si="178"/>
        <v>451.82142140152672</v>
      </c>
      <c r="CK122" s="85">
        <f t="shared" ca="1" si="179"/>
        <v>478.74439298050459</v>
      </c>
      <c r="CL122" s="85">
        <f t="shared" ca="1" si="180"/>
        <v>447.28969163311507</v>
      </c>
      <c r="CM122" s="85">
        <f t="shared" ca="1" si="181"/>
        <v>511.80646419455906</v>
      </c>
      <c r="CN122" s="85">
        <f t="shared" ca="1" si="182"/>
        <v>436.80599237236578</v>
      </c>
      <c r="CO122" s="85">
        <f t="shared" ca="1" si="183"/>
        <v>425.46294294744473</v>
      </c>
      <c r="CP122" s="85">
        <f t="shared" ca="1" si="184"/>
        <v>558.21360420582005</v>
      </c>
      <c r="CQ122" s="85">
        <f t="shared" ca="1" si="185"/>
        <v>475.74726693033051</v>
      </c>
      <c r="CR122" s="85">
        <f t="shared" ca="1" si="186"/>
        <v>515.09504696348063</v>
      </c>
      <c r="CS122" s="85">
        <f t="shared" ca="1" si="187"/>
        <v>404.36911409593614</v>
      </c>
      <c r="CT122" s="85">
        <f t="shared" ca="1" si="188"/>
        <v>480.95634259593561</v>
      </c>
      <c r="CU122" s="85">
        <f t="shared" ca="1" si="189"/>
        <v>562.1650576327778</v>
      </c>
      <c r="CV122" s="85">
        <f t="shared" ca="1" si="190"/>
        <v>438.22266202039924</v>
      </c>
      <c r="CW122" s="85">
        <f t="shared" ca="1" si="191"/>
        <v>430.84231463208823</v>
      </c>
    </row>
    <row r="123" spans="1:101" x14ac:dyDescent="0.2">
      <c r="A123" s="115">
        <v>120</v>
      </c>
      <c r="B123" s="85">
        <f t="shared" ca="1" si="102"/>
        <v>422.97091640433263</v>
      </c>
      <c r="C123" s="85">
        <f t="shared" ca="1" si="104"/>
        <v>472.06874586266815</v>
      </c>
      <c r="D123" s="85">
        <f t="shared" ca="1" si="105"/>
        <v>448.95465799023759</v>
      </c>
      <c r="E123" s="85">
        <f t="shared" ca="1" si="106"/>
        <v>442.96800045958571</v>
      </c>
      <c r="F123" s="85">
        <f t="shared" ca="1" si="107"/>
        <v>444.95169420750915</v>
      </c>
      <c r="G123" s="85">
        <f t="shared" ca="1" si="108"/>
        <v>493.36268556343941</v>
      </c>
      <c r="H123" s="85">
        <f t="shared" ca="1" si="109"/>
        <v>471.08394204314908</v>
      </c>
      <c r="I123" s="85">
        <f t="shared" ca="1" si="110"/>
        <v>496.63612903420335</v>
      </c>
      <c r="J123" s="85">
        <f t="shared" ca="1" si="111"/>
        <v>468.59617313779614</v>
      </c>
      <c r="K123" s="85">
        <f t="shared" ca="1" si="112"/>
        <v>492.55492701821021</v>
      </c>
      <c r="L123" s="85">
        <f t="shared" ca="1" si="113"/>
        <v>535.39558997809047</v>
      </c>
      <c r="M123" s="85">
        <f t="shared" ca="1" si="114"/>
        <v>384.98438176080623</v>
      </c>
      <c r="N123" s="85">
        <f t="shared" ca="1" si="115"/>
        <v>465.55688434075364</v>
      </c>
      <c r="O123" s="85">
        <f t="shared" ca="1" si="116"/>
        <v>461.16600060929238</v>
      </c>
      <c r="P123" s="85">
        <f t="shared" ca="1" si="117"/>
        <v>476.52876314878949</v>
      </c>
      <c r="Q123" s="85">
        <f t="shared" ca="1" si="118"/>
        <v>506.00014727800556</v>
      </c>
      <c r="R123" s="85">
        <f t="shared" ca="1" si="119"/>
        <v>440.84790307566573</v>
      </c>
      <c r="S123" s="85">
        <f t="shared" ca="1" si="120"/>
        <v>507.53659563015469</v>
      </c>
      <c r="T123" s="85">
        <f t="shared" ca="1" si="121"/>
        <v>487.69298081318328</v>
      </c>
      <c r="U123" s="85">
        <f t="shared" ca="1" si="122"/>
        <v>428.48104322109509</v>
      </c>
      <c r="V123" s="85">
        <f t="shared" ca="1" si="123"/>
        <v>510.78679609233416</v>
      </c>
      <c r="W123" s="85">
        <f t="shared" ca="1" si="124"/>
        <v>464.55990167613623</v>
      </c>
      <c r="X123" s="85">
        <f t="shared" ca="1" si="125"/>
        <v>490.51909371335171</v>
      </c>
      <c r="Y123" s="85">
        <f t="shared" ca="1" si="126"/>
        <v>428.19797089069704</v>
      </c>
      <c r="Z123" s="85">
        <f t="shared" ca="1" si="127"/>
        <v>476.01743051071509</v>
      </c>
      <c r="AA123" s="85">
        <f t="shared" ca="1" si="128"/>
        <v>445.80255051801277</v>
      </c>
      <c r="AB123" s="85">
        <f t="shared" ca="1" si="129"/>
        <v>543.07198805950895</v>
      </c>
      <c r="AC123" s="85">
        <f t="shared" ca="1" si="130"/>
        <v>487.97626906345556</v>
      </c>
      <c r="AD123" s="85">
        <f t="shared" ca="1" si="131"/>
        <v>561.49560478589001</v>
      </c>
      <c r="AE123" s="85">
        <f t="shared" ca="1" si="132"/>
        <v>646.99855656061322</v>
      </c>
      <c r="AF123" s="85">
        <f t="shared" ca="1" si="133"/>
        <v>446.03643656816962</v>
      </c>
      <c r="AG123" s="85">
        <f t="shared" ca="1" si="134"/>
        <v>495.34366509308268</v>
      </c>
      <c r="AH123" s="85">
        <f t="shared" ca="1" si="135"/>
        <v>424.16580532116103</v>
      </c>
      <c r="AI123" s="85">
        <f t="shared" ca="1" si="136"/>
        <v>504.77663107081048</v>
      </c>
      <c r="AJ123" s="85">
        <f t="shared" ca="1" si="137"/>
        <v>563.57052585282474</v>
      </c>
      <c r="AK123" s="85">
        <f t="shared" ca="1" si="138"/>
        <v>489.03626101620517</v>
      </c>
      <c r="AL123" s="85">
        <f t="shared" ca="1" si="139"/>
        <v>509.98436125357904</v>
      </c>
      <c r="AM123" s="85">
        <f t="shared" ca="1" si="140"/>
        <v>451.55362156894171</v>
      </c>
      <c r="AN123" s="85">
        <f t="shared" ca="1" si="141"/>
        <v>513.6138416565999</v>
      </c>
      <c r="AO123" s="85">
        <f t="shared" ca="1" si="142"/>
        <v>551.76423822294237</v>
      </c>
      <c r="AP123" s="85">
        <f t="shared" ca="1" si="143"/>
        <v>529.89426441740795</v>
      </c>
      <c r="AQ123" s="85">
        <f t="shared" ca="1" si="144"/>
        <v>445.64420191538323</v>
      </c>
      <c r="AR123" s="85">
        <f t="shared" ca="1" si="145"/>
        <v>484.18938692723862</v>
      </c>
      <c r="AS123" s="85">
        <f t="shared" ca="1" si="146"/>
        <v>445.65424896723488</v>
      </c>
      <c r="AT123" s="85">
        <f t="shared" ca="1" si="147"/>
        <v>520.78184558716646</v>
      </c>
      <c r="AU123" s="85">
        <f t="shared" ca="1" si="148"/>
        <v>488.55461452436003</v>
      </c>
      <c r="AV123" s="85">
        <f t="shared" ca="1" si="149"/>
        <v>475.02171424974159</v>
      </c>
      <c r="AW123" s="85">
        <f t="shared" ca="1" si="150"/>
        <v>482.26634877338091</v>
      </c>
      <c r="AX123" s="85">
        <f t="shared" ca="1" si="151"/>
        <v>551.07297212016567</v>
      </c>
      <c r="AY123" s="85">
        <f t="shared" ca="1" si="152"/>
        <v>522.02010219235865</v>
      </c>
      <c r="AZ123" s="85">
        <f t="shared" ca="1" si="153"/>
        <v>493.75884568799643</v>
      </c>
      <c r="BA123" s="85">
        <f t="shared" ca="1" si="154"/>
        <v>523.08355769388902</v>
      </c>
      <c r="BB123" s="85">
        <f t="shared" ca="1" si="155"/>
        <v>455.25958985623839</v>
      </c>
      <c r="BC123" s="85">
        <f t="shared" ca="1" si="156"/>
        <v>472.22558443582761</v>
      </c>
      <c r="BD123" s="85">
        <f t="shared" ca="1" si="157"/>
        <v>490.63396873677868</v>
      </c>
      <c r="BE123" s="85">
        <f t="shared" ca="1" si="158"/>
        <v>432.17813375910123</v>
      </c>
      <c r="BF123" s="85">
        <f t="shared" ca="1" si="159"/>
        <v>481.4434344873157</v>
      </c>
      <c r="BG123" s="85">
        <f t="shared" ca="1" si="160"/>
        <v>428.83825470366918</v>
      </c>
      <c r="BH123" s="85">
        <f t="shared" ca="1" si="161"/>
        <v>485.81118405448024</v>
      </c>
      <c r="BI123" s="85">
        <f t="shared" ca="1" si="162"/>
        <v>446.23233555714199</v>
      </c>
      <c r="BJ123" s="85">
        <f t="shared" ca="1" si="163"/>
        <v>492.02431771589391</v>
      </c>
      <c r="BK123" s="85">
        <f t="shared" ca="1" si="164"/>
        <v>491.10332927380858</v>
      </c>
      <c r="BL123" s="85">
        <f t="shared" ca="1" si="165"/>
        <v>458.62896747725006</v>
      </c>
      <c r="BM123" s="85">
        <f t="shared" ca="1" si="166"/>
        <v>421.64737157407984</v>
      </c>
      <c r="BN123" s="85">
        <f t="shared" ca="1" si="103"/>
        <v>534.66246040528199</v>
      </c>
      <c r="BO123" s="85">
        <f t="shared" ca="1" si="192"/>
        <v>563.48324824712836</v>
      </c>
      <c r="BP123" s="85">
        <f t="shared" ca="1" si="193"/>
        <v>441.63159243504225</v>
      </c>
      <c r="BQ123" s="85">
        <f t="shared" ca="1" si="194"/>
        <v>456.58816662621007</v>
      </c>
      <c r="BR123" s="85">
        <f t="shared" ca="1" si="195"/>
        <v>445.52841267424498</v>
      </c>
      <c r="BS123" s="85">
        <f t="shared" ca="1" si="196"/>
        <v>496.53688532460762</v>
      </c>
      <c r="BT123" s="85">
        <f t="shared" ca="1" si="197"/>
        <v>513.64139662722721</v>
      </c>
      <c r="BU123" s="85">
        <f t="shared" ca="1" si="198"/>
        <v>518.15462472685135</v>
      </c>
      <c r="BV123" s="85">
        <f t="shared" ca="1" si="199"/>
        <v>481.65162532570372</v>
      </c>
      <c r="BW123" s="85">
        <f t="shared" ca="1" si="200"/>
        <v>514.7340773298497</v>
      </c>
      <c r="BX123" s="85">
        <f t="shared" ca="1" si="201"/>
        <v>498.28145539537172</v>
      </c>
      <c r="BY123" s="85">
        <f t="shared" ca="1" si="167"/>
        <v>473.60701679627965</v>
      </c>
      <c r="BZ123" s="85">
        <f t="shared" ca="1" si="168"/>
        <v>472.31489848686147</v>
      </c>
      <c r="CA123" s="85">
        <f t="shared" ca="1" si="169"/>
        <v>468.70768042850125</v>
      </c>
      <c r="CB123" s="85">
        <f t="shared" ca="1" si="170"/>
        <v>447.91876121591253</v>
      </c>
      <c r="CC123" s="85">
        <f t="shared" ca="1" si="171"/>
        <v>492.94865693046052</v>
      </c>
      <c r="CD123" s="85">
        <f t="shared" ca="1" si="172"/>
        <v>549.19627134107395</v>
      </c>
      <c r="CE123" s="85">
        <f t="shared" ca="1" si="173"/>
        <v>438.76285012409517</v>
      </c>
      <c r="CF123" s="85">
        <f t="shared" ca="1" si="174"/>
        <v>534.76742024316457</v>
      </c>
      <c r="CG123" s="85">
        <f t="shared" ca="1" si="175"/>
        <v>435.2150319471707</v>
      </c>
      <c r="CH123" s="85">
        <f t="shared" ca="1" si="176"/>
        <v>509.55862471340464</v>
      </c>
      <c r="CI123" s="85">
        <f t="shared" ca="1" si="177"/>
        <v>501.33783931867475</v>
      </c>
      <c r="CJ123" s="85">
        <f t="shared" ca="1" si="178"/>
        <v>449.91900007549856</v>
      </c>
      <c r="CK123" s="85">
        <f t="shared" ca="1" si="179"/>
        <v>486.81116698003132</v>
      </c>
      <c r="CL123" s="85">
        <f t="shared" ca="1" si="180"/>
        <v>450.85731190121942</v>
      </c>
      <c r="CM123" s="85">
        <f t="shared" ca="1" si="181"/>
        <v>521.48790493368415</v>
      </c>
      <c r="CN123" s="85">
        <f t="shared" ca="1" si="182"/>
        <v>444.89548192744792</v>
      </c>
      <c r="CO123" s="85">
        <f t="shared" ca="1" si="183"/>
        <v>433.0873619004505</v>
      </c>
      <c r="CP123" s="85">
        <f t="shared" ca="1" si="184"/>
        <v>561.13716034382549</v>
      </c>
      <c r="CQ123" s="85">
        <f t="shared" ca="1" si="185"/>
        <v>473.60679582038091</v>
      </c>
      <c r="CR123" s="85">
        <f t="shared" ca="1" si="186"/>
        <v>521.25797392706545</v>
      </c>
      <c r="CS123" s="85">
        <f t="shared" ca="1" si="187"/>
        <v>406.43181436652992</v>
      </c>
      <c r="CT123" s="85">
        <f t="shared" ca="1" si="188"/>
        <v>485.93962054490538</v>
      </c>
      <c r="CU123" s="85">
        <f t="shared" ca="1" si="189"/>
        <v>577.41771830361324</v>
      </c>
      <c r="CV123" s="85">
        <f t="shared" ca="1" si="190"/>
        <v>445.70194363134755</v>
      </c>
      <c r="CW123" s="85">
        <f t="shared" ca="1" si="191"/>
        <v>444.49718395498786</v>
      </c>
    </row>
    <row r="124" spans="1:101" x14ac:dyDescent="0.2">
      <c r="A124" s="115">
        <v>121</v>
      </c>
      <c r="B124" s="85">
        <f t="shared" ca="1" si="102"/>
        <v>429.60193050034843</v>
      </c>
      <c r="C124" s="85">
        <f t="shared" ca="1" si="104"/>
        <v>481.29678469337716</v>
      </c>
      <c r="D124" s="85">
        <f t="shared" ca="1" si="105"/>
        <v>455.64124306833122</v>
      </c>
      <c r="E124" s="85">
        <f t="shared" ca="1" si="106"/>
        <v>445.56768263181118</v>
      </c>
      <c r="F124" s="85">
        <f t="shared" ca="1" si="107"/>
        <v>452.45076014461119</v>
      </c>
      <c r="G124" s="85">
        <f t="shared" ca="1" si="108"/>
        <v>498.73265092681532</v>
      </c>
      <c r="H124" s="85">
        <f t="shared" ca="1" si="109"/>
        <v>479.20507411915565</v>
      </c>
      <c r="I124" s="85">
        <f t="shared" ca="1" si="110"/>
        <v>502.11462034444503</v>
      </c>
      <c r="J124" s="85">
        <f t="shared" ca="1" si="111"/>
        <v>477.45182475309235</v>
      </c>
      <c r="K124" s="85">
        <f t="shared" ca="1" si="112"/>
        <v>498.46506854163999</v>
      </c>
      <c r="L124" s="85">
        <f t="shared" ca="1" si="113"/>
        <v>548.45048482594552</v>
      </c>
      <c r="M124" s="85">
        <f t="shared" ca="1" si="114"/>
        <v>388.58673658856696</v>
      </c>
      <c r="N124" s="85">
        <f t="shared" ca="1" si="115"/>
        <v>474.04849224013645</v>
      </c>
      <c r="O124" s="85">
        <f t="shared" ca="1" si="116"/>
        <v>469.88103810754575</v>
      </c>
      <c r="P124" s="85">
        <f t="shared" ca="1" si="117"/>
        <v>485.7163700989563</v>
      </c>
      <c r="Q124" s="85">
        <f t="shared" ca="1" si="118"/>
        <v>512.03678047606775</v>
      </c>
      <c r="R124" s="85">
        <f t="shared" ca="1" si="119"/>
        <v>444.09652836244481</v>
      </c>
      <c r="S124" s="85">
        <f t="shared" ca="1" si="120"/>
        <v>514.51380778790769</v>
      </c>
      <c r="T124" s="85">
        <f t="shared" ca="1" si="121"/>
        <v>498.68727165252591</v>
      </c>
      <c r="U124" s="85">
        <f t="shared" ca="1" si="122"/>
        <v>431.87534723870988</v>
      </c>
      <c r="V124" s="85">
        <f t="shared" ca="1" si="123"/>
        <v>514.27187907235316</v>
      </c>
      <c r="W124" s="85">
        <f t="shared" ca="1" si="124"/>
        <v>467.9658022063424</v>
      </c>
      <c r="X124" s="85">
        <f t="shared" ca="1" si="125"/>
        <v>499.1343397781572</v>
      </c>
      <c r="Y124" s="85">
        <f t="shared" ca="1" si="126"/>
        <v>435.18921879918196</v>
      </c>
      <c r="Z124" s="85">
        <f t="shared" ca="1" si="127"/>
        <v>482.98574287672716</v>
      </c>
      <c r="AA124" s="85">
        <f t="shared" ca="1" si="128"/>
        <v>453.91543632329831</v>
      </c>
      <c r="AB124" s="85">
        <f t="shared" ca="1" si="129"/>
        <v>548.68858096259817</v>
      </c>
      <c r="AC124" s="85">
        <f t="shared" ca="1" si="130"/>
        <v>499.66364901263677</v>
      </c>
      <c r="AD124" s="85">
        <f t="shared" ca="1" si="131"/>
        <v>567.20424203642472</v>
      </c>
      <c r="AE124" s="85">
        <f t="shared" ca="1" si="132"/>
        <v>655.24765670004683</v>
      </c>
      <c r="AF124" s="85">
        <f t="shared" ca="1" si="133"/>
        <v>453.55175873412054</v>
      </c>
      <c r="AG124" s="85">
        <f t="shared" ca="1" si="134"/>
        <v>504.40816314158059</v>
      </c>
      <c r="AH124" s="85">
        <f t="shared" ca="1" si="135"/>
        <v>424.22230554761967</v>
      </c>
      <c r="AI124" s="85">
        <f t="shared" ca="1" si="136"/>
        <v>513.82901990266737</v>
      </c>
      <c r="AJ124" s="85">
        <f t="shared" ca="1" si="137"/>
        <v>568.68355022349908</v>
      </c>
      <c r="AK124" s="85">
        <f t="shared" ca="1" si="138"/>
        <v>496.53713718612931</v>
      </c>
      <c r="AL124" s="85">
        <f t="shared" ca="1" si="139"/>
        <v>521.97782125884532</v>
      </c>
      <c r="AM124" s="85">
        <f t="shared" ca="1" si="140"/>
        <v>454.91196841836762</v>
      </c>
      <c r="AN124" s="85">
        <f t="shared" ca="1" si="141"/>
        <v>517.69714036623407</v>
      </c>
      <c r="AO124" s="85">
        <f t="shared" ca="1" si="142"/>
        <v>557.42023934711835</v>
      </c>
      <c r="AP124" s="85">
        <f t="shared" ca="1" si="143"/>
        <v>539.91780572631808</v>
      </c>
      <c r="AQ124" s="85">
        <f t="shared" ca="1" si="144"/>
        <v>452.31336554600182</v>
      </c>
      <c r="AR124" s="85">
        <f t="shared" ca="1" si="145"/>
        <v>483.28946289358231</v>
      </c>
      <c r="AS124" s="85">
        <f t="shared" ca="1" si="146"/>
        <v>456.4864386176157</v>
      </c>
      <c r="AT124" s="85">
        <f t="shared" ca="1" si="147"/>
        <v>532.44226102166272</v>
      </c>
      <c r="AU124" s="85">
        <f t="shared" ca="1" si="148"/>
        <v>499.59534446555608</v>
      </c>
      <c r="AV124" s="85">
        <f t="shared" ca="1" si="149"/>
        <v>481.81824569254081</v>
      </c>
      <c r="AW124" s="85">
        <f t="shared" ca="1" si="150"/>
        <v>487.85222296334166</v>
      </c>
      <c r="AX124" s="85">
        <f t="shared" ca="1" si="151"/>
        <v>563.36455463374739</v>
      </c>
      <c r="AY124" s="85">
        <f t="shared" ca="1" si="152"/>
        <v>531.05495480467539</v>
      </c>
      <c r="AZ124" s="85">
        <f t="shared" ca="1" si="153"/>
        <v>507.13253524229413</v>
      </c>
      <c r="BA124" s="85">
        <f t="shared" ca="1" si="154"/>
        <v>527.39484145988263</v>
      </c>
      <c r="BB124" s="85">
        <f t="shared" ca="1" si="155"/>
        <v>468.51366595538411</v>
      </c>
      <c r="BC124" s="85">
        <f t="shared" ca="1" si="156"/>
        <v>474.06552718010505</v>
      </c>
      <c r="BD124" s="85">
        <f t="shared" ca="1" si="157"/>
        <v>494.51464466706398</v>
      </c>
      <c r="BE124" s="85">
        <f t="shared" ca="1" si="158"/>
        <v>436.07302710625703</v>
      </c>
      <c r="BF124" s="85">
        <f t="shared" ca="1" si="159"/>
        <v>487.37378856692811</v>
      </c>
      <c r="BG124" s="85">
        <f t="shared" ca="1" si="160"/>
        <v>434.07415693413463</v>
      </c>
      <c r="BH124" s="85">
        <f t="shared" ca="1" si="161"/>
        <v>490.30254825894053</v>
      </c>
      <c r="BI124" s="85">
        <f t="shared" ca="1" si="162"/>
        <v>456.79506472380092</v>
      </c>
      <c r="BJ124" s="85">
        <f t="shared" ca="1" si="163"/>
        <v>496.22733982911211</v>
      </c>
      <c r="BK124" s="85">
        <f t="shared" ca="1" si="164"/>
        <v>496.88735717593994</v>
      </c>
      <c r="BL124" s="85">
        <f t="shared" ca="1" si="165"/>
        <v>465.59603090091434</v>
      </c>
      <c r="BM124" s="85">
        <f t="shared" ca="1" si="166"/>
        <v>427.36066574113778</v>
      </c>
      <c r="BN124" s="85">
        <f t="shared" ca="1" si="103"/>
        <v>536.60299702324664</v>
      </c>
      <c r="BO124" s="85">
        <f t="shared" ca="1" si="192"/>
        <v>575.2673241526677</v>
      </c>
      <c r="BP124" s="85">
        <f t="shared" ca="1" si="193"/>
        <v>443.32146552405339</v>
      </c>
      <c r="BQ124" s="85">
        <f t="shared" ca="1" si="194"/>
        <v>465.87833941371071</v>
      </c>
      <c r="BR124" s="85">
        <f t="shared" ca="1" si="195"/>
        <v>447.06943002969462</v>
      </c>
      <c r="BS124" s="85">
        <f t="shared" ca="1" si="196"/>
        <v>502.44399968258983</v>
      </c>
      <c r="BT124" s="85">
        <f t="shared" ca="1" si="197"/>
        <v>521.13900694328379</v>
      </c>
      <c r="BU124" s="85">
        <f t="shared" ca="1" si="198"/>
        <v>523.60255258286577</v>
      </c>
      <c r="BV124" s="85">
        <f t="shared" ca="1" si="199"/>
        <v>486.77608412980709</v>
      </c>
      <c r="BW124" s="85">
        <f t="shared" ca="1" si="200"/>
        <v>517.31181882884766</v>
      </c>
      <c r="BX124" s="85">
        <f t="shared" ca="1" si="201"/>
        <v>505.86377519576098</v>
      </c>
      <c r="BY124" s="85">
        <f t="shared" ca="1" si="167"/>
        <v>477.20470296661586</v>
      </c>
      <c r="BZ124" s="85">
        <f t="shared" ca="1" si="168"/>
        <v>473.30905174125741</v>
      </c>
      <c r="CA124" s="85">
        <f t="shared" ca="1" si="169"/>
        <v>475.10731713906318</v>
      </c>
      <c r="CB124" s="85">
        <f t="shared" ca="1" si="170"/>
        <v>452.40695761741233</v>
      </c>
      <c r="CC124" s="85">
        <f t="shared" ca="1" si="171"/>
        <v>503.96328982765306</v>
      </c>
      <c r="CD124" s="85">
        <f t="shared" ca="1" si="172"/>
        <v>562.27528229601819</v>
      </c>
      <c r="CE124" s="85">
        <f t="shared" ca="1" si="173"/>
        <v>439.73434495414676</v>
      </c>
      <c r="CF124" s="85">
        <f t="shared" ca="1" si="174"/>
        <v>546.43074340312046</v>
      </c>
      <c r="CG124" s="85">
        <f t="shared" ca="1" si="175"/>
        <v>443.5455361249364</v>
      </c>
      <c r="CH124" s="85">
        <f t="shared" ca="1" si="176"/>
        <v>514.43080184699352</v>
      </c>
      <c r="CI124" s="85">
        <f t="shared" ca="1" si="177"/>
        <v>507.44136706896148</v>
      </c>
      <c r="CJ124" s="85">
        <f t="shared" ca="1" si="178"/>
        <v>455.33032829606913</v>
      </c>
      <c r="CK124" s="85">
        <f t="shared" ca="1" si="179"/>
        <v>492.45369522261996</v>
      </c>
      <c r="CL124" s="85">
        <f t="shared" ca="1" si="180"/>
        <v>452.38646053456927</v>
      </c>
      <c r="CM124" s="85">
        <f t="shared" ca="1" si="181"/>
        <v>526.96838077631162</v>
      </c>
      <c r="CN124" s="85">
        <f t="shared" ca="1" si="182"/>
        <v>449.14624445929348</v>
      </c>
      <c r="CO124" s="85">
        <f t="shared" ca="1" si="183"/>
        <v>439.30981631648342</v>
      </c>
      <c r="CP124" s="85">
        <f t="shared" ca="1" si="184"/>
        <v>567.21065384486212</v>
      </c>
      <c r="CQ124" s="85">
        <f t="shared" ca="1" si="185"/>
        <v>483.44112924212385</v>
      </c>
      <c r="CR124" s="85">
        <f t="shared" ca="1" si="186"/>
        <v>530.37693170067973</v>
      </c>
      <c r="CS124" s="85">
        <f t="shared" ca="1" si="187"/>
        <v>410.96828733973388</v>
      </c>
      <c r="CT124" s="85">
        <f t="shared" ca="1" si="188"/>
        <v>499.88762336983172</v>
      </c>
      <c r="CU124" s="85">
        <f t="shared" ca="1" si="189"/>
        <v>583.92926085376871</v>
      </c>
      <c r="CV124" s="85">
        <f t="shared" ca="1" si="190"/>
        <v>454.18715905093211</v>
      </c>
      <c r="CW124" s="85">
        <f t="shared" ca="1" si="191"/>
        <v>452.21102432977267</v>
      </c>
    </row>
    <row r="125" spans="1:101" x14ac:dyDescent="0.2">
      <c r="A125" s="115">
        <v>122</v>
      </c>
      <c r="B125" s="85">
        <f t="shared" ca="1" si="102"/>
        <v>429.12596429665683</v>
      </c>
      <c r="C125" s="85">
        <f t="shared" ca="1" si="104"/>
        <v>486.55154125813362</v>
      </c>
      <c r="D125" s="85">
        <f t="shared" ca="1" si="105"/>
        <v>459.9411283709137</v>
      </c>
      <c r="E125" s="85">
        <f t="shared" ca="1" si="106"/>
        <v>452.41077919992892</v>
      </c>
      <c r="F125" s="85">
        <f t="shared" ca="1" si="107"/>
        <v>454.01540968814305</v>
      </c>
      <c r="G125" s="85">
        <f t="shared" ca="1" si="108"/>
        <v>506.58856532286876</v>
      </c>
      <c r="H125" s="85">
        <f t="shared" ca="1" si="109"/>
        <v>488.57904049306819</v>
      </c>
      <c r="I125" s="85">
        <f t="shared" ca="1" si="110"/>
        <v>508.11839487535275</v>
      </c>
      <c r="J125" s="85">
        <f t="shared" ca="1" si="111"/>
        <v>477.98692498523707</v>
      </c>
      <c r="K125" s="85">
        <f t="shared" ca="1" si="112"/>
        <v>505.24255855003116</v>
      </c>
      <c r="L125" s="85">
        <f t="shared" ca="1" si="113"/>
        <v>550.6710366714417</v>
      </c>
      <c r="M125" s="85">
        <f t="shared" ca="1" si="114"/>
        <v>386.7247135804742</v>
      </c>
      <c r="N125" s="85">
        <f t="shared" ca="1" si="115"/>
        <v>477.61217930369116</v>
      </c>
      <c r="O125" s="85">
        <f t="shared" ca="1" si="116"/>
        <v>471.93339883088203</v>
      </c>
      <c r="P125" s="85">
        <f t="shared" ca="1" si="117"/>
        <v>492.68110621505906</v>
      </c>
      <c r="Q125" s="85">
        <f t="shared" ca="1" si="118"/>
        <v>517.23982893507366</v>
      </c>
      <c r="R125" s="85">
        <f t="shared" ca="1" si="119"/>
        <v>452.7273717007343</v>
      </c>
      <c r="S125" s="85">
        <f t="shared" ca="1" si="120"/>
        <v>518.97058639806153</v>
      </c>
      <c r="T125" s="85">
        <f t="shared" ca="1" si="121"/>
        <v>507.83241396270301</v>
      </c>
      <c r="U125" s="85">
        <f t="shared" ca="1" si="122"/>
        <v>436.98969273192205</v>
      </c>
      <c r="V125" s="85">
        <f t="shared" ca="1" si="123"/>
        <v>518.58443590341324</v>
      </c>
      <c r="W125" s="85">
        <f t="shared" ca="1" si="124"/>
        <v>473.36262329952672</v>
      </c>
      <c r="X125" s="85">
        <f t="shared" ca="1" si="125"/>
        <v>502.3904473536146</v>
      </c>
      <c r="Y125" s="85">
        <f t="shared" ca="1" si="126"/>
        <v>438.55237596953333</v>
      </c>
      <c r="Z125" s="85">
        <f t="shared" ca="1" si="127"/>
        <v>496.50087314139301</v>
      </c>
      <c r="AA125" s="85">
        <f t="shared" ca="1" si="128"/>
        <v>464.21494615266005</v>
      </c>
      <c r="AB125" s="85">
        <f t="shared" ca="1" si="129"/>
        <v>553.60247599401112</v>
      </c>
      <c r="AC125" s="85">
        <f t="shared" ca="1" si="130"/>
        <v>502.94444076186312</v>
      </c>
      <c r="AD125" s="85">
        <f t="shared" ca="1" si="131"/>
        <v>569.92854746986552</v>
      </c>
      <c r="AE125" s="85">
        <f t="shared" ca="1" si="132"/>
        <v>673.95104555990429</v>
      </c>
      <c r="AF125" s="85">
        <f t="shared" ca="1" si="133"/>
        <v>460.6203945215147</v>
      </c>
      <c r="AG125" s="85">
        <f t="shared" ca="1" si="134"/>
        <v>507.48122774855568</v>
      </c>
      <c r="AH125" s="85">
        <f t="shared" ca="1" si="135"/>
        <v>432.14615483962564</v>
      </c>
      <c r="AI125" s="85">
        <f t="shared" ca="1" si="136"/>
        <v>523.79795069195825</v>
      </c>
      <c r="AJ125" s="85">
        <f t="shared" ca="1" si="137"/>
        <v>576.58499244799964</v>
      </c>
      <c r="AK125" s="85">
        <f t="shared" ca="1" si="138"/>
        <v>503.04371167506133</v>
      </c>
      <c r="AL125" s="85">
        <f t="shared" ca="1" si="139"/>
        <v>529.55053100340001</v>
      </c>
      <c r="AM125" s="85">
        <f t="shared" ca="1" si="140"/>
        <v>458.72706029194819</v>
      </c>
      <c r="AN125" s="85">
        <f t="shared" ca="1" si="141"/>
        <v>520.44698078028966</v>
      </c>
      <c r="AO125" s="85">
        <f t="shared" ca="1" si="142"/>
        <v>562.74566337290923</v>
      </c>
      <c r="AP125" s="85">
        <f t="shared" ca="1" si="143"/>
        <v>553.67521936328831</v>
      </c>
      <c r="AQ125" s="85">
        <f t="shared" ca="1" si="144"/>
        <v>458.59761978027166</v>
      </c>
      <c r="AR125" s="85">
        <f t="shared" ca="1" si="145"/>
        <v>483.77735489569352</v>
      </c>
      <c r="AS125" s="85">
        <f t="shared" ca="1" si="146"/>
        <v>463.28471693084748</v>
      </c>
      <c r="AT125" s="85">
        <f t="shared" ca="1" si="147"/>
        <v>538.20656993635816</v>
      </c>
      <c r="AU125" s="85">
        <f t="shared" ca="1" si="148"/>
        <v>504.00229288353768</v>
      </c>
      <c r="AV125" s="85">
        <f t="shared" ca="1" si="149"/>
        <v>483.74418619996067</v>
      </c>
      <c r="AW125" s="85">
        <f t="shared" ca="1" si="150"/>
        <v>490.60646414100501</v>
      </c>
      <c r="AX125" s="85">
        <f t="shared" ca="1" si="151"/>
        <v>570.515490245725</v>
      </c>
      <c r="AY125" s="85">
        <f t="shared" ca="1" si="152"/>
        <v>531.14361507485694</v>
      </c>
      <c r="AZ125" s="85">
        <f t="shared" ca="1" si="153"/>
        <v>515.47077995365134</v>
      </c>
      <c r="BA125" s="85">
        <f t="shared" ca="1" si="154"/>
        <v>538.84659863190439</v>
      </c>
      <c r="BB125" s="85">
        <f t="shared" ca="1" si="155"/>
        <v>472.23631103469415</v>
      </c>
      <c r="BC125" s="85">
        <f t="shared" ca="1" si="156"/>
        <v>476.31952418257947</v>
      </c>
      <c r="BD125" s="85">
        <f t="shared" ca="1" si="157"/>
        <v>503.03028357088976</v>
      </c>
      <c r="BE125" s="85">
        <f t="shared" ca="1" si="158"/>
        <v>446.15686220309914</v>
      </c>
      <c r="BF125" s="85">
        <f t="shared" ca="1" si="159"/>
        <v>498.15039351518038</v>
      </c>
      <c r="BG125" s="85">
        <f t="shared" ca="1" si="160"/>
        <v>434.32871612718782</v>
      </c>
      <c r="BH125" s="85">
        <f t="shared" ca="1" si="161"/>
        <v>499.97644178280586</v>
      </c>
      <c r="BI125" s="85">
        <f t="shared" ca="1" si="162"/>
        <v>470.06953806811094</v>
      </c>
      <c r="BJ125" s="85">
        <f t="shared" ca="1" si="163"/>
        <v>507.22654272110714</v>
      </c>
      <c r="BK125" s="85">
        <f t="shared" ca="1" si="164"/>
        <v>504.10649550866856</v>
      </c>
      <c r="BL125" s="85">
        <f t="shared" ca="1" si="165"/>
        <v>470.38269903157311</v>
      </c>
      <c r="BM125" s="85">
        <f t="shared" ca="1" si="166"/>
        <v>432.29068602758088</v>
      </c>
      <c r="BN125" s="85">
        <f t="shared" ca="1" si="103"/>
        <v>544.30172260623385</v>
      </c>
      <c r="BO125" s="85">
        <f t="shared" ca="1" si="192"/>
        <v>577.92088818281979</v>
      </c>
      <c r="BP125" s="85">
        <f t="shared" ca="1" si="193"/>
        <v>448.70008197973635</v>
      </c>
      <c r="BQ125" s="85">
        <f t="shared" ca="1" si="194"/>
        <v>472.83730702003896</v>
      </c>
      <c r="BR125" s="85">
        <f t="shared" ca="1" si="195"/>
        <v>456.48934341447023</v>
      </c>
      <c r="BS125" s="85">
        <f t="shared" ca="1" si="196"/>
        <v>501.36879046096823</v>
      </c>
      <c r="BT125" s="85">
        <f t="shared" ca="1" si="197"/>
        <v>521.77509491553349</v>
      </c>
      <c r="BU125" s="85">
        <f t="shared" ca="1" si="198"/>
        <v>527.75227365535397</v>
      </c>
      <c r="BV125" s="85">
        <f t="shared" ca="1" si="199"/>
        <v>488.41015964472388</v>
      </c>
      <c r="BW125" s="85">
        <f t="shared" ca="1" si="200"/>
        <v>525.77828489173532</v>
      </c>
      <c r="BX125" s="85">
        <f t="shared" ca="1" si="201"/>
        <v>512.4786481134264</v>
      </c>
      <c r="BY125" s="85">
        <f t="shared" ca="1" si="167"/>
        <v>489.10341314338126</v>
      </c>
      <c r="BZ125" s="85">
        <f t="shared" ca="1" si="168"/>
        <v>473.97138002170271</v>
      </c>
      <c r="CA125" s="85">
        <f t="shared" ca="1" si="169"/>
        <v>475.20707796808722</v>
      </c>
      <c r="CB125" s="85">
        <f t="shared" ca="1" si="170"/>
        <v>458.96367504557236</v>
      </c>
      <c r="CC125" s="85">
        <f t="shared" ca="1" si="171"/>
        <v>512.23665773433538</v>
      </c>
      <c r="CD125" s="85">
        <f t="shared" ca="1" si="172"/>
        <v>567.93565303280377</v>
      </c>
      <c r="CE125" s="85">
        <f t="shared" ca="1" si="173"/>
        <v>450.05369636282478</v>
      </c>
      <c r="CF125" s="85">
        <f t="shared" ca="1" si="174"/>
        <v>555.35441051979035</v>
      </c>
      <c r="CG125" s="85">
        <f t="shared" ca="1" si="175"/>
        <v>452.66282552792484</v>
      </c>
      <c r="CH125" s="85">
        <f t="shared" ca="1" si="176"/>
        <v>520.47286307056515</v>
      </c>
      <c r="CI125" s="85">
        <f t="shared" ca="1" si="177"/>
        <v>510.8350338056469</v>
      </c>
      <c r="CJ125" s="85">
        <f t="shared" ca="1" si="178"/>
        <v>459.52635226282558</v>
      </c>
      <c r="CK125" s="85">
        <f t="shared" ca="1" si="179"/>
        <v>499.50334603069359</v>
      </c>
      <c r="CL125" s="85">
        <f t="shared" ca="1" si="180"/>
        <v>455.39089874266864</v>
      </c>
      <c r="CM125" s="85">
        <f t="shared" ca="1" si="181"/>
        <v>541.31412289879995</v>
      </c>
      <c r="CN125" s="85">
        <f t="shared" ca="1" si="182"/>
        <v>458.85053707944826</v>
      </c>
      <c r="CO125" s="85">
        <f t="shared" ca="1" si="183"/>
        <v>452.87668533523214</v>
      </c>
      <c r="CP125" s="85">
        <f t="shared" ca="1" si="184"/>
        <v>576.29380258474043</v>
      </c>
      <c r="CQ125" s="85">
        <f t="shared" ca="1" si="185"/>
        <v>488.1404524687465</v>
      </c>
      <c r="CR125" s="85">
        <f t="shared" ca="1" si="186"/>
        <v>531.47302678774918</v>
      </c>
      <c r="CS125" s="85">
        <f t="shared" ca="1" si="187"/>
        <v>414.38859848825228</v>
      </c>
      <c r="CT125" s="85">
        <f t="shared" ca="1" si="188"/>
        <v>509.05718888444392</v>
      </c>
      <c r="CU125" s="85">
        <f t="shared" ca="1" si="189"/>
        <v>591.37420731078691</v>
      </c>
      <c r="CV125" s="85">
        <f t="shared" ca="1" si="190"/>
        <v>462.72775619284118</v>
      </c>
      <c r="CW125" s="85">
        <f t="shared" ca="1" si="191"/>
        <v>457.34365182632445</v>
      </c>
    </row>
    <row r="126" spans="1:101" x14ac:dyDescent="0.2">
      <c r="A126" s="115">
        <v>123</v>
      </c>
      <c r="B126" s="85">
        <f t="shared" ca="1" si="102"/>
        <v>432.71950358051765</v>
      </c>
      <c r="C126" s="85">
        <f t="shared" ca="1" si="104"/>
        <v>494.22323213618807</v>
      </c>
      <c r="D126" s="85">
        <f t="shared" ca="1" si="105"/>
        <v>466.57595567336818</v>
      </c>
      <c r="E126" s="85">
        <f t="shared" ca="1" si="106"/>
        <v>458.15407543346078</v>
      </c>
      <c r="F126" s="85">
        <f t="shared" ca="1" si="107"/>
        <v>462.41658334314292</v>
      </c>
      <c r="G126" s="85">
        <f t="shared" ca="1" si="108"/>
        <v>508.61937276992205</v>
      </c>
      <c r="H126" s="85">
        <f t="shared" ca="1" si="109"/>
        <v>492.41086989926941</v>
      </c>
      <c r="I126" s="85">
        <f t="shared" ca="1" si="110"/>
        <v>515.65101408959993</v>
      </c>
      <c r="J126" s="85">
        <f t="shared" ca="1" si="111"/>
        <v>481.2279783981196</v>
      </c>
      <c r="K126" s="85">
        <f t="shared" ca="1" si="112"/>
        <v>511.02363144801694</v>
      </c>
      <c r="L126" s="85">
        <f t="shared" ca="1" si="113"/>
        <v>554.73452982762774</v>
      </c>
      <c r="M126" s="85">
        <f t="shared" ca="1" si="114"/>
        <v>391.74992431164196</v>
      </c>
      <c r="N126" s="85">
        <f t="shared" ca="1" si="115"/>
        <v>491.16823517168473</v>
      </c>
      <c r="O126" s="85">
        <f t="shared" ca="1" si="116"/>
        <v>476.55261536907523</v>
      </c>
      <c r="P126" s="85">
        <f t="shared" ca="1" si="117"/>
        <v>499.95954764297636</v>
      </c>
      <c r="Q126" s="85">
        <f t="shared" ca="1" si="118"/>
        <v>518.3293449732605</v>
      </c>
      <c r="R126" s="85">
        <f t="shared" ca="1" si="119"/>
        <v>462.52600806986709</v>
      </c>
      <c r="S126" s="85">
        <f t="shared" ca="1" si="120"/>
        <v>526.39745407739895</v>
      </c>
      <c r="T126" s="85">
        <f t="shared" ca="1" si="121"/>
        <v>512.8718060128748</v>
      </c>
      <c r="U126" s="85">
        <f t="shared" ca="1" si="122"/>
        <v>442.72860398837759</v>
      </c>
      <c r="V126" s="85">
        <f t="shared" ca="1" si="123"/>
        <v>533.03399381692509</v>
      </c>
      <c r="W126" s="85">
        <f t="shared" ca="1" si="124"/>
        <v>479.51428683244751</v>
      </c>
      <c r="X126" s="85">
        <f t="shared" ca="1" si="125"/>
        <v>509.70742086340499</v>
      </c>
      <c r="Y126" s="85">
        <f t="shared" ca="1" si="126"/>
        <v>440.89293717399551</v>
      </c>
      <c r="Z126" s="85">
        <f t="shared" ca="1" si="127"/>
        <v>499.23772720192039</v>
      </c>
      <c r="AA126" s="85">
        <f t="shared" ca="1" si="128"/>
        <v>473.53497269764785</v>
      </c>
      <c r="AB126" s="85">
        <f t="shared" ca="1" si="129"/>
        <v>559.186248166925</v>
      </c>
      <c r="AC126" s="85">
        <f t="shared" ca="1" si="130"/>
        <v>509.81200687225993</v>
      </c>
      <c r="AD126" s="85">
        <f t="shared" ca="1" si="131"/>
        <v>582.83272976279659</v>
      </c>
      <c r="AE126" s="85">
        <f t="shared" ca="1" si="132"/>
        <v>682.72459029946037</v>
      </c>
      <c r="AF126" s="85">
        <f t="shared" ca="1" si="133"/>
        <v>462.22451382805991</v>
      </c>
      <c r="AG126" s="85">
        <f t="shared" ca="1" si="134"/>
        <v>515.04893413802222</v>
      </c>
      <c r="AH126" s="85">
        <f t="shared" ca="1" si="135"/>
        <v>434.36179830382724</v>
      </c>
      <c r="AI126" s="85">
        <f t="shared" ca="1" si="136"/>
        <v>535.89201789704634</v>
      </c>
      <c r="AJ126" s="85">
        <f t="shared" ca="1" si="137"/>
        <v>587.57867256683892</v>
      </c>
      <c r="AK126" s="85">
        <f t="shared" ca="1" si="138"/>
        <v>509.61284005800962</v>
      </c>
      <c r="AL126" s="85">
        <f t="shared" ca="1" si="139"/>
        <v>534.66985352100596</v>
      </c>
      <c r="AM126" s="85">
        <f t="shared" ca="1" si="140"/>
        <v>468.66030132301535</v>
      </c>
      <c r="AN126" s="85">
        <f t="shared" ca="1" si="141"/>
        <v>522.70768430410226</v>
      </c>
      <c r="AO126" s="85">
        <f t="shared" ca="1" si="142"/>
        <v>568.37655694640944</v>
      </c>
      <c r="AP126" s="85">
        <f t="shared" ca="1" si="143"/>
        <v>563.70019261587026</v>
      </c>
      <c r="AQ126" s="85">
        <f t="shared" ca="1" si="144"/>
        <v>470.47213301625061</v>
      </c>
      <c r="AR126" s="85">
        <f t="shared" ca="1" si="145"/>
        <v>486.10945814955949</v>
      </c>
      <c r="AS126" s="85">
        <f t="shared" ca="1" si="146"/>
        <v>466.76168565363059</v>
      </c>
      <c r="AT126" s="85">
        <f t="shared" ca="1" si="147"/>
        <v>541.80466947861623</v>
      </c>
      <c r="AU126" s="85">
        <f t="shared" ca="1" si="148"/>
        <v>516.34943800856115</v>
      </c>
      <c r="AV126" s="85">
        <f t="shared" ca="1" si="149"/>
        <v>489.98117927300689</v>
      </c>
      <c r="AW126" s="85">
        <f t="shared" ca="1" si="150"/>
        <v>498.22739078814107</v>
      </c>
      <c r="AX126" s="85">
        <f t="shared" ca="1" si="151"/>
        <v>579.59081861559685</v>
      </c>
      <c r="AY126" s="85">
        <f t="shared" ca="1" si="152"/>
        <v>538.89788852828167</v>
      </c>
      <c r="AZ126" s="85">
        <f t="shared" ca="1" si="153"/>
        <v>520.51189504058107</v>
      </c>
      <c r="BA126" s="85">
        <f t="shared" ca="1" si="154"/>
        <v>544.6472116842009</v>
      </c>
      <c r="BB126" s="85">
        <f t="shared" ca="1" si="155"/>
        <v>477.31780532603966</v>
      </c>
      <c r="BC126" s="85">
        <f t="shared" ca="1" si="156"/>
        <v>485.31622737429183</v>
      </c>
      <c r="BD126" s="85">
        <f t="shared" ca="1" si="157"/>
        <v>518.2600175887037</v>
      </c>
      <c r="BE126" s="85">
        <f t="shared" ca="1" si="158"/>
        <v>452.99744125659214</v>
      </c>
      <c r="BF126" s="85">
        <f t="shared" ca="1" si="159"/>
        <v>501.80678792626259</v>
      </c>
      <c r="BG126" s="85">
        <f t="shared" ca="1" si="160"/>
        <v>441.45740206229124</v>
      </c>
      <c r="BH126" s="85">
        <f t="shared" ca="1" si="161"/>
        <v>511.25170696386596</v>
      </c>
      <c r="BI126" s="85">
        <f t="shared" ca="1" si="162"/>
        <v>475.23492098955899</v>
      </c>
      <c r="BJ126" s="85">
        <f t="shared" ca="1" si="163"/>
        <v>512.38044281700911</v>
      </c>
      <c r="BK126" s="85">
        <f t="shared" ca="1" si="164"/>
        <v>508.46561418987079</v>
      </c>
      <c r="BL126" s="85">
        <f t="shared" ca="1" si="165"/>
        <v>477.4652666139998</v>
      </c>
      <c r="BM126" s="85">
        <f t="shared" ca="1" si="166"/>
        <v>437.89898584811289</v>
      </c>
      <c r="BN126" s="85">
        <f t="shared" ca="1" si="103"/>
        <v>555.632572845288</v>
      </c>
      <c r="BO126" s="85">
        <f t="shared" ca="1" si="192"/>
        <v>579.68070841955171</v>
      </c>
      <c r="BP126" s="85">
        <f t="shared" ca="1" si="193"/>
        <v>457.26213710470381</v>
      </c>
      <c r="BQ126" s="85">
        <f t="shared" ca="1" si="194"/>
        <v>487.17092311857937</v>
      </c>
      <c r="BR126" s="85">
        <f t="shared" ca="1" si="195"/>
        <v>465.87140715117476</v>
      </c>
      <c r="BS126" s="85">
        <f t="shared" ca="1" si="196"/>
        <v>512.10668267173617</v>
      </c>
      <c r="BT126" s="85">
        <f t="shared" ca="1" si="197"/>
        <v>533.07585278966064</v>
      </c>
      <c r="BU126" s="85">
        <f t="shared" ca="1" si="198"/>
        <v>533.43014140428511</v>
      </c>
      <c r="BV126" s="85">
        <f t="shared" ca="1" si="199"/>
        <v>496.77262132867571</v>
      </c>
      <c r="BW126" s="85">
        <f t="shared" ca="1" si="200"/>
        <v>533.05038657100192</v>
      </c>
      <c r="BX126" s="85">
        <f t="shared" ca="1" si="201"/>
        <v>521.63681384548829</v>
      </c>
      <c r="BY126" s="85">
        <f t="shared" ca="1" si="167"/>
        <v>501.72829642202919</v>
      </c>
      <c r="BZ126" s="85">
        <f t="shared" ca="1" si="168"/>
        <v>482.7330486867084</v>
      </c>
      <c r="CA126" s="85">
        <f t="shared" ca="1" si="169"/>
        <v>480.88089953693009</v>
      </c>
      <c r="CB126" s="85">
        <f t="shared" ca="1" si="170"/>
        <v>467.89690203046217</v>
      </c>
      <c r="CC126" s="85">
        <f t="shared" ca="1" si="171"/>
        <v>523.26379069300742</v>
      </c>
      <c r="CD126" s="85">
        <f t="shared" ca="1" si="172"/>
        <v>585.3891399112689</v>
      </c>
      <c r="CE126" s="85">
        <f t="shared" ca="1" si="173"/>
        <v>459.94160415157808</v>
      </c>
      <c r="CF126" s="85">
        <f t="shared" ca="1" si="174"/>
        <v>566.91138899932901</v>
      </c>
      <c r="CG126" s="85">
        <f t="shared" ca="1" si="175"/>
        <v>455.11263890030074</v>
      </c>
      <c r="CH126" s="85">
        <f t="shared" ca="1" si="176"/>
        <v>524.87525671401477</v>
      </c>
      <c r="CI126" s="85">
        <f t="shared" ca="1" si="177"/>
        <v>523.93643264031846</v>
      </c>
      <c r="CJ126" s="85">
        <f t="shared" ca="1" si="178"/>
        <v>463.67082940256449</v>
      </c>
      <c r="CK126" s="85">
        <f t="shared" ca="1" si="179"/>
        <v>500.37702351132492</v>
      </c>
      <c r="CL126" s="85">
        <f t="shared" ca="1" si="180"/>
        <v>463.34886389165922</v>
      </c>
      <c r="CM126" s="85">
        <f t="shared" ca="1" si="181"/>
        <v>552.5764548880295</v>
      </c>
      <c r="CN126" s="85">
        <f t="shared" ca="1" si="182"/>
        <v>463.19095265206312</v>
      </c>
      <c r="CO126" s="85">
        <f t="shared" ca="1" si="183"/>
        <v>458.26172200469239</v>
      </c>
      <c r="CP126" s="85">
        <f t="shared" ca="1" si="184"/>
        <v>587.93596446102401</v>
      </c>
      <c r="CQ126" s="85">
        <f t="shared" ca="1" si="185"/>
        <v>487.22381830121623</v>
      </c>
      <c r="CR126" s="85">
        <f t="shared" ca="1" si="186"/>
        <v>539.8785965567389</v>
      </c>
      <c r="CS126" s="85">
        <f t="shared" ca="1" si="187"/>
        <v>420.87600701014645</v>
      </c>
      <c r="CT126" s="85">
        <f t="shared" ca="1" si="188"/>
        <v>510.04838390430996</v>
      </c>
      <c r="CU126" s="85">
        <f t="shared" ca="1" si="189"/>
        <v>595.13231255326355</v>
      </c>
      <c r="CV126" s="85">
        <f t="shared" ca="1" si="190"/>
        <v>473.80651994365917</v>
      </c>
      <c r="CW126" s="85">
        <f t="shared" ca="1" si="191"/>
        <v>467.62112219998016</v>
      </c>
    </row>
    <row r="127" spans="1:101" x14ac:dyDescent="0.2">
      <c r="A127" s="115">
        <v>124</v>
      </c>
      <c r="B127" s="85">
        <f t="shared" ca="1" si="102"/>
        <v>434.56651594738804</v>
      </c>
      <c r="C127" s="85">
        <f t="shared" ca="1" si="104"/>
        <v>501.78035223321541</v>
      </c>
      <c r="D127" s="85">
        <f t="shared" ca="1" si="105"/>
        <v>475.88927243022897</v>
      </c>
      <c r="E127" s="85">
        <f t="shared" ca="1" si="106"/>
        <v>461.35105415029204</v>
      </c>
      <c r="F127" s="85">
        <f t="shared" ca="1" si="107"/>
        <v>471.66157244851007</v>
      </c>
      <c r="G127" s="85">
        <f t="shared" ca="1" si="108"/>
        <v>512.64390724054249</v>
      </c>
      <c r="H127" s="85">
        <f t="shared" ca="1" si="109"/>
        <v>497.37128623343096</v>
      </c>
      <c r="I127" s="85">
        <f t="shared" ca="1" si="110"/>
        <v>520.25916877264581</v>
      </c>
      <c r="J127" s="85">
        <f t="shared" ca="1" si="111"/>
        <v>486.68883967617961</v>
      </c>
      <c r="K127" s="85">
        <f t="shared" ca="1" si="112"/>
        <v>528.84969778401307</v>
      </c>
      <c r="L127" s="85">
        <f t="shared" ca="1" si="113"/>
        <v>561.01835102194593</v>
      </c>
      <c r="M127" s="85">
        <f t="shared" ca="1" si="114"/>
        <v>395.65547675352883</v>
      </c>
      <c r="N127" s="85">
        <f t="shared" ca="1" si="115"/>
        <v>503.16252523065776</v>
      </c>
      <c r="O127" s="85">
        <f t="shared" ca="1" si="116"/>
        <v>487.28105541798982</v>
      </c>
      <c r="P127" s="85">
        <f t="shared" ca="1" si="117"/>
        <v>509.86984437152859</v>
      </c>
      <c r="Q127" s="85">
        <f t="shared" ca="1" si="118"/>
        <v>527.2405357500877</v>
      </c>
      <c r="R127" s="85">
        <f t="shared" ca="1" si="119"/>
        <v>465.70819068567999</v>
      </c>
      <c r="S127" s="85">
        <f t="shared" ca="1" si="120"/>
        <v>533.65096206789246</v>
      </c>
      <c r="T127" s="85">
        <f t="shared" ca="1" si="121"/>
        <v>514.04028434505688</v>
      </c>
      <c r="U127" s="85">
        <f t="shared" ca="1" si="122"/>
        <v>451.63812782783856</v>
      </c>
      <c r="V127" s="85">
        <f t="shared" ca="1" si="123"/>
        <v>538.20800954696892</v>
      </c>
      <c r="W127" s="85">
        <f t="shared" ca="1" si="124"/>
        <v>486.16863071400172</v>
      </c>
      <c r="X127" s="85">
        <f t="shared" ca="1" si="125"/>
        <v>517.09800600989718</v>
      </c>
      <c r="Y127" s="85">
        <f t="shared" ca="1" si="126"/>
        <v>447.71207707148386</v>
      </c>
      <c r="Z127" s="85">
        <f t="shared" ca="1" si="127"/>
        <v>509.63729967325946</v>
      </c>
      <c r="AA127" s="85">
        <f t="shared" ca="1" si="128"/>
        <v>479.99110235575557</v>
      </c>
      <c r="AB127" s="85">
        <f t="shared" ca="1" si="129"/>
        <v>569.84251946359461</v>
      </c>
      <c r="AC127" s="85">
        <f t="shared" ca="1" si="130"/>
        <v>518.06703474481753</v>
      </c>
      <c r="AD127" s="85">
        <f t="shared" ca="1" si="131"/>
        <v>588.52719074791946</v>
      </c>
      <c r="AE127" s="85">
        <f t="shared" ca="1" si="132"/>
        <v>698.20372772170765</v>
      </c>
      <c r="AF127" s="85">
        <f t="shared" ca="1" si="133"/>
        <v>463.16480968371138</v>
      </c>
      <c r="AG127" s="85">
        <f t="shared" ca="1" si="134"/>
        <v>521.9032334871373</v>
      </c>
      <c r="AH127" s="85">
        <f t="shared" ca="1" si="135"/>
        <v>438.91349866711425</v>
      </c>
      <c r="AI127" s="85">
        <f t="shared" ca="1" si="136"/>
        <v>546.38522787668228</v>
      </c>
      <c r="AJ127" s="85">
        <f t="shared" ca="1" si="137"/>
        <v>597.32850605922476</v>
      </c>
      <c r="AK127" s="85">
        <f t="shared" ca="1" si="138"/>
        <v>512.3998758319367</v>
      </c>
      <c r="AL127" s="85">
        <f t="shared" ca="1" si="139"/>
        <v>543.3560115675167</v>
      </c>
      <c r="AM127" s="85">
        <f t="shared" ca="1" si="140"/>
        <v>471.72888531300163</v>
      </c>
      <c r="AN127" s="85">
        <f t="shared" ca="1" si="141"/>
        <v>531.5375285417897</v>
      </c>
      <c r="AO127" s="85">
        <f t="shared" ca="1" si="142"/>
        <v>577.25390479832504</v>
      </c>
      <c r="AP127" s="85">
        <f t="shared" ca="1" si="143"/>
        <v>580.63928201401313</v>
      </c>
      <c r="AQ127" s="85">
        <f t="shared" ca="1" si="144"/>
        <v>477.77364035540717</v>
      </c>
      <c r="AR127" s="85">
        <f t="shared" ca="1" si="145"/>
        <v>499.63949310253201</v>
      </c>
      <c r="AS127" s="85">
        <f t="shared" ca="1" si="146"/>
        <v>472.69383619546755</v>
      </c>
      <c r="AT127" s="85">
        <f t="shared" ca="1" si="147"/>
        <v>549.47019636284654</v>
      </c>
      <c r="AU127" s="85">
        <f t="shared" ca="1" si="148"/>
        <v>525.1959645855959</v>
      </c>
      <c r="AV127" s="85">
        <f t="shared" ca="1" si="149"/>
        <v>497.83652045538423</v>
      </c>
      <c r="AW127" s="85">
        <f t="shared" ca="1" si="150"/>
        <v>503.975650091067</v>
      </c>
      <c r="AX127" s="85">
        <f t="shared" ca="1" si="151"/>
        <v>583.98136249546587</v>
      </c>
      <c r="AY127" s="85">
        <f t="shared" ca="1" si="152"/>
        <v>541.77333143812996</v>
      </c>
      <c r="AZ127" s="85">
        <f t="shared" ca="1" si="153"/>
        <v>530.56377093654908</v>
      </c>
      <c r="BA127" s="85">
        <f t="shared" ca="1" si="154"/>
        <v>546.34602478746706</v>
      </c>
      <c r="BB127" s="85">
        <f t="shared" ca="1" si="155"/>
        <v>480.6139815596315</v>
      </c>
      <c r="BC127" s="85">
        <f t="shared" ca="1" si="156"/>
        <v>493.06657931888492</v>
      </c>
      <c r="BD127" s="85">
        <f t="shared" ca="1" si="157"/>
        <v>534.27728112081786</v>
      </c>
      <c r="BE127" s="85">
        <f t="shared" ca="1" si="158"/>
        <v>459.64595878530292</v>
      </c>
      <c r="BF127" s="85">
        <f t="shared" ca="1" si="159"/>
        <v>510.39141808758922</v>
      </c>
      <c r="BG127" s="85">
        <f t="shared" ca="1" si="160"/>
        <v>447.94832595138053</v>
      </c>
      <c r="BH127" s="85">
        <f t="shared" ca="1" si="161"/>
        <v>520.52756577178263</v>
      </c>
      <c r="BI127" s="85">
        <f t="shared" ca="1" si="162"/>
        <v>482.24510442152786</v>
      </c>
      <c r="BJ127" s="85">
        <f t="shared" ca="1" si="163"/>
        <v>518.49658264499499</v>
      </c>
      <c r="BK127" s="85">
        <f t="shared" ca="1" si="164"/>
        <v>521.09303271200702</v>
      </c>
      <c r="BL127" s="85">
        <f t="shared" ca="1" si="165"/>
        <v>483.37918662353542</v>
      </c>
      <c r="BM127" s="85">
        <f t="shared" ca="1" si="166"/>
        <v>449.16434453941758</v>
      </c>
      <c r="BN127" s="85">
        <f t="shared" ca="1" si="103"/>
        <v>566.87271999912036</v>
      </c>
      <c r="BO127" s="85">
        <f t="shared" ca="1" si="192"/>
        <v>590.30491036642832</v>
      </c>
      <c r="BP127" s="85">
        <f t="shared" ca="1" si="193"/>
        <v>465.7193184807283</v>
      </c>
      <c r="BQ127" s="85">
        <f t="shared" ca="1" si="194"/>
        <v>494.42664867828199</v>
      </c>
      <c r="BR127" s="85">
        <f t="shared" ca="1" si="195"/>
        <v>472.54711105359968</v>
      </c>
      <c r="BS127" s="85">
        <f t="shared" ca="1" si="196"/>
        <v>520.38198998078758</v>
      </c>
      <c r="BT127" s="85">
        <f t="shared" ca="1" si="197"/>
        <v>546.01326166000308</v>
      </c>
      <c r="BU127" s="85">
        <f t="shared" ca="1" si="198"/>
        <v>537.36171705940433</v>
      </c>
      <c r="BV127" s="85">
        <f t="shared" ca="1" si="199"/>
        <v>509.79142484494008</v>
      </c>
      <c r="BW127" s="85">
        <f t="shared" ca="1" si="200"/>
        <v>534.71613966998711</v>
      </c>
      <c r="BX127" s="85">
        <f t="shared" ca="1" si="201"/>
        <v>521.60915509488916</v>
      </c>
      <c r="BY127" s="85">
        <f t="shared" ca="1" si="167"/>
        <v>503.11021460860644</v>
      </c>
      <c r="BZ127" s="85">
        <f t="shared" ca="1" si="168"/>
        <v>486.89691539881568</v>
      </c>
      <c r="CA127" s="85">
        <f t="shared" ca="1" si="169"/>
        <v>495.35227790362887</v>
      </c>
      <c r="CB127" s="85">
        <f t="shared" ca="1" si="170"/>
        <v>477.03005747315916</v>
      </c>
      <c r="CC127" s="85">
        <f t="shared" ca="1" si="171"/>
        <v>534.42194069470156</v>
      </c>
      <c r="CD127" s="85">
        <f t="shared" ca="1" si="172"/>
        <v>595.95335178248388</v>
      </c>
      <c r="CE127" s="85">
        <f t="shared" ca="1" si="173"/>
        <v>467.57650739047926</v>
      </c>
      <c r="CF127" s="85">
        <f t="shared" ca="1" si="174"/>
        <v>575.25956027585073</v>
      </c>
      <c r="CG127" s="85">
        <f t="shared" ca="1" si="175"/>
        <v>461.84059115624245</v>
      </c>
      <c r="CH127" s="85">
        <f t="shared" ca="1" si="176"/>
        <v>533.97331157843985</v>
      </c>
      <c r="CI127" s="85">
        <f t="shared" ca="1" si="177"/>
        <v>527.68315575140025</v>
      </c>
      <c r="CJ127" s="85">
        <f t="shared" ca="1" si="178"/>
        <v>473.82181053669984</v>
      </c>
      <c r="CK127" s="85">
        <f t="shared" ca="1" si="179"/>
        <v>506.54772210469804</v>
      </c>
      <c r="CL127" s="85">
        <f t="shared" ca="1" si="180"/>
        <v>475.29798011590572</v>
      </c>
      <c r="CM127" s="85">
        <f t="shared" ca="1" si="181"/>
        <v>566.68439853444761</v>
      </c>
      <c r="CN127" s="85">
        <f t="shared" ca="1" si="182"/>
        <v>467.64506328129806</v>
      </c>
      <c r="CO127" s="85">
        <f t="shared" ca="1" si="183"/>
        <v>460.67679508391956</v>
      </c>
      <c r="CP127" s="85">
        <f t="shared" ca="1" si="184"/>
        <v>595.97415029288845</v>
      </c>
      <c r="CQ127" s="85">
        <f t="shared" ca="1" si="185"/>
        <v>490.24636175035192</v>
      </c>
      <c r="CR127" s="85">
        <f t="shared" ca="1" si="186"/>
        <v>547.32563174281449</v>
      </c>
      <c r="CS127" s="85">
        <f t="shared" ca="1" si="187"/>
        <v>428.79960516561903</v>
      </c>
      <c r="CT127" s="85">
        <f t="shared" ca="1" si="188"/>
        <v>517.49714164462523</v>
      </c>
      <c r="CU127" s="85">
        <f t="shared" ca="1" si="189"/>
        <v>608.95820498940134</v>
      </c>
      <c r="CV127" s="85">
        <f t="shared" ca="1" si="190"/>
        <v>476.12122833770792</v>
      </c>
      <c r="CW127" s="85">
        <f t="shared" ca="1" si="191"/>
        <v>477.39662206519307</v>
      </c>
    </row>
    <row r="128" spans="1:101" x14ac:dyDescent="0.2">
      <c r="A128" s="115">
        <v>125</v>
      </c>
      <c r="B128" s="85">
        <f t="shared" ca="1" si="102"/>
        <v>440.87876897228102</v>
      </c>
      <c r="C128" s="85">
        <f t="shared" ca="1" si="104"/>
        <v>512.20366087491038</v>
      </c>
      <c r="D128" s="85">
        <f t="shared" ca="1" si="105"/>
        <v>490.24206941634924</v>
      </c>
      <c r="E128" s="85">
        <f t="shared" ca="1" si="106"/>
        <v>465.06565498240815</v>
      </c>
      <c r="F128" s="85">
        <f t="shared" ca="1" si="107"/>
        <v>476.2979618840879</v>
      </c>
      <c r="G128" s="85">
        <f t="shared" ca="1" si="108"/>
        <v>519.93935879320736</v>
      </c>
      <c r="H128" s="85">
        <f t="shared" ca="1" si="109"/>
        <v>502.83793680990738</v>
      </c>
      <c r="I128" s="85">
        <f t="shared" ca="1" si="110"/>
        <v>530.8178121849262</v>
      </c>
      <c r="J128" s="85">
        <f t="shared" ca="1" si="111"/>
        <v>490.43678190919701</v>
      </c>
      <c r="K128" s="85">
        <f t="shared" ca="1" si="112"/>
        <v>529.84428933048116</v>
      </c>
      <c r="L128" s="85">
        <f t="shared" ca="1" si="113"/>
        <v>573.12412932988548</v>
      </c>
      <c r="M128" s="85">
        <f t="shared" ca="1" si="114"/>
        <v>403.13098608921553</v>
      </c>
      <c r="N128" s="85">
        <f t="shared" ca="1" si="115"/>
        <v>511.36126030836891</v>
      </c>
      <c r="O128" s="85">
        <f t="shared" ca="1" si="116"/>
        <v>492.66002327482323</v>
      </c>
      <c r="P128" s="85">
        <f t="shared" ca="1" si="117"/>
        <v>515.19559249891449</v>
      </c>
      <c r="Q128" s="85">
        <f t="shared" ca="1" si="118"/>
        <v>534.33014051728833</v>
      </c>
      <c r="R128" s="85">
        <f t="shared" ca="1" si="119"/>
        <v>470.40140004849894</v>
      </c>
      <c r="S128" s="85">
        <f t="shared" ca="1" si="120"/>
        <v>546.57091659448213</v>
      </c>
      <c r="T128" s="85">
        <f t="shared" ca="1" si="121"/>
        <v>519.25617119720778</v>
      </c>
      <c r="U128" s="85">
        <f t="shared" ca="1" si="122"/>
        <v>457.66880253814998</v>
      </c>
      <c r="V128" s="85">
        <f t="shared" ca="1" si="123"/>
        <v>541.80836459869215</v>
      </c>
      <c r="W128" s="85">
        <f t="shared" ca="1" si="124"/>
        <v>486.10456312247294</v>
      </c>
      <c r="X128" s="85">
        <f t="shared" ca="1" si="125"/>
        <v>527.95535315548534</v>
      </c>
      <c r="Y128" s="85">
        <f t="shared" ca="1" si="126"/>
        <v>457.60049485396939</v>
      </c>
      <c r="Z128" s="85">
        <f t="shared" ca="1" si="127"/>
        <v>516.49424513323061</v>
      </c>
      <c r="AA128" s="85">
        <f t="shared" ca="1" si="128"/>
        <v>484.11896135409637</v>
      </c>
      <c r="AB128" s="85">
        <f t="shared" ca="1" si="129"/>
        <v>583.13555675077089</v>
      </c>
      <c r="AC128" s="85">
        <f t="shared" ca="1" si="130"/>
        <v>524.09486621296571</v>
      </c>
      <c r="AD128" s="85">
        <f t="shared" ca="1" si="131"/>
        <v>588.9624608361687</v>
      </c>
      <c r="AE128" s="85">
        <f t="shared" ca="1" si="132"/>
        <v>698.33527853731869</v>
      </c>
      <c r="AF128" s="85">
        <f t="shared" ca="1" si="133"/>
        <v>469.06947811779844</v>
      </c>
      <c r="AG128" s="85">
        <f t="shared" ca="1" si="134"/>
        <v>532.03473041073585</v>
      </c>
      <c r="AH128" s="85">
        <f t="shared" ca="1" si="135"/>
        <v>445.37756879304806</v>
      </c>
      <c r="AI128" s="85">
        <f t="shared" ca="1" si="136"/>
        <v>549.89391426279747</v>
      </c>
      <c r="AJ128" s="85">
        <f t="shared" ca="1" si="137"/>
        <v>602.74476657505522</v>
      </c>
      <c r="AK128" s="85">
        <f t="shared" ca="1" si="138"/>
        <v>517.19734805187909</v>
      </c>
      <c r="AL128" s="85">
        <f t="shared" ca="1" si="139"/>
        <v>548.49844378910655</v>
      </c>
      <c r="AM128" s="85">
        <f t="shared" ca="1" si="140"/>
        <v>475.91148097722208</v>
      </c>
      <c r="AN128" s="85">
        <f t="shared" ca="1" si="141"/>
        <v>541.20807389842366</v>
      </c>
      <c r="AO128" s="85">
        <f t="shared" ca="1" si="142"/>
        <v>579.64593673069385</v>
      </c>
      <c r="AP128" s="85">
        <f t="shared" ca="1" si="143"/>
        <v>581.92730835930661</v>
      </c>
      <c r="AQ128" s="85">
        <f t="shared" ca="1" si="144"/>
        <v>484.21445049891145</v>
      </c>
      <c r="AR128" s="85">
        <f t="shared" ca="1" si="145"/>
        <v>505.83769971845038</v>
      </c>
      <c r="AS128" s="85">
        <f t="shared" ca="1" si="146"/>
        <v>474.25136148609073</v>
      </c>
      <c r="AT128" s="85">
        <f t="shared" ca="1" si="147"/>
        <v>554.5165193888804</v>
      </c>
      <c r="AU128" s="85">
        <f t="shared" ca="1" si="148"/>
        <v>526.78127960939923</v>
      </c>
      <c r="AV128" s="85">
        <f t="shared" ca="1" si="149"/>
        <v>508.14506156786229</v>
      </c>
      <c r="AW128" s="85">
        <f t="shared" ca="1" si="150"/>
        <v>507.74585437384405</v>
      </c>
      <c r="AX128" s="85">
        <f t="shared" ca="1" si="151"/>
        <v>588.31681719365929</v>
      </c>
      <c r="AY128" s="85">
        <f t="shared" ca="1" si="152"/>
        <v>553.68375436554879</v>
      </c>
      <c r="AZ128" s="85">
        <f t="shared" ca="1" si="153"/>
        <v>534.47107010763136</v>
      </c>
      <c r="BA128" s="85">
        <f t="shared" ca="1" si="154"/>
        <v>556.56799759383273</v>
      </c>
      <c r="BB128" s="85">
        <f t="shared" ca="1" si="155"/>
        <v>487.45256215215392</v>
      </c>
      <c r="BC128" s="85">
        <f t="shared" ca="1" si="156"/>
        <v>505.0891438007763</v>
      </c>
      <c r="BD128" s="85">
        <f t="shared" ca="1" si="157"/>
        <v>540.84292187843857</v>
      </c>
      <c r="BE128" s="85">
        <f t="shared" ca="1" si="158"/>
        <v>468.00280596510544</v>
      </c>
      <c r="BF128" s="85">
        <f t="shared" ca="1" si="159"/>
        <v>510.59189238472641</v>
      </c>
      <c r="BG128" s="85">
        <f t="shared" ca="1" si="160"/>
        <v>454.91023136164648</v>
      </c>
      <c r="BH128" s="85">
        <f t="shared" ca="1" si="161"/>
        <v>531.96800249980924</v>
      </c>
      <c r="BI128" s="85">
        <f t="shared" ca="1" si="162"/>
        <v>488.96586216267758</v>
      </c>
      <c r="BJ128" s="85">
        <f t="shared" ca="1" si="163"/>
        <v>521.28117189617853</v>
      </c>
      <c r="BK128" s="85">
        <f t="shared" ca="1" si="164"/>
        <v>523.24681699017458</v>
      </c>
      <c r="BL128" s="85">
        <f t="shared" ca="1" si="165"/>
        <v>488.52690450176254</v>
      </c>
      <c r="BM128" s="85">
        <f t="shared" ca="1" si="166"/>
        <v>458.01628600154311</v>
      </c>
      <c r="BN128" s="85">
        <f t="shared" ca="1" si="103"/>
        <v>569.83674834347926</v>
      </c>
      <c r="BO128" s="85">
        <f t="shared" ca="1" si="192"/>
        <v>593.3369403975197</v>
      </c>
      <c r="BP128" s="85">
        <f t="shared" ca="1" si="193"/>
        <v>471.56189034283528</v>
      </c>
      <c r="BQ128" s="85">
        <f t="shared" ca="1" si="194"/>
        <v>504.05178535824848</v>
      </c>
      <c r="BR128" s="85">
        <f t="shared" ca="1" si="195"/>
        <v>482.98126616060318</v>
      </c>
      <c r="BS128" s="85">
        <f t="shared" ca="1" si="196"/>
        <v>529.47635582682176</v>
      </c>
      <c r="BT128" s="85">
        <f t="shared" ca="1" si="197"/>
        <v>549.09973707637369</v>
      </c>
      <c r="BU128" s="85">
        <f t="shared" ca="1" si="198"/>
        <v>543.28147505556717</v>
      </c>
      <c r="BV128" s="85">
        <f t="shared" ca="1" si="199"/>
        <v>517.27870441053881</v>
      </c>
      <c r="BW128" s="85">
        <f t="shared" ca="1" si="200"/>
        <v>542.0727807970743</v>
      </c>
      <c r="BX128" s="85">
        <f t="shared" ca="1" si="201"/>
        <v>522.0075026951821</v>
      </c>
      <c r="BY128" s="85">
        <f t="shared" ca="1" si="167"/>
        <v>508.78442226149241</v>
      </c>
      <c r="BZ128" s="85">
        <f t="shared" ca="1" si="168"/>
        <v>491.37756487469346</v>
      </c>
      <c r="CA128" s="85">
        <f t="shared" ca="1" si="169"/>
        <v>505.5181212831659</v>
      </c>
      <c r="CB128" s="85">
        <f t="shared" ca="1" si="170"/>
        <v>480.21507600399906</v>
      </c>
      <c r="CC128" s="85">
        <f t="shared" ca="1" si="171"/>
        <v>542.60710158123356</v>
      </c>
      <c r="CD128" s="85">
        <f t="shared" ca="1" si="172"/>
        <v>608.76946347504042</v>
      </c>
      <c r="CE128" s="85">
        <f t="shared" ca="1" si="173"/>
        <v>477.95594753322951</v>
      </c>
      <c r="CF128" s="85">
        <f t="shared" ca="1" si="174"/>
        <v>579.19355779448699</v>
      </c>
      <c r="CG128" s="85">
        <f t="shared" ca="1" si="175"/>
        <v>473.01586236433656</v>
      </c>
      <c r="CH128" s="85">
        <f t="shared" ca="1" si="176"/>
        <v>538.14012918648893</v>
      </c>
      <c r="CI128" s="85">
        <f t="shared" ca="1" si="177"/>
        <v>532.53460155529297</v>
      </c>
      <c r="CJ128" s="85">
        <f t="shared" ca="1" si="178"/>
        <v>480.47848093484555</v>
      </c>
      <c r="CK128" s="85">
        <f t="shared" ca="1" si="179"/>
        <v>509.51838018869438</v>
      </c>
      <c r="CL128" s="85">
        <f t="shared" ca="1" si="180"/>
        <v>481.35412146476403</v>
      </c>
      <c r="CM128" s="85">
        <f t="shared" ca="1" si="181"/>
        <v>574.7372627485455</v>
      </c>
      <c r="CN128" s="85">
        <f t="shared" ca="1" si="182"/>
        <v>475.40769397576679</v>
      </c>
      <c r="CO128" s="85">
        <f t="shared" ca="1" si="183"/>
        <v>468.89262373470297</v>
      </c>
      <c r="CP128" s="85">
        <f t="shared" ca="1" si="184"/>
        <v>596.07994661857094</v>
      </c>
      <c r="CQ128" s="85">
        <f t="shared" ca="1" si="185"/>
        <v>496.43179066440024</v>
      </c>
      <c r="CR128" s="85">
        <f t="shared" ca="1" si="186"/>
        <v>551.17649376164695</v>
      </c>
      <c r="CS128" s="85">
        <f t="shared" ca="1" si="187"/>
        <v>442.99449370691013</v>
      </c>
      <c r="CT128" s="85">
        <f t="shared" ca="1" si="188"/>
        <v>523.7869782977881</v>
      </c>
      <c r="CU128" s="85">
        <f t="shared" ca="1" si="189"/>
        <v>610.36170749170856</v>
      </c>
      <c r="CV128" s="85">
        <f t="shared" ca="1" si="190"/>
        <v>487.20017197424613</v>
      </c>
      <c r="CW128" s="85">
        <f t="shared" ca="1" si="191"/>
        <v>485.1554667305054</v>
      </c>
    </row>
    <row r="129" spans="1:101" x14ac:dyDescent="0.2">
      <c r="A129" s="115">
        <v>126</v>
      </c>
      <c r="B129" s="85">
        <f t="shared" ca="1" si="102"/>
        <v>444.48230845568537</v>
      </c>
      <c r="C129" s="85">
        <f t="shared" ca="1" si="104"/>
        <v>516.0477893926336</v>
      </c>
      <c r="D129" s="85">
        <f t="shared" ca="1" si="105"/>
        <v>501.24524618882987</v>
      </c>
      <c r="E129" s="85">
        <f t="shared" ca="1" si="106"/>
        <v>465.32397056715382</v>
      </c>
      <c r="F129" s="85">
        <f t="shared" ca="1" si="107"/>
        <v>479.58636520791634</v>
      </c>
      <c r="G129" s="85">
        <f t="shared" ca="1" si="108"/>
        <v>523.20779585749312</v>
      </c>
      <c r="H129" s="85">
        <f t="shared" ca="1" si="109"/>
        <v>512.57636366390511</v>
      </c>
      <c r="I129" s="85">
        <f t="shared" ca="1" si="110"/>
        <v>538.39759654153829</v>
      </c>
      <c r="J129" s="85">
        <f t="shared" ca="1" si="111"/>
        <v>501.08198325566048</v>
      </c>
      <c r="K129" s="85">
        <f t="shared" ca="1" si="112"/>
        <v>539.24624919709731</v>
      </c>
      <c r="L129" s="85">
        <f t="shared" ca="1" si="113"/>
        <v>580.57749526709017</v>
      </c>
      <c r="M129" s="85">
        <f t="shared" ca="1" si="114"/>
        <v>405.08816811441557</v>
      </c>
      <c r="N129" s="85">
        <f t="shared" ca="1" si="115"/>
        <v>518.19205230985608</v>
      </c>
      <c r="O129" s="85">
        <f t="shared" ca="1" si="116"/>
        <v>496.69730298909656</v>
      </c>
      <c r="P129" s="85">
        <f t="shared" ca="1" si="117"/>
        <v>528.31018354327739</v>
      </c>
      <c r="Q129" s="85">
        <f t="shared" ca="1" si="118"/>
        <v>551.79107922939193</v>
      </c>
      <c r="R129" s="85">
        <f t="shared" ca="1" si="119"/>
        <v>476.70048514876521</v>
      </c>
      <c r="S129" s="85">
        <f t="shared" ca="1" si="120"/>
        <v>552.60907947295448</v>
      </c>
      <c r="T129" s="85">
        <f t="shared" ca="1" si="121"/>
        <v>522.38492193374191</v>
      </c>
      <c r="U129" s="85">
        <f t="shared" ca="1" si="122"/>
        <v>462.99238961235619</v>
      </c>
      <c r="V129" s="85">
        <f t="shared" ca="1" si="123"/>
        <v>543.09515388842181</v>
      </c>
      <c r="W129" s="85">
        <f t="shared" ca="1" si="124"/>
        <v>490.50679280270066</v>
      </c>
      <c r="X129" s="85">
        <f t="shared" ca="1" si="125"/>
        <v>532.77380898731735</v>
      </c>
      <c r="Y129" s="85">
        <f t="shared" ca="1" si="126"/>
        <v>464.49858118652776</v>
      </c>
      <c r="Z129" s="85">
        <f t="shared" ca="1" si="127"/>
        <v>523.67244452248553</v>
      </c>
      <c r="AA129" s="85">
        <f t="shared" ca="1" si="128"/>
        <v>485.77976218979541</v>
      </c>
      <c r="AB129" s="85">
        <f t="shared" ca="1" si="129"/>
        <v>590.79813040919441</v>
      </c>
      <c r="AC129" s="85">
        <f t="shared" ca="1" si="130"/>
        <v>529.2652572544813</v>
      </c>
      <c r="AD129" s="85">
        <f t="shared" ca="1" si="131"/>
        <v>595.29564883068144</v>
      </c>
      <c r="AE129" s="85">
        <f t="shared" ca="1" si="132"/>
        <v>708.06228407657181</v>
      </c>
      <c r="AF129" s="85">
        <f t="shared" ca="1" si="133"/>
        <v>478.8013902066802</v>
      </c>
      <c r="AG129" s="85">
        <f t="shared" ca="1" si="134"/>
        <v>540.05381344640625</v>
      </c>
      <c r="AH129" s="85">
        <f t="shared" ca="1" si="135"/>
        <v>449.39467474758078</v>
      </c>
      <c r="AI129" s="85">
        <f t="shared" ca="1" si="136"/>
        <v>561.67453554923384</v>
      </c>
      <c r="AJ129" s="85">
        <f t="shared" ca="1" si="137"/>
        <v>604.37951361249213</v>
      </c>
      <c r="AK129" s="85">
        <f t="shared" ca="1" si="138"/>
        <v>524.6217656303985</v>
      </c>
      <c r="AL129" s="85">
        <f t="shared" ca="1" si="139"/>
        <v>546.49719204964128</v>
      </c>
      <c r="AM129" s="85">
        <f t="shared" ca="1" si="140"/>
        <v>489.06409172450941</v>
      </c>
      <c r="AN129" s="85">
        <f t="shared" ca="1" si="141"/>
        <v>547.16562660993111</v>
      </c>
      <c r="AO129" s="85">
        <f t="shared" ca="1" si="142"/>
        <v>587.92710334515425</v>
      </c>
      <c r="AP129" s="85">
        <f t="shared" ca="1" si="143"/>
        <v>585.87338288999456</v>
      </c>
      <c r="AQ129" s="85">
        <f t="shared" ca="1" si="144"/>
        <v>489.75831755001212</v>
      </c>
      <c r="AR129" s="85">
        <f t="shared" ca="1" si="145"/>
        <v>513.32996748074208</v>
      </c>
      <c r="AS129" s="85">
        <f t="shared" ca="1" si="146"/>
        <v>480.42737567194553</v>
      </c>
      <c r="AT129" s="85">
        <f t="shared" ca="1" si="147"/>
        <v>558.1925035108095</v>
      </c>
      <c r="AU129" s="85">
        <f t="shared" ca="1" si="148"/>
        <v>535.08545654881391</v>
      </c>
      <c r="AV129" s="85">
        <f t="shared" ca="1" si="149"/>
        <v>515.83886908040165</v>
      </c>
      <c r="AW129" s="85">
        <f t="shared" ca="1" si="150"/>
        <v>513.61251617389973</v>
      </c>
      <c r="AX129" s="85">
        <f t="shared" ca="1" si="151"/>
        <v>598.32846699072036</v>
      </c>
      <c r="AY129" s="85">
        <f t="shared" ca="1" si="152"/>
        <v>561.72806498733291</v>
      </c>
      <c r="AZ129" s="85">
        <f t="shared" ca="1" si="153"/>
        <v>541.49709551629155</v>
      </c>
      <c r="BA129" s="85">
        <f t="shared" ca="1" si="154"/>
        <v>568.45537831162403</v>
      </c>
      <c r="BB129" s="85">
        <f t="shared" ca="1" si="155"/>
        <v>498.21568202927796</v>
      </c>
      <c r="BC129" s="85">
        <f t="shared" ca="1" si="156"/>
        <v>508.65141241724262</v>
      </c>
      <c r="BD129" s="85">
        <f t="shared" ca="1" si="157"/>
        <v>541.93271518429219</v>
      </c>
      <c r="BE129" s="85">
        <f t="shared" ca="1" si="158"/>
        <v>474.93091992863424</v>
      </c>
      <c r="BF129" s="85">
        <f t="shared" ca="1" si="159"/>
        <v>522.03017100081195</v>
      </c>
      <c r="BG129" s="85">
        <f t="shared" ca="1" si="160"/>
        <v>463.71081125939901</v>
      </c>
      <c r="BH129" s="85">
        <f t="shared" ca="1" si="161"/>
        <v>541.17627764954307</v>
      </c>
      <c r="BI129" s="85">
        <f t="shared" ca="1" si="162"/>
        <v>494.90246872187959</v>
      </c>
      <c r="BJ129" s="85">
        <f t="shared" ca="1" si="163"/>
        <v>524.6905444937712</v>
      </c>
      <c r="BK129" s="85">
        <f t="shared" ca="1" si="164"/>
        <v>531.75218301618054</v>
      </c>
      <c r="BL129" s="85">
        <f t="shared" ca="1" si="165"/>
        <v>498.89622383237867</v>
      </c>
      <c r="BM129" s="85">
        <f t="shared" ca="1" si="166"/>
        <v>467.76810991948685</v>
      </c>
      <c r="BN129" s="85">
        <f t="shared" ca="1" si="103"/>
        <v>577.17775902984499</v>
      </c>
      <c r="BO129" s="85">
        <f t="shared" ca="1" si="192"/>
        <v>604.00037814095231</v>
      </c>
      <c r="BP129" s="85">
        <f t="shared" ca="1" si="193"/>
        <v>472.43988322461411</v>
      </c>
      <c r="BQ129" s="85">
        <f t="shared" ca="1" si="194"/>
        <v>515.82075844596727</v>
      </c>
      <c r="BR129" s="85">
        <f t="shared" ca="1" si="195"/>
        <v>490.5854202493249</v>
      </c>
      <c r="BS129" s="85">
        <f t="shared" ca="1" si="196"/>
        <v>539.92210016519482</v>
      </c>
      <c r="BT129" s="85">
        <f t="shared" ca="1" si="197"/>
        <v>558.00628197199558</v>
      </c>
      <c r="BU129" s="85">
        <f t="shared" ca="1" si="198"/>
        <v>550.75500408394521</v>
      </c>
      <c r="BV129" s="85">
        <f t="shared" ca="1" si="199"/>
        <v>525.30368882278617</v>
      </c>
      <c r="BW129" s="85">
        <f t="shared" ca="1" si="200"/>
        <v>550.9299141944017</v>
      </c>
      <c r="BX129" s="85">
        <f t="shared" ca="1" si="201"/>
        <v>532.81492942540274</v>
      </c>
      <c r="BY129" s="85">
        <f t="shared" ca="1" si="167"/>
        <v>515.33900641316006</v>
      </c>
      <c r="BZ129" s="85">
        <f t="shared" ca="1" si="168"/>
        <v>502.18144939744997</v>
      </c>
      <c r="CA129" s="85">
        <f t="shared" ca="1" si="169"/>
        <v>515.13650689026861</v>
      </c>
      <c r="CB129" s="85">
        <f t="shared" ca="1" si="170"/>
        <v>487.72759417688587</v>
      </c>
      <c r="CC129" s="85">
        <f t="shared" ca="1" si="171"/>
        <v>550.30148857207519</v>
      </c>
      <c r="CD129" s="85">
        <f t="shared" ca="1" si="172"/>
        <v>618.02470279874899</v>
      </c>
      <c r="CE129" s="85">
        <f t="shared" ca="1" si="173"/>
        <v>489.56237436666731</v>
      </c>
      <c r="CF129" s="85">
        <f t="shared" ca="1" si="174"/>
        <v>588.16994433515436</v>
      </c>
      <c r="CG129" s="85">
        <f t="shared" ca="1" si="175"/>
        <v>477.48425427255387</v>
      </c>
      <c r="CH129" s="85">
        <f t="shared" ca="1" si="176"/>
        <v>539.71842528948014</v>
      </c>
      <c r="CI129" s="85">
        <f t="shared" ca="1" si="177"/>
        <v>541.23655676959891</v>
      </c>
      <c r="CJ129" s="85">
        <f t="shared" ca="1" si="178"/>
        <v>490.9609745548612</v>
      </c>
      <c r="CK129" s="85">
        <f t="shared" ca="1" si="179"/>
        <v>508.71621824859534</v>
      </c>
      <c r="CL129" s="85">
        <f t="shared" ca="1" si="180"/>
        <v>489.08880153205803</v>
      </c>
      <c r="CM129" s="85">
        <f t="shared" ca="1" si="181"/>
        <v>581.0709376936727</v>
      </c>
      <c r="CN129" s="85">
        <f t="shared" ca="1" si="182"/>
        <v>480.62021865630408</v>
      </c>
      <c r="CO129" s="85">
        <f t="shared" ca="1" si="183"/>
        <v>474.28620070115352</v>
      </c>
      <c r="CP129" s="85">
        <f t="shared" ca="1" si="184"/>
        <v>611.41889765136341</v>
      </c>
      <c r="CQ129" s="85">
        <f t="shared" ca="1" si="185"/>
        <v>497.96465253789347</v>
      </c>
      <c r="CR129" s="85">
        <f t="shared" ca="1" si="186"/>
        <v>551.77791612265219</v>
      </c>
      <c r="CS129" s="85">
        <f t="shared" ca="1" si="187"/>
        <v>446.78776541716644</v>
      </c>
      <c r="CT129" s="85">
        <f t="shared" ca="1" si="188"/>
        <v>528.58953808038802</v>
      </c>
      <c r="CU129" s="85">
        <f t="shared" ca="1" si="189"/>
        <v>618.09723789968791</v>
      </c>
      <c r="CV129" s="85">
        <f t="shared" ca="1" si="190"/>
        <v>493.59187884747882</v>
      </c>
      <c r="CW129" s="85">
        <f t="shared" ca="1" si="191"/>
        <v>491.22537012235586</v>
      </c>
    </row>
    <row r="130" spans="1:101" x14ac:dyDescent="0.2">
      <c r="A130" s="115">
        <v>127</v>
      </c>
      <c r="B130" s="85">
        <f t="shared" ca="1" si="102"/>
        <v>445.87002345752893</v>
      </c>
      <c r="C130" s="85">
        <f t="shared" ca="1" si="104"/>
        <v>530.68030824543609</v>
      </c>
      <c r="D130" s="85">
        <f t="shared" ca="1" si="105"/>
        <v>501.57897306469539</v>
      </c>
      <c r="E130" s="85">
        <f t="shared" ca="1" si="106"/>
        <v>469.63216791743866</v>
      </c>
      <c r="F130" s="85">
        <f t="shared" ca="1" si="107"/>
        <v>482.85679660998431</v>
      </c>
      <c r="G130" s="85">
        <f t="shared" ca="1" si="108"/>
        <v>538.58785122563802</v>
      </c>
      <c r="H130" s="85">
        <f t="shared" ca="1" si="109"/>
        <v>514.27167475101828</v>
      </c>
      <c r="I130" s="85">
        <f t="shared" ca="1" si="110"/>
        <v>548.24123410388222</v>
      </c>
      <c r="J130" s="85">
        <f t="shared" ca="1" si="111"/>
        <v>509.4080387580629</v>
      </c>
      <c r="K130" s="85">
        <f t="shared" ca="1" si="112"/>
        <v>550.83525700709015</v>
      </c>
      <c r="L130" s="85">
        <f t="shared" ca="1" si="113"/>
        <v>587.18213978799668</v>
      </c>
      <c r="M130" s="85">
        <f t="shared" ca="1" si="114"/>
        <v>408.43836791532721</v>
      </c>
      <c r="N130" s="85">
        <f t="shared" ca="1" si="115"/>
        <v>520.51928011873053</v>
      </c>
      <c r="O130" s="85">
        <f t="shared" ca="1" si="116"/>
        <v>505.13803822214044</v>
      </c>
      <c r="P130" s="85">
        <f t="shared" ca="1" si="117"/>
        <v>537.76768162807707</v>
      </c>
      <c r="Q130" s="85">
        <f t="shared" ca="1" si="118"/>
        <v>558.37903654989793</v>
      </c>
      <c r="R130" s="85">
        <f t="shared" ca="1" si="119"/>
        <v>480.56593067279482</v>
      </c>
      <c r="S130" s="85">
        <f t="shared" ca="1" si="120"/>
        <v>562.24454368561555</v>
      </c>
      <c r="T130" s="85">
        <f t="shared" ca="1" si="121"/>
        <v>540.60785343797215</v>
      </c>
      <c r="U130" s="85">
        <f t="shared" ca="1" si="122"/>
        <v>472.25440507766837</v>
      </c>
      <c r="V130" s="85">
        <f t="shared" ca="1" si="123"/>
        <v>550.8226885415063</v>
      </c>
      <c r="W130" s="85">
        <f t="shared" ca="1" si="124"/>
        <v>503.04915499857702</v>
      </c>
      <c r="X130" s="85">
        <f t="shared" ca="1" si="125"/>
        <v>539.82825577380686</v>
      </c>
      <c r="Y130" s="85">
        <f t="shared" ca="1" si="126"/>
        <v>472.22100909859699</v>
      </c>
      <c r="Z130" s="85">
        <f t="shared" ca="1" si="127"/>
        <v>531.06211578504008</v>
      </c>
      <c r="AA130" s="85">
        <f t="shared" ca="1" si="128"/>
        <v>491.76979369259533</v>
      </c>
      <c r="AB130" s="85">
        <f t="shared" ca="1" si="129"/>
        <v>598.85682308694675</v>
      </c>
      <c r="AC130" s="85">
        <f t="shared" ca="1" si="130"/>
        <v>536.05690997728095</v>
      </c>
      <c r="AD130" s="85">
        <f t="shared" ca="1" si="131"/>
        <v>607.2556833668724</v>
      </c>
      <c r="AE130" s="85">
        <f t="shared" ca="1" si="132"/>
        <v>725.03883955147444</v>
      </c>
      <c r="AF130" s="85">
        <f t="shared" ca="1" si="133"/>
        <v>485.17362805671405</v>
      </c>
      <c r="AG130" s="85">
        <f t="shared" ca="1" si="134"/>
        <v>544.20395428736117</v>
      </c>
      <c r="AH130" s="85">
        <f t="shared" ca="1" si="135"/>
        <v>452.34190357163544</v>
      </c>
      <c r="AI130" s="85">
        <f t="shared" ca="1" si="136"/>
        <v>568.00336929422053</v>
      </c>
      <c r="AJ130" s="85">
        <f t="shared" ca="1" si="137"/>
        <v>611.08596027481838</v>
      </c>
      <c r="AK130" s="85">
        <f t="shared" ca="1" si="138"/>
        <v>533.42301253906646</v>
      </c>
      <c r="AL130" s="85">
        <f t="shared" ca="1" si="139"/>
        <v>547.50876002735833</v>
      </c>
      <c r="AM130" s="85">
        <f t="shared" ca="1" si="140"/>
        <v>490.86618592664587</v>
      </c>
      <c r="AN130" s="85">
        <f t="shared" ca="1" si="141"/>
        <v>556.96515917482554</v>
      </c>
      <c r="AO130" s="85">
        <f t="shared" ca="1" si="142"/>
        <v>596.51495960234797</v>
      </c>
      <c r="AP130" s="85">
        <f t="shared" ca="1" si="143"/>
        <v>586.43992958856586</v>
      </c>
      <c r="AQ130" s="85">
        <f t="shared" ca="1" si="144"/>
        <v>497.04487702931834</v>
      </c>
      <c r="AR130" s="85">
        <f t="shared" ca="1" si="145"/>
        <v>522.9050342359692</v>
      </c>
      <c r="AS130" s="85">
        <f t="shared" ca="1" si="146"/>
        <v>486.34993213918426</v>
      </c>
      <c r="AT130" s="85">
        <f t="shared" ca="1" si="147"/>
        <v>562.57689925043769</v>
      </c>
      <c r="AU130" s="85">
        <f t="shared" ca="1" si="148"/>
        <v>543.09923214250955</v>
      </c>
      <c r="AV130" s="85">
        <f t="shared" ca="1" si="149"/>
        <v>518.75951545082057</v>
      </c>
      <c r="AW130" s="85">
        <f t="shared" ca="1" si="150"/>
        <v>525.26658955038272</v>
      </c>
      <c r="AX130" s="85">
        <f t="shared" ca="1" si="151"/>
        <v>602.48283025323417</v>
      </c>
      <c r="AY130" s="85">
        <f t="shared" ca="1" si="152"/>
        <v>569.58023306184009</v>
      </c>
      <c r="AZ130" s="85">
        <f t="shared" ca="1" si="153"/>
        <v>546.15067306635012</v>
      </c>
      <c r="BA130" s="85">
        <f t="shared" ca="1" si="154"/>
        <v>576.70438528784405</v>
      </c>
      <c r="BB130" s="85">
        <f t="shared" ca="1" si="155"/>
        <v>503.94673393096633</v>
      </c>
      <c r="BC130" s="85">
        <f t="shared" ca="1" si="156"/>
        <v>516.906572807109</v>
      </c>
      <c r="BD130" s="85">
        <f t="shared" ca="1" si="157"/>
        <v>554.18953476073682</v>
      </c>
      <c r="BE130" s="85">
        <f t="shared" ca="1" si="158"/>
        <v>480.24368431383402</v>
      </c>
      <c r="BF130" s="85">
        <f t="shared" ca="1" si="159"/>
        <v>527.77167211273729</v>
      </c>
      <c r="BG130" s="85">
        <f t="shared" ca="1" si="160"/>
        <v>467.92781703808288</v>
      </c>
      <c r="BH130" s="85">
        <f t="shared" ca="1" si="161"/>
        <v>546.04054517340728</v>
      </c>
      <c r="BI130" s="85">
        <f t="shared" ca="1" si="162"/>
        <v>503.34295491822138</v>
      </c>
      <c r="BJ130" s="85">
        <f t="shared" ca="1" si="163"/>
        <v>536.92204631165475</v>
      </c>
      <c r="BK130" s="85">
        <f t="shared" ca="1" si="164"/>
        <v>543.4875782842239</v>
      </c>
      <c r="BL130" s="85">
        <f t="shared" ca="1" si="165"/>
        <v>503.97427914953124</v>
      </c>
      <c r="BM130" s="85">
        <f t="shared" ca="1" si="166"/>
        <v>466.30344184104342</v>
      </c>
      <c r="BN130" s="85">
        <f t="shared" ca="1" si="103"/>
        <v>583.81817416651916</v>
      </c>
      <c r="BO130" s="85">
        <f t="shared" ca="1" si="192"/>
        <v>614.12994900834963</v>
      </c>
      <c r="BP130" s="85">
        <f t="shared" ca="1" si="193"/>
        <v>475.08855721885033</v>
      </c>
      <c r="BQ130" s="85">
        <f t="shared" ca="1" si="194"/>
        <v>518.03167687036239</v>
      </c>
      <c r="BR130" s="85">
        <f t="shared" ca="1" si="195"/>
        <v>490.80341019349771</v>
      </c>
      <c r="BS130" s="85">
        <f t="shared" ca="1" si="196"/>
        <v>555.55984342633678</v>
      </c>
      <c r="BT130" s="85">
        <f t="shared" ca="1" si="197"/>
        <v>562.37869637061351</v>
      </c>
      <c r="BU130" s="85">
        <f t="shared" ca="1" si="198"/>
        <v>558.51141525691935</v>
      </c>
      <c r="BV130" s="85">
        <f t="shared" ca="1" si="199"/>
        <v>533.48832003903169</v>
      </c>
      <c r="BW130" s="85">
        <f t="shared" ca="1" si="200"/>
        <v>557.2570948507497</v>
      </c>
      <c r="BX130" s="85">
        <f t="shared" ca="1" si="201"/>
        <v>544.23830195954702</v>
      </c>
      <c r="BY130" s="85">
        <f t="shared" ca="1" si="167"/>
        <v>519.24408335741884</v>
      </c>
      <c r="BZ130" s="85">
        <f t="shared" ca="1" si="168"/>
        <v>502.88304711016963</v>
      </c>
      <c r="CA130" s="85">
        <f t="shared" ca="1" si="169"/>
        <v>525.77757633597662</v>
      </c>
      <c r="CB130" s="85">
        <f t="shared" ca="1" si="170"/>
        <v>488.76076244904868</v>
      </c>
      <c r="CC130" s="85">
        <f t="shared" ca="1" si="171"/>
        <v>561.36943489093937</v>
      </c>
      <c r="CD130" s="85">
        <f t="shared" ca="1" si="172"/>
        <v>627.90224842843725</v>
      </c>
      <c r="CE130" s="85">
        <f t="shared" ca="1" si="173"/>
        <v>496.14478035207952</v>
      </c>
      <c r="CF130" s="85">
        <f t="shared" ca="1" si="174"/>
        <v>597.36282745322751</v>
      </c>
      <c r="CG130" s="85">
        <f t="shared" ca="1" si="175"/>
        <v>484.44727763776888</v>
      </c>
      <c r="CH130" s="85">
        <f t="shared" ca="1" si="176"/>
        <v>547.02260342404679</v>
      </c>
      <c r="CI130" s="85">
        <f t="shared" ca="1" si="177"/>
        <v>545.59934251304981</v>
      </c>
      <c r="CJ130" s="85">
        <f t="shared" ca="1" si="178"/>
        <v>497.85537354236607</v>
      </c>
      <c r="CK130" s="85">
        <f t="shared" ca="1" si="179"/>
        <v>509.20528050234873</v>
      </c>
      <c r="CL130" s="85">
        <f t="shared" ca="1" si="180"/>
        <v>494.87660830205351</v>
      </c>
      <c r="CM130" s="85">
        <f t="shared" ca="1" si="181"/>
        <v>587.9090588466247</v>
      </c>
      <c r="CN130" s="85">
        <f t="shared" ca="1" si="182"/>
        <v>483.8772397116083</v>
      </c>
      <c r="CO130" s="85">
        <f t="shared" ca="1" si="183"/>
        <v>476.50294859452322</v>
      </c>
      <c r="CP130" s="85">
        <f t="shared" ca="1" si="184"/>
        <v>621.09634409606235</v>
      </c>
      <c r="CQ130" s="85">
        <f t="shared" ca="1" si="185"/>
        <v>504.02366946246184</v>
      </c>
      <c r="CR130" s="85">
        <f t="shared" ca="1" si="186"/>
        <v>560.44555055173021</v>
      </c>
      <c r="CS130" s="85">
        <f t="shared" ca="1" si="187"/>
        <v>455.85720784255295</v>
      </c>
      <c r="CT130" s="85">
        <f t="shared" ca="1" si="188"/>
        <v>534.30004217344674</v>
      </c>
      <c r="CU130" s="85">
        <f t="shared" ca="1" si="189"/>
        <v>626.55693431095744</v>
      </c>
      <c r="CV130" s="85">
        <f t="shared" ca="1" si="190"/>
        <v>501.01677495971319</v>
      </c>
      <c r="CW130" s="85">
        <f t="shared" ca="1" si="191"/>
        <v>500.50590866431054</v>
      </c>
    </row>
    <row r="131" spans="1:101" x14ac:dyDescent="0.2">
      <c r="A131" s="115">
        <v>128</v>
      </c>
      <c r="B131" s="85">
        <f t="shared" ca="1" si="102"/>
        <v>452.9757421718661</v>
      </c>
      <c r="C131" s="85">
        <f t="shared" ca="1" si="104"/>
        <v>540.94781229555383</v>
      </c>
      <c r="D131" s="85">
        <f t="shared" ca="1" si="105"/>
        <v>510.71535224861555</v>
      </c>
      <c r="E131" s="85">
        <f t="shared" ca="1" si="106"/>
        <v>477.66969857707352</v>
      </c>
      <c r="F131" s="85">
        <f t="shared" ca="1" si="107"/>
        <v>490.15805738789436</v>
      </c>
      <c r="G131" s="85">
        <f t="shared" ca="1" si="108"/>
        <v>543.28911097706896</v>
      </c>
      <c r="H131" s="85">
        <f t="shared" ca="1" si="109"/>
        <v>523.02862279834153</v>
      </c>
      <c r="I131" s="85">
        <f t="shared" ca="1" si="110"/>
        <v>554.91950086049553</v>
      </c>
      <c r="J131" s="85">
        <f t="shared" ca="1" si="111"/>
        <v>514.08827575435623</v>
      </c>
      <c r="K131" s="85">
        <f t="shared" ca="1" si="112"/>
        <v>555.77934771354501</v>
      </c>
      <c r="L131" s="85">
        <f t="shared" ca="1" si="113"/>
        <v>588.05550127811216</v>
      </c>
      <c r="M131" s="85">
        <f t="shared" ca="1" si="114"/>
        <v>410.86059204757652</v>
      </c>
      <c r="N131" s="85">
        <f t="shared" ca="1" si="115"/>
        <v>529.85928397149223</v>
      </c>
      <c r="O131" s="85">
        <f t="shared" ca="1" si="116"/>
        <v>511.92387789918183</v>
      </c>
      <c r="P131" s="85">
        <f t="shared" ca="1" si="117"/>
        <v>544.55442596236196</v>
      </c>
      <c r="Q131" s="85">
        <f t="shared" ca="1" si="118"/>
        <v>572.08621900592721</v>
      </c>
      <c r="R131" s="85">
        <f t="shared" ca="1" si="119"/>
        <v>484.17829814950176</v>
      </c>
      <c r="S131" s="85">
        <f t="shared" ca="1" si="120"/>
        <v>569.81551752381779</v>
      </c>
      <c r="T131" s="85">
        <f t="shared" ca="1" si="121"/>
        <v>547.10904002854295</v>
      </c>
      <c r="U131" s="85">
        <f t="shared" ca="1" si="122"/>
        <v>479.4947583713377</v>
      </c>
      <c r="V131" s="85">
        <f t="shared" ca="1" si="123"/>
        <v>557.07237436519415</v>
      </c>
      <c r="W131" s="85">
        <f t="shared" ca="1" si="124"/>
        <v>517.09121199445804</v>
      </c>
      <c r="X131" s="85">
        <f t="shared" ca="1" si="125"/>
        <v>554.28534363535846</v>
      </c>
      <c r="Y131" s="85">
        <f t="shared" ca="1" si="126"/>
        <v>476.8764348247621</v>
      </c>
      <c r="Z131" s="85">
        <f t="shared" ca="1" si="127"/>
        <v>537.29630146264833</v>
      </c>
      <c r="AA131" s="85">
        <f t="shared" ca="1" si="128"/>
        <v>501.68113345846439</v>
      </c>
      <c r="AB131" s="85">
        <f t="shared" ca="1" si="129"/>
        <v>606.16452178135921</v>
      </c>
      <c r="AC131" s="85">
        <f t="shared" ca="1" si="130"/>
        <v>547.28434431292771</v>
      </c>
      <c r="AD131" s="85">
        <f t="shared" ca="1" si="131"/>
        <v>612.60104237651126</v>
      </c>
      <c r="AE131" s="85">
        <f t="shared" ca="1" si="132"/>
        <v>737.13275273709939</v>
      </c>
      <c r="AF131" s="85">
        <f t="shared" ca="1" si="133"/>
        <v>492.54554441998181</v>
      </c>
      <c r="AG131" s="85">
        <f t="shared" ca="1" si="134"/>
        <v>553.77955434490104</v>
      </c>
      <c r="AH131" s="85">
        <f t="shared" ca="1" si="135"/>
        <v>460.93280740496402</v>
      </c>
      <c r="AI131" s="85">
        <f t="shared" ca="1" si="136"/>
        <v>580.41648783160315</v>
      </c>
      <c r="AJ131" s="85">
        <f t="shared" ca="1" si="137"/>
        <v>614.05197147319143</v>
      </c>
      <c r="AK131" s="85">
        <f t="shared" ca="1" si="138"/>
        <v>535.51994008054726</v>
      </c>
      <c r="AL131" s="85">
        <f t="shared" ca="1" si="139"/>
        <v>552.07216470734556</v>
      </c>
      <c r="AM131" s="85">
        <f t="shared" ca="1" si="140"/>
        <v>498.79389066772836</v>
      </c>
      <c r="AN131" s="85">
        <f t="shared" ca="1" si="141"/>
        <v>562.86280154861618</v>
      </c>
      <c r="AO131" s="85">
        <f t="shared" ca="1" si="142"/>
        <v>599.3904202427301</v>
      </c>
      <c r="AP131" s="85">
        <f t="shared" ca="1" si="143"/>
        <v>596.45953567560616</v>
      </c>
      <c r="AQ131" s="85">
        <f t="shared" ca="1" si="144"/>
        <v>505.34639064629431</v>
      </c>
      <c r="AR131" s="85">
        <f t="shared" ca="1" si="145"/>
        <v>528.67476924613902</v>
      </c>
      <c r="AS131" s="85">
        <f t="shared" ca="1" si="146"/>
        <v>490.52277042063605</v>
      </c>
      <c r="AT131" s="85">
        <f t="shared" ca="1" si="147"/>
        <v>575.22560113195084</v>
      </c>
      <c r="AU131" s="85">
        <f t="shared" ca="1" si="148"/>
        <v>554.36554634220329</v>
      </c>
      <c r="AV131" s="85">
        <f t="shared" ca="1" si="149"/>
        <v>520.81964168640354</v>
      </c>
      <c r="AW131" s="85">
        <f t="shared" ca="1" si="150"/>
        <v>534.51296239974056</v>
      </c>
      <c r="AX131" s="85">
        <f t="shared" ca="1" si="151"/>
        <v>613.6470001889046</v>
      </c>
      <c r="AY131" s="85">
        <f t="shared" ca="1" si="152"/>
        <v>568.99094300245565</v>
      </c>
      <c r="AZ131" s="85">
        <f t="shared" ca="1" si="153"/>
        <v>554.36301549453367</v>
      </c>
      <c r="BA131" s="85">
        <f t="shared" ca="1" si="154"/>
        <v>577.95208131116499</v>
      </c>
      <c r="BB131" s="85">
        <f t="shared" ca="1" si="155"/>
        <v>509.29664546731476</v>
      </c>
      <c r="BC131" s="85">
        <f t="shared" ca="1" si="156"/>
        <v>526.65626934872296</v>
      </c>
      <c r="BD131" s="85">
        <f t="shared" ca="1" si="157"/>
        <v>562.61026306803853</v>
      </c>
      <c r="BE131" s="85">
        <f t="shared" ca="1" si="158"/>
        <v>485.96142776637038</v>
      </c>
      <c r="BF131" s="85">
        <f t="shared" ca="1" si="159"/>
        <v>536.08256819973622</v>
      </c>
      <c r="BG131" s="85">
        <f t="shared" ca="1" si="160"/>
        <v>471.34257492328754</v>
      </c>
      <c r="BH131" s="85">
        <f t="shared" ca="1" si="161"/>
        <v>558.30364236513492</v>
      </c>
      <c r="BI131" s="85">
        <f t="shared" ca="1" si="162"/>
        <v>511.31631436346299</v>
      </c>
      <c r="BJ131" s="85">
        <f t="shared" ca="1" si="163"/>
        <v>550.69309734699414</v>
      </c>
      <c r="BK131" s="85">
        <f t="shared" ca="1" si="164"/>
        <v>554.36553856284672</v>
      </c>
      <c r="BL131" s="85">
        <f t="shared" ca="1" si="165"/>
        <v>509.83511053746929</v>
      </c>
      <c r="BM131" s="85">
        <f t="shared" ca="1" si="166"/>
        <v>474.69300545627146</v>
      </c>
      <c r="BN131" s="85">
        <f t="shared" ca="1" si="103"/>
        <v>588.66137854058206</v>
      </c>
      <c r="BO131" s="85">
        <f t="shared" ca="1" si="192"/>
        <v>617.50440058361323</v>
      </c>
      <c r="BP131" s="85">
        <f t="shared" ca="1" si="193"/>
        <v>475.81546314641201</v>
      </c>
      <c r="BQ131" s="85">
        <f t="shared" ca="1" si="194"/>
        <v>527.47424265846553</v>
      </c>
      <c r="BR131" s="85">
        <f t="shared" ca="1" si="195"/>
        <v>499.22915262841695</v>
      </c>
      <c r="BS131" s="85">
        <f t="shared" ca="1" si="196"/>
        <v>555.66859059036369</v>
      </c>
      <c r="BT131" s="85">
        <f t="shared" ca="1" si="197"/>
        <v>568.83736864333912</v>
      </c>
      <c r="BU131" s="85">
        <f t="shared" ca="1" si="198"/>
        <v>567.25264724702856</v>
      </c>
      <c r="BV131" s="85">
        <f t="shared" ca="1" si="199"/>
        <v>535.99739224137534</v>
      </c>
      <c r="BW131" s="85">
        <f t="shared" ca="1" si="200"/>
        <v>562.20004085618302</v>
      </c>
      <c r="BX131" s="85">
        <f t="shared" ca="1" si="201"/>
        <v>553.35025624759817</v>
      </c>
      <c r="BY131" s="85">
        <f t="shared" ca="1" si="167"/>
        <v>531.21920791955029</v>
      </c>
      <c r="BZ131" s="85">
        <f t="shared" ca="1" si="168"/>
        <v>517.38494971180694</v>
      </c>
      <c r="CA131" s="85">
        <f t="shared" ca="1" si="169"/>
        <v>527.5295314953031</v>
      </c>
      <c r="CB131" s="85">
        <f t="shared" ca="1" si="170"/>
        <v>492.29744915149172</v>
      </c>
      <c r="CC131" s="85">
        <f t="shared" ca="1" si="171"/>
        <v>569.22114708219362</v>
      </c>
      <c r="CD131" s="85">
        <f t="shared" ca="1" si="172"/>
        <v>637.14634969841791</v>
      </c>
      <c r="CE131" s="85">
        <f t="shared" ca="1" si="173"/>
        <v>499.01769097886995</v>
      </c>
      <c r="CF131" s="85">
        <f t="shared" ca="1" si="174"/>
        <v>596.39150692096143</v>
      </c>
      <c r="CG131" s="85">
        <f t="shared" ca="1" si="175"/>
        <v>492.94611270218149</v>
      </c>
      <c r="CH131" s="85">
        <f t="shared" ca="1" si="176"/>
        <v>552.55160342789202</v>
      </c>
      <c r="CI131" s="85">
        <f t="shared" ca="1" si="177"/>
        <v>547.28223137228485</v>
      </c>
      <c r="CJ131" s="85">
        <f t="shared" ca="1" si="178"/>
        <v>503.29027858059465</v>
      </c>
      <c r="CK131" s="85">
        <f t="shared" ca="1" si="179"/>
        <v>516.60129350933482</v>
      </c>
      <c r="CL131" s="85">
        <f t="shared" ca="1" si="180"/>
        <v>504.68743360347554</v>
      </c>
      <c r="CM131" s="85">
        <f t="shared" ca="1" si="181"/>
        <v>590.51585324911991</v>
      </c>
      <c r="CN131" s="85">
        <f t="shared" ca="1" si="182"/>
        <v>491.27588161377957</v>
      </c>
      <c r="CO131" s="85">
        <f t="shared" ca="1" si="183"/>
        <v>481.35841357886846</v>
      </c>
      <c r="CP131" s="85">
        <f t="shared" ca="1" si="184"/>
        <v>624.10957183834591</v>
      </c>
      <c r="CQ131" s="85">
        <f t="shared" ca="1" si="185"/>
        <v>509.47819062320337</v>
      </c>
      <c r="CR131" s="85">
        <f t="shared" ca="1" si="186"/>
        <v>565.15909656095323</v>
      </c>
      <c r="CS131" s="85">
        <f t="shared" ca="1" si="187"/>
        <v>459.84540488232295</v>
      </c>
      <c r="CT131" s="85">
        <f t="shared" ca="1" si="188"/>
        <v>539.25340402692927</v>
      </c>
      <c r="CU131" s="85">
        <f t="shared" ca="1" si="189"/>
        <v>635.78879377835437</v>
      </c>
      <c r="CV131" s="85">
        <f t="shared" ca="1" si="190"/>
        <v>507.95741335421053</v>
      </c>
      <c r="CW131" s="85">
        <f t="shared" ca="1" si="191"/>
        <v>505.60471699407492</v>
      </c>
    </row>
    <row r="132" spans="1:101" x14ac:dyDescent="0.2">
      <c r="A132" s="115">
        <v>129</v>
      </c>
      <c r="B132" s="85">
        <f t="shared" ca="1" si="102"/>
        <v>453.97519254985212</v>
      </c>
      <c r="C132" s="85">
        <f t="shared" ca="1" si="104"/>
        <v>547.16589746616478</v>
      </c>
      <c r="D132" s="85">
        <f t="shared" ca="1" si="105"/>
        <v>516.37974218660804</v>
      </c>
      <c r="E132" s="85">
        <f t="shared" ca="1" si="106"/>
        <v>487.33008167921662</v>
      </c>
      <c r="F132" s="85">
        <f t="shared" ca="1" si="107"/>
        <v>493.31328765125841</v>
      </c>
      <c r="G132" s="85">
        <f t="shared" ca="1" si="108"/>
        <v>554.48129854254887</v>
      </c>
      <c r="H132" s="85">
        <f t="shared" ca="1" si="109"/>
        <v>534.50858120373721</v>
      </c>
      <c r="I132" s="85">
        <f t="shared" ca="1" si="110"/>
        <v>561.32296853111109</v>
      </c>
      <c r="J132" s="85">
        <f t="shared" ca="1" si="111"/>
        <v>523.68811236193301</v>
      </c>
      <c r="K132" s="85">
        <f t="shared" ca="1" si="112"/>
        <v>560.56927786560675</v>
      </c>
      <c r="L132" s="85">
        <f t="shared" ca="1" si="113"/>
        <v>598.74721694608024</v>
      </c>
      <c r="M132" s="85">
        <f t="shared" ca="1" si="114"/>
        <v>416.855200365808</v>
      </c>
      <c r="N132" s="85">
        <f t="shared" ca="1" si="115"/>
        <v>536.68522144352619</v>
      </c>
      <c r="O132" s="85">
        <f t="shared" ca="1" si="116"/>
        <v>517.78806401262182</v>
      </c>
      <c r="P132" s="85">
        <f t="shared" ca="1" si="117"/>
        <v>546.17474514393098</v>
      </c>
      <c r="Q132" s="85">
        <f t="shared" ca="1" si="118"/>
        <v>575.13027363700996</v>
      </c>
      <c r="R132" s="85">
        <f t="shared" ca="1" si="119"/>
        <v>493.45908594755838</v>
      </c>
      <c r="S132" s="85">
        <f t="shared" ca="1" si="120"/>
        <v>574.31841933374437</v>
      </c>
      <c r="T132" s="85">
        <f t="shared" ca="1" si="121"/>
        <v>552.38971599315994</v>
      </c>
      <c r="U132" s="85">
        <f t="shared" ca="1" si="122"/>
        <v>486.79507265922541</v>
      </c>
      <c r="V132" s="85">
        <f t="shared" ca="1" si="123"/>
        <v>563.53780941295588</v>
      </c>
      <c r="W132" s="85">
        <f t="shared" ca="1" si="124"/>
        <v>525.45828120302315</v>
      </c>
      <c r="X132" s="85">
        <f t="shared" ca="1" si="125"/>
        <v>563.59228084999643</v>
      </c>
      <c r="Y132" s="85">
        <f t="shared" ca="1" si="126"/>
        <v>485.21393624636062</v>
      </c>
      <c r="Z132" s="85">
        <f t="shared" ca="1" si="127"/>
        <v>543.57204261068193</v>
      </c>
      <c r="AA132" s="85">
        <f t="shared" ca="1" si="128"/>
        <v>507.20779103874111</v>
      </c>
      <c r="AB132" s="85">
        <f t="shared" ca="1" si="129"/>
        <v>610.75200232969337</v>
      </c>
      <c r="AC132" s="85">
        <f t="shared" ca="1" si="130"/>
        <v>561.3007439678438</v>
      </c>
      <c r="AD132" s="85">
        <f t="shared" ca="1" si="131"/>
        <v>621.41511677405515</v>
      </c>
      <c r="AE132" s="85">
        <f t="shared" ca="1" si="132"/>
        <v>746.56480362735851</v>
      </c>
      <c r="AF132" s="85">
        <f t="shared" ca="1" si="133"/>
        <v>497.87250685526823</v>
      </c>
      <c r="AG132" s="85">
        <f t="shared" ca="1" si="134"/>
        <v>567.88511328281686</v>
      </c>
      <c r="AH132" s="85">
        <f t="shared" ca="1" si="135"/>
        <v>464.31428153203302</v>
      </c>
      <c r="AI132" s="85">
        <f t="shared" ca="1" si="136"/>
        <v>596.66963427206213</v>
      </c>
      <c r="AJ132" s="85">
        <f t="shared" ca="1" si="137"/>
        <v>624.04564547441487</v>
      </c>
      <c r="AK132" s="85">
        <f t="shared" ca="1" si="138"/>
        <v>545.60433362009167</v>
      </c>
      <c r="AL132" s="85">
        <f t="shared" ca="1" si="139"/>
        <v>554.39603200295744</v>
      </c>
      <c r="AM132" s="85">
        <f t="shared" ca="1" si="140"/>
        <v>506.28679233962634</v>
      </c>
      <c r="AN132" s="85">
        <f t="shared" ca="1" si="141"/>
        <v>570.54358207182281</v>
      </c>
      <c r="AO132" s="85">
        <f t="shared" ca="1" si="142"/>
        <v>601.37643976165134</v>
      </c>
      <c r="AP132" s="85">
        <f t="shared" ca="1" si="143"/>
        <v>614.80710017986394</v>
      </c>
      <c r="AQ132" s="85">
        <f t="shared" ca="1" si="144"/>
        <v>513.56289938281077</v>
      </c>
      <c r="AR132" s="85">
        <f t="shared" ca="1" si="145"/>
        <v>534.10214242772122</v>
      </c>
      <c r="AS132" s="85">
        <f t="shared" ca="1" si="146"/>
        <v>496.38160282163227</v>
      </c>
      <c r="AT132" s="85">
        <f t="shared" ca="1" si="147"/>
        <v>578.59100698795191</v>
      </c>
      <c r="AU132" s="85">
        <f t="shared" ca="1" si="148"/>
        <v>562.54161751339473</v>
      </c>
      <c r="AV132" s="85">
        <f t="shared" ca="1" si="149"/>
        <v>534.98149313997578</v>
      </c>
      <c r="AW132" s="85">
        <f t="shared" ca="1" si="150"/>
        <v>544.38770120884817</v>
      </c>
      <c r="AX132" s="85">
        <f t="shared" ca="1" si="151"/>
        <v>628.6622407984147</v>
      </c>
      <c r="AY132" s="85">
        <f t="shared" ca="1" si="152"/>
        <v>580.09839872842781</v>
      </c>
      <c r="AZ132" s="85">
        <f t="shared" ca="1" si="153"/>
        <v>566.350522255599</v>
      </c>
      <c r="BA132" s="85">
        <f t="shared" ca="1" si="154"/>
        <v>588.18215115349255</v>
      </c>
      <c r="BB132" s="85">
        <f t="shared" ca="1" si="155"/>
        <v>519.08097143859618</v>
      </c>
      <c r="BC132" s="85">
        <f t="shared" ca="1" si="156"/>
        <v>543.27797042828706</v>
      </c>
      <c r="BD132" s="85">
        <f t="shared" ca="1" si="157"/>
        <v>566.41732167809982</v>
      </c>
      <c r="BE132" s="85">
        <f t="shared" ca="1" si="158"/>
        <v>495.29226102134186</v>
      </c>
      <c r="BF132" s="85">
        <f t="shared" ca="1" si="159"/>
        <v>544.41959207400089</v>
      </c>
      <c r="BG132" s="85">
        <f t="shared" ca="1" si="160"/>
        <v>478.15486978067514</v>
      </c>
      <c r="BH132" s="85">
        <f t="shared" ca="1" si="161"/>
        <v>568.02881298527154</v>
      </c>
      <c r="BI132" s="85">
        <f t="shared" ca="1" si="162"/>
        <v>514.84284454314945</v>
      </c>
      <c r="BJ132" s="85">
        <f t="shared" ca="1" si="163"/>
        <v>559.52399843875253</v>
      </c>
      <c r="BK132" s="85">
        <f t="shared" ca="1" si="164"/>
        <v>562.13701826138254</v>
      </c>
      <c r="BL132" s="85">
        <f t="shared" ca="1" si="165"/>
        <v>513.16772736219991</v>
      </c>
      <c r="BM132" s="85">
        <f t="shared" ca="1" si="166"/>
        <v>477.66065188977194</v>
      </c>
      <c r="BN132" s="85">
        <f t="shared" ca="1" si="103"/>
        <v>594.1214700095361</v>
      </c>
      <c r="BO132" s="85">
        <f t="shared" ca="1" si="192"/>
        <v>629.54556116810556</v>
      </c>
      <c r="BP132" s="85">
        <f t="shared" ca="1" si="193"/>
        <v>473.73976689189169</v>
      </c>
      <c r="BQ132" s="85">
        <f t="shared" ca="1" si="194"/>
        <v>532.84389039304187</v>
      </c>
      <c r="BR132" s="85">
        <f t="shared" ca="1" si="195"/>
        <v>508.41724750062269</v>
      </c>
      <c r="BS132" s="85">
        <f t="shared" ca="1" si="196"/>
        <v>565.46961291208322</v>
      </c>
      <c r="BT132" s="85">
        <f t="shared" ca="1" si="197"/>
        <v>577.20916667374286</v>
      </c>
      <c r="BU132" s="85">
        <f t="shared" ca="1" si="198"/>
        <v>571.51273885236549</v>
      </c>
      <c r="BV132" s="85">
        <f t="shared" ca="1" si="199"/>
        <v>540.59098069543643</v>
      </c>
      <c r="BW132" s="85">
        <f t="shared" ca="1" si="200"/>
        <v>572.34027842095031</v>
      </c>
      <c r="BX132" s="85">
        <f t="shared" ca="1" si="201"/>
        <v>558.62299452020125</v>
      </c>
      <c r="BY132" s="85">
        <f t="shared" ca="1" si="167"/>
        <v>533.95231913739076</v>
      </c>
      <c r="BZ132" s="85">
        <f t="shared" ca="1" si="168"/>
        <v>517.56255487532917</v>
      </c>
      <c r="CA132" s="85">
        <f t="shared" ca="1" si="169"/>
        <v>542.15084985636634</v>
      </c>
      <c r="CB132" s="85">
        <f t="shared" ca="1" si="170"/>
        <v>499.63800264946383</v>
      </c>
      <c r="CC132" s="85">
        <f t="shared" ca="1" si="171"/>
        <v>578.59343021247673</v>
      </c>
      <c r="CD132" s="85">
        <f t="shared" ca="1" si="172"/>
        <v>645.98771019536923</v>
      </c>
      <c r="CE132" s="85">
        <f t="shared" ca="1" si="173"/>
        <v>507.63479849152816</v>
      </c>
      <c r="CF132" s="85">
        <f t="shared" ca="1" si="174"/>
        <v>604.18181189816539</v>
      </c>
      <c r="CG132" s="85">
        <f t="shared" ca="1" si="175"/>
        <v>501.36028685501162</v>
      </c>
      <c r="CH132" s="85">
        <f t="shared" ca="1" si="176"/>
        <v>556.4833455020264</v>
      </c>
      <c r="CI132" s="85">
        <f t="shared" ca="1" si="177"/>
        <v>554.10742151383636</v>
      </c>
      <c r="CJ132" s="85">
        <f t="shared" ca="1" si="178"/>
        <v>508.65202944605329</v>
      </c>
      <c r="CK132" s="85">
        <f t="shared" ca="1" si="179"/>
        <v>518.22728606552857</v>
      </c>
      <c r="CL132" s="85">
        <f t="shared" ca="1" si="180"/>
        <v>516.55576274937221</v>
      </c>
      <c r="CM132" s="85">
        <f t="shared" ca="1" si="181"/>
        <v>604.16644232390217</v>
      </c>
      <c r="CN132" s="85">
        <f t="shared" ca="1" si="182"/>
        <v>495.74596645872822</v>
      </c>
      <c r="CO132" s="85">
        <f t="shared" ca="1" si="183"/>
        <v>489.72640980115324</v>
      </c>
      <c r="CP132" s="85">
        <f t="shared" ca="1" si="184"/>
        <v>632.6508581351959</v>
      </c>
      <c r="CQ132" s="85">
        <f t="shared" ca="1" si="185"/>
        <v>515.60804611204424</v>
      </c>
      <c r="CR132" s="85">
        <f t="shared" ca="1" si="186"/>
        <v>570.86614212612835</v>
      </c>
      <c r="CS132" s="85">
        <f t="shared" ca="1" si="187"/>
        <v>470.32956224100877</v>
      </c>
      <c r="CT132" s="85">
        <f t="shared" ca="1" si="188"/>
        <v>544.94686531907018</v>
      </c>
      <c r="CU132" s="85">
        <f t="shared" ca="1" si="189"/>
        <v>654.02869743476583</v>
      </c>
      <c r="CV132" s="85">
        <f t="shared" ca="1" si="190"/>
        <v>515.78806487726683</v>
      </c>
      <c r="CW132" s="85">
        <f t="shared" ca="1" si="191"/>
        <v>506.41598578140287</v>
      </c>
    </row>
    <row r="133" spans="1:101" x14ac:dyDescent="0.2">
      <c r="A133" s="115">
        <v>130</v>
      </c>
      <c r="B133" s="85">
        <f t="shared" ref="B133:B196" ca="1" si="202">B132*EXP(($C$259-0.5*$C$260^2)+$C$260*_xlfn.NORM.INV(RAND(),0,1))</f>
        <v>459.76848732755775</v>
      </c>
      <c r="C133" s="85">
        <f t="shared" ca="1" si="104"/>
        <v>554.53578840941339</v>
      </c>
      <c r="D133" s="85">
        <f t="shared" ca="1" si="105"/>
        <v>526.46296140770619</v>
      </c>
      <c r="E133" s="85">
        <f t="shared" ca="1" si="106"/>
        <v>498.47187203554762</v>
      </c>
      <c r="F133" s="85">
        <f t="shared" ca="1" si="107"/>
        <v>498.53699162635337</v>
      </c>
      <c r="G133" s="85">
        <f t="shared" ca="1" si="108"/>
        <v>554.87005958738837</v>
      </c>
      <c r="H133" s="85">
        <f t="shared" ca="1" si="109"/>
        <v>547.74761145417926</v>
      </c>
      <c r="I133" s="85">
        <f t="shared" ca="1" si="110"/>
        <v>569.35515458183477</v>
      </c>
      <c r="J133" s="85">
        <f t="shared" ca="1" si="111"/>
        <v>527.34698093018858</v>
      </c>
      <c r="K133" s="85">
        <f t="shared" ca="1" si="112"/>
        <v>567.97809570116465</v>
      </c>
      <c r="L133" s="85">
        <f t="shared" ca="1" si="113"/>
        <v>601.46579714924383</v>
      </c>
      <c r="M133" s="85">
        <f t="shared" ca="1" si="114"/>
        <v>421.47321826788448</v>
      </c>
      <c r="N133" s="85">
        <f t="shared" ca="1" si="115"/>
        <v>544.58621212139963</v>
      </c>
      <c r="O133" s="85">
        <f t="shared" ca="1" si="116"/>
        <v>528.60935210531466</v>
      </c>
      <c r="P133" s="85">
        <f t="shared" ca="1" si="117"/>
        <v>553.48525101579492</v>
      </c>
      <c r="Q133" s="85">
        <f t="shared" ca="1" si="118"/>
        <v>576.3969006417534</v>
      </c>
      <c r="R133" s="85">
        <f t="shared" ca="1" si="119"/>
        <v>495.44026285537984</v>
      </c>
      <c r="S133" s="85">
        <f t="shared" ca="1" si="120"/>
        <v>587.34873056176252</v>
      </c>
      <c r="T133" s="85">
        <f t="shared" ca="1" si="121"/>
        <v>558.57171714623917</v>
      </c>
      <c r="U133" s="85">
        <f t="shared" ca="1" si="122"/>
        <v>490.52353072173264</v>
      </c>
      <c r="V133" s="85">
        <f t="shared" ca="1" si="123"/>
        <v>571.55057646376997</v>
      </c>
      <c r="W133" s="85">
        <f t="shared" ca="1" si="124"/>
        <v>535.45737383253334</v>
      </c>
      <c r="X133" s="85">
        <f t="shared" ca="1" si="125"/>
        <v>570.00744376319426</v>
      </c>
      <c r="Y133" s="85">
        <f t="shared" ca="1" si="126"/>
        <v>491.01164668425906</v>
      </c>
      <c r="Z133" s="85">
        <f t="shared" ca="1" si="127"/>
        <v>558.60562864233111</v>
      </c>
      <c r="AA133" s="85">
        <f t="shared" ca="1" si="128"/>
        <v>507.70171435265894</v>
      </c>
      <c r="AB133" s="85">
        <f t="shared" ca="1" si="129"/>
        <v>615.33532611876763</v>
      </c>
      <c r="AC133" s="85">
        <f t="shared" ca="1" si="130"/>
        <v>565.24491516467685</v>
      </c>
      <c r="AD133" s="85">
        <f t="shared" ca="1" si="131"/>
        <v>624.4573210877378</v>
      </c>
      <c r="AE133" s="85">
        <f t="shared" ca="1" si="132"/>
        <v>750.76044760957757</v>
      </c>
      <c r="AF133" s="85">
        <f t="shared" ca="1" si="133"/>
        <v>509.66851382185683</v>
      </c>
      <c r="AG133" s="85">
        <f t="shared" ca="1" si="134"/>
        <v>579.7437804628355</v>
      </c>
      <c r="AH133" s="85">
        <f t="shared" ca="1" si="135"/>
        <v>472.54027025049004</v>
      </c>
      <c r="AI133" s="85">
        <f t="shared" ca="1" si="136"/>
        <v>600.25099726484916</v>
      </c>
      <c r="AJ133" s="85">
        <f t="shared" ca="1" si="137"/>
        <v>633.22707710664019</v>
      </c>
      <c r="AK133" s="85">
        <f t="shared" ca="1" si="138"/>
        <v>549.41508468339691</v>
      </c>
      <c r="AL133" s="85">
        <f t="shared" ca="1" si="139"/>
        <v>561.86124363659917</v>
      </c>
      <c r="AM133" s="85">
        <f t="shared" ca="1" si="140"/>
        <v>516.30397879086013</v>
      </c>
      <c r="AN133" s="85">
        <f t="shared" ca="1" si="141"/>
        <v>572.57897925280884</v>
      </c>
      <c r="AO133" s="85">
        <f t="shared" ca="1" si="142"/>
        <v>608.25762674426346</v>
      </c>
      <c r="AP133" s="85">
        <f t="shared" ca="1" si="143"/>
        <v>620.24899148159091</v>
      </c>
      <c r="AQ133" s="85">
        <f t="shared" ca="1" si="144"/>
        <v>525.73058095314138</v>
      </c>
      <c r="AR133" s="85">
        <f t="shared" ca="1" si="145"/>
        <v>545.55399841085261</v>
      </c>
      <c r="AS133" s="85">
        <f t="shared" ca="1" si="146"/>
        <v>497.68548712482738</v>
      </c>
      <c r="AT133" s="85">
        <f t="shared" ca="1" si="147"/>
        <v>581.12062077316182</v>
      </c>
      <c r="AU133" s="85">
        <f t="shared" ca="1" si="148"/>
        <v>565.63354474027994</v>
      </c>
      <c r="AV133" s="85">
        <f t="shared" ca="1" si="149"/>
        <v>548.14096816113181</v>
      </c>
      <c r="AW133" s="85">
        <f t="shared" ca="1" si="150"/>
        <v>554.55782503938383</v>
      </c>
      <c r="AX133" s="85">
        <f t="shared" ca="1" si="151"/>
        <v>641.49304967548551</v>
      </c>
      <c r="AY133" s="85">
        <f t="shared" ca="1" si="152"/>
        <v>593.52726194560819</v>
      </c>
      <c r="AZ133" s="85">
        <f t="shared" ca="1" si="153"/>
        <v>579.8722046309698</v>
      </c>
      <c r="BA133" s="85">
        <f t="shared" ca="1" si="154"/>
        <v>595.70112665563647</v>
      </c>
      <c r="BB133" s="85">
        <f t="shared" ca="1" si="155"/>
        <v>522.03235810951378</v>
      </c>
      <c r="BC133" s="85">
        <f t="shared" ca="1" si="156"/>
        <v>548.87701697597436</v>
      </c>
      <c r="BD133" s="85">
        <f t="shared" ca="1" si="157"/>
        <v>569.43406948868142</v>
      </c>
      <c r="BE133" s="85">
        <f t="shared" ca="1" si="158"/>
        <v>497.58849128031096</v>
      </c>
      <c r="BF133" s="85">
        <f t="shared" ca="1" si="159"/>
        <v>547.75916620803537</v>
      </c>
      <c r="BG133" s="85">
        <f t="shared" ca="1" si="160"/>
        <v>481.69567286038136</v>
      </c>
      <c r="BH133" s="85">
        <f t="shared" ca="1" si="161"/>
        <v>581.31113933174151</v>
      </c>
      <c r="BI133" s="85">
        <f t="shared" ca="1" si="162"/>
        <v>519.10373238574584</v>
      </c>
      <c r="BJ133" s="85">
        <f t="shared" ca="1" si="163"/>
        <v>561.33502193054051</v>
      </c>
      <c r="BK133" s="85">
        <f t="shared" ca="1" si="164"/>
        <v>563.84135654038664</v>
      </c>
      <c r="BL133" s="85">
        <f t="shared" ca="1" si="165"/>
        <v>523.77592825235035</v>
      </c>
      <c r="BM133" s="85">
        <f t="shared" ca="1" si="166"/>
        <v>479.5528595297277</v>
      </c>
      <c r="BN133" s="85">
        <f t="shared" ca="1" si="103"/>
        <v>601.66454206371429</v>
      </c>
      <c r="BO133" s="85">
        <f t="shared" ca="1" si="192"/>
        <v>626.90369515193129</v>
      </c>
      <c r="BP133" s="85">
        <f t="shared" ca="1" si="193"/>
        <v>475.28227836710596</v>
      </c>
      <c r="BQ133" s="85">
        <f t="shared" ca="1" si="194"/>
        <v>538.2218437694338</v>
      </c>
      <c r="BR133" s="85">
        <f t="shared" ca="1" si="195"/>
        <v>511.44101254388755</v>
      </c>
      <c r="BS133" s="85">
        <f t="shared" ca="1" si="196"/>
        <v>574.74116592693747</v>
      </c>
      <c r="BT133" s="85">
        <f t="shared" ca="1" si="197"/>
        <v>586.968278833657</v>
      </c>
      <c r="BU133" s="85">
        <f t="shared" ca="1" si="198"/>
        <v>583.52004818824196</v>
      </c>
      <c r="BV133" s="85">
        <f t="shared" ca="1" si="199"/>
        <v>548.58359838160675</v>
      </c>
      <c r="BW133" s="85">
        <f t="shared" ca="1" si="200"/>
        <v>580.51730280143863</v>
      </c>
      <c r="BX133" s="85">
        <f t="shared" ca="1" si="201"/>
        <v>573.37399456313892</v>
      </c>
      <c r="BY133" s="85">
        <f t="shared" ca="1" si="167"/>
        <v>547.98073322247046</v>
      </c>
      <c r="BZ133" s="85">
        <f t="shared" ca="1" si="168"/>
        <v>525.1979343929778</v>
      </c>
      <c r="CA133" s="85">
        <f t="shared" ca="1" si="169"/>
        <v>544.0350348837427</v>
      </c>
      <c r="CB133" s="85">
        <f t="shared" ca="1" si="170"/>
        <v>509.43974867881326</v>
      </c>
      <c r="CC133" s="85">
        <f t="shared" ca="1" si="171"/>
        <v>589.7501626364816</v>
      </c>
      <c r="CD133" s="85">
        <f t="shared" ca="1" si="172"/>
        <v>657.19996391727784</v>
      </c>
      <c r="CE133" s="85">
        <f t="shared" ca="1" si="173"/>
        <v>511.27076800808675</v>
      </c>
      <c r="CF133" s="85">
        <f t="shared" ca="1" si="174"/>
        <v>608.40016291258553</v>
      </c>
      <c r="CG133" s="85">
        <f t="shared" ca="1" si="175"/>
        <v>507.89285568315995</v>
      </c>
      <c r="CH133" s="85">
        <f t="shared" ca="1" si="176"/>
        <v>564.10157868771967</v>
      </c>
      <c r="CI133" s="85">
        <f t="shared" ca="1" si="177"/>
        <v>559.50320687563055</v>
      </c>
      <c r="CJ133" s="85">
        <f t="shared" ca="1" si="178"/>
        <v>510.88809255055372</v>
      </c>
      <c r="CK133" s="85">
        <f t="shared" ca="1" si="179"/>
        <v>520.15820490779709</v>
      </c>
      <c r="CL133" s="85">
        <f t="shared" ca="1" si="180"/>
        <v>525.99400803931542</v>
      </c>
      <c r="CM133" s="85">
        <f t="shared" ca="1" si="181"/>
        <v>611.55834693623262</v>
      </c>
      <c r="CN133" s="85">
        <f t="shared" ca="1" si="182"/>
        <v>497.53820311778099</v>
      </c>
      <c r="CO133" s="85">
        <f t="shared" ca="1" si="183"/>
        <v>495.16965957232941</v>
      </c>
      <c r="CP133" s="85">
        <f t="shared" ca="1" si="184"/>
        <v>637.11370870493909</v>
      </c>
      <c r="CQ133" s="85">
        <f t="shared" ca="1" si="185"/>
        <v>528.55697725945231</v>
      </c>
      <c r="CR133" s="85">
        <f t="shared" ca="1" si="186"/>
        <v>574.18053067415246</v>
      </c>
      <c r="CS133" s="85">
        <f t="shared" ca="1" si="187"/>
        <v>478.44082748468253</v>
      </c>
      <c r="CT133" s="85">
        <f t="shared" ca="1" si="188"/>
        <v>555.25904155046942</v>
      </c>
      <c r="CU133" s="85">
        <f t="shared" ca="1" si="189"/>
        <v>661.08806135987754</v>
      </c>
      <c r="CV133" s="85">
        <f t="shared" ca="1" si="190"/>
        <v>523.99702023890973</v>
      </c>
      <c r="CW133" s="85">
        <f t="shared" ca="1" si="191"/>
        <v>512.57747986743232</v>
      </c>
    </row>
    <row r="134" spans="1:101" x14ac:dyDescent="0.2">
      <c r="A134" s="115">
        <v>131</v>
      </c>
      <c r="B134" s="85">
        <f t="shared" ca="1" si="202"/>
        <v>465.79570499574231</v>
      </c>
      <c r="C134" s="85">
        <f t="shared" ca="1" si="104"/>
        <v>563.7117534612147</v>
      </c>
      <c r="D134" s="85">
        <f t="shared" ca="1" si="105"/>
        <v>533.90084459497837</v>
      </c>
      <c r="E134" s="85">
        <f t="shared" ca="1" si="106"/>
        <v>501.84413229291482</v>
      </c>
      <c r="F134" s="85">
        <f t="shared" ca="1" si="107"/>
        <v>507.21055449119666</v>
      </c>
      <c r="G134" s="85">
        <f t="shared" ca="1" si="108"/>
        <v>565.24484396688581</v>
      </c>
      <c r="H134" s="85">
        <f t="shared" ca="1" si="109"/>
        <v>549.76765154746715</v>
      </c>
      <c r="I134" s="85">
        <f t="shared" ca="1" si="110"/>
        <v>581.97129638484012</v>
      </c>
      <c r="J134" s="85">
        <f t="shared" ca="1" si="111"/>
        <v>531.20305503397105</v>
      </c>
      <c r="K134" s="85">
        <f t="shared" ca="1" si="112"/>
        <v>572.93436325036703</v>
      </c>
      <c r="L134" s="85">
        <f t="shared" ca="1" si="113"/>
        <v>613.28824013794087</v>
      </c>
      <c r="M134" s="85">
        <f t="shared" ca="1" si="114"/>
        <v>423.95419947760939</v>
      </c>
      <c r="N134" s="85">
        <f t="shared" ca="1" si="115"/>
        <v>550.24883911976167</v>
      </c>
      <c r="O134" s="85">
        <f t="shared" ca="1" si="116"/>
        <v>528.74583021801868</v>
      </c>
      <c r="P134" s="85">
        <f t="shared" ca="1" si="117"/>
        <v>553.61173511944423</v>
      </c>
      <c r="Q134" s="85">
        <f t="shared" ca="1" si="118"/>
        <v>586.04309144253125</v>
      </c>
      <c r="R134" s="85">
        <f t="shared" ca="1" si="119"/>
        <v>494.16555791447576</v>
      </c>
      <c r="S134" s="85">
        <f t="shared" ca="1" si="120"/>
        <v>600.93021638703158</v>
      </c>
      <c r="T134" s="85">
        <f t="shared" ca="1" si="121"/>
        <v>563.32271130603567</v>
      </c>
      <c r="U134" s="85">
        <f t="shared" ca="1" si="122"/>
        <v>505.52109971188457</v>
      </c>
      <c r="V134" s="85">
        <f t="shared" ca="1" si="123"/>
        <v>587.87892082856388</v>
      </c>
      <c r="W134" s="85">
        <f t="shared" ca="1" si="124"/>
        <v>541.24819943574209</v>
      </c>
      <c r="X134" s="85">
        <f t="shared" ca="1" si="125"/>
        <v>574.70078548905553</v>
      </c>
      <c r="Y134" s="85">
        <f t="shared" ca="1" si="126"/>
        <v>499.61817632463055</v>
      </c>
      <c r="Z134" s="85">
        <f t="shared" ca="1" si="127"/>
        <v>563.47526881148019</v>
      </c>
      <c r="AA134" s="85">
        <f t="shared" ca="1" si="128"/>
        <v>507.37631759524822</v>
      </c>
      <c r="AB134" s="85">
        <f t="shared" ca="1" si="129"/>
        <v>626.022287636545</v>
      </c>
      <c r="AC134" s="85">
        <f t="shared" ca="1" si="130"/>
        <v>579.7793735906132</v>
      </c>
      <c r="AD134" s="85">
        <f t="shared" ca="1" si="131"/>
        <v>631.31985461228851</v>
      </c>
      <c r="AE134" s="85">
        <f t="shared" ca="1" si="132"/>
        <v>762.35805457784966</v>
      </c>
      <c r="AF134" s="85">
        <f t="shared" ca="1" si="133"/>
        <v>513.38939777169435</v>
      </c>
      <c r="AG134" s="85">
        <f t="shared" ca="1" si="134"/>
        <v>588.43771591255131</v>
      </c>
      <c r="AH134" s="85">
        <f t="shared" ca="1" si="135"/>
        <v>478.60423099327113</v>
      </c>
      <c r="AI134" s="85">
        <f t="shared" ca="1" si="136"/>
        <v>601.19123570582485</v>
      </c>
      <c r="AJ134" s="85">
        <f t="shared" ca="1" si="137"/>
        <v>640.24458453195655</v>
      </c>
      <c r="AK134" s="85">
        <f t="shared" ca="1" si="138"/>
        <v>550.34713633895672</v>
      </c>
      <c r="AL134" s="85">
        <f t="shared" ca="1" si="139"/>
        <v>567.35589106804298</v>
      </c>
      <c r="AM134" s="85">
        <f t="shared" ca="1" si="140"/>
        <v>523.13225507581171</v>
      </c>
      <c r="AN134" s="85">
        <f t="shared" ca="1" si="141"/>
        <v>574.00034600782999</v>
      </c>
      <c r="AO134" s="85">
        <f t="shared" ca="1" si="142"/>
        <v>617.02988301158393</v>
      </c>
      <c r="AP134" s="85">
        <f t="shared" ca="1" si="143"/>
        <v>617.63126639979532</v>
      </c>
      <c r="AQ134" s="85">
        <f t="shared" ca="1" si="144"/>
        <v>533.22449525020033</v>
      </c>
      <c r="AR134" s="85">
        <f t="shared" ca="1" si="145"/>
        <v>552.87764410530224</v>
      </c>
      <c r="AS134" s="85">
        <f t="shared" ca="1" si="146"/>
        <v>502.67317607044203</v>
      </c>
      <c r="AT134" s="85">
        <f t="shared" ca="1" si="147"/>
        <v>580.98455505251752</v>
      </c>
      <c r="AU134" s="85">
        <f t="shared" ca="1" si="148"/>
        <v>578.62076485632838</v>
      </c>
      <c r="AV134" s="85">
        <f t="shared" ca="1" si="149"/>
        <v>553.29445906115586</v>
      </c>
      <c r="AW134" s="85">
        <f t="shared" ca="1" si="150"/>
        <v>560.33016006264836</v>
      </c>
      <c r="AX134" s="85">
        <f t="shared" ca="1" si="151"/>
        <v>650.83653177033898</v>
      </c>
      <c r="AY134" s="85">
        <f t="shared" ca="1" si="152"/>
        <v>601.02651742664636</v>
      </c>
      <c r="AZ134" s="85">
        <f t="shared" ca="1" si="153"/>
        <v>585.43894954664324</v>
      </c>
      <c r="BA134" s="85">
        <f t="shared" ca="1" si="154"/>
        <v>604.26696175231632</v>
      </c>
      <c r="BB134" s="85">
        <f t="shared" ca="1" si="155"/>
        <v>528.21761061913821</v>
      </c>
      <c r="BC134" s="85">
        <f t="shared" ca="1" si="156"/>
        <v>558.67274872264989</v>
      </c>
      <c r="BD134" s="85">
        <f t="shared" ca="1" si="157"/>
        <v>577.27848217247185</v>
      </c>
      <c r="BE134" s="85">
        <f t="shared" ca="1" si="158"/>
        <v>501.7150453466254</v>
      </c>
      <c r="BF134" s="85">
        <f t="shared" ca="1" si="159"/>
        <v>561.59844158604426</v>
      </c>
      <c r="BG134" s="85">
        <f t="shared" ca="1" si="160"/>
        <v>490.43235695936727</v>
      </c>
      <c r="BH134" s="85">
        <f t="shared" ca="1" si="161"/>
        <v>586.19545835202234</v>
      </c>
      <c r="BI134" s="85">
        <f t="shared" ca="1" si="162"/>
        <v>527.16516279174789</v>
      </c>
      <c r="BJ134" s="85">
        <f t="shared" ca="1" si="163"/>
        <v>575.22863020651801</v>
      </c>
      <c r="BK134" s="85">
        <f t="shared" ca="1" si="164"/>
        <v>575.37877862634741</v>
      </c>
      <c r="BL134" s="85">
        <f t="shared" ca="1" si="165"/>
        <v>528.90714527967725</v>
      </c>
      <c r="BM134" s="85">
        <f t="shared" ca="1" si="166"/>
        <v>485.72414025729967</v>
      </c>
      <c r="BN134" s="85">
        <f t="shared" ca="1" si="103"/>
        <v>616.96523724645863</v>
      </c>
      <c r="BO134" s="85">
        <f t="shared" ca="1" si="192"/>
        <v>635.74698609369887</v>
      </c>
      <c r="BP134" s="85">
        <f t="shared" ca="1" si="193"/>
        <v>482.05171101262584</v>
      </c>
      <c r="BQ134" s="85">
        <f t="shared" ca="1" si="194"/>
        <v>548.7485408248798</v>
      </c>
      <c r="BR134" s="85">
        <f t="shared" ca="1" si="195"/>
        <v>516.14918468713586</v>
      </c>
      <c r="BS134" s="85">
        <f t="shared" ca="1" si="196"/>
        <v>590.49116548997972</v>
      </c>
      <c r="BT134" s="85">
        <f t="shared" ca="1" si="197"/>
        <v>592.02878021302627</v>
      </c>
      <c r="BU134" s="85">
        <f t="shared" ca="1" si="198"/>
        <v>593.54868557592977</v>
      </c>
      <c r="BV134" s="85">
        <f t="shared" ca="1" si="199"/>
        <v>551.13500150639845</v>
      </c>
      <c r="BW134" s="85">
        <f t="shared" ca="1" si="200"/>
        <v>593.08679790834276</v>
      </c>
      <c r="BX134" s="85">
        <f t="shared" ca="1" si="201"/>
        <v>581.67817121016299</v>
      </c>
      <c r="BY134" s="85">
        <f t="shared" ca="1" si="167"/>
        <v>551.83124477073</v>
      </c>
      <c r="BZ134" s="85">
        <f t="shared" ca="1" si="168"/>
        <v>534.13438413475876</v>
      </c>
      <c r="CA134" s="85">
        <f t="shared" ca="1" si="169"/>
        <v>547.10259501784685</v>
      </c>
      <c r="CB134" s="85">
        <f t="shared" ca="1" si="170"/>
        <v>512.11664856309721</v>
      </c>
      <c r="CC134" s="85">
        <f t="shared" ca="1" si="171"/>
        <v>601.54532542146137</v>
      </c>
      <c r="CD134" s="85">
        <f t="shared" ca="1" si="172"/>
        <v>665.91662796806565</v>
      </c>
      <c r="CE134" s="85">
        <f t="shared" ca="1" si="173"/>
        <v>520.2305978150863</v>
      </c>
      <c r="CF134" s="85">
        <f t="shared" ca="1" si="174"/>
        <v>613.49942496941037</v>
      </c>
      <c r="CG134" s="85">
        <f t="shared" ca="1" si="175"/>
        <v>512.67201236492133</v>
      </c>
      <c r="CH134" s="85">
        <f t="shared" ca="1" si="176"/>
        <v>564.15796722763582</v>
      </c>
      <c r="CI134" s="85">
        <f t="shared" ca="1" si="177"/>
        <v>569.42761565763533</v>
      </c>
      <c r="CJ134" s="85">
        <f t="shared" ca="1" si="178"/>
        <v>519.07232500195198</v>
      </c>
      <c r="CK134" s="85">
        <f t="shared" ca="1" si="179"/>
        <v>532.47443502572389</v>
      </c>
      <c r="CL134" s="85">
        <f t="shared" ca="1" si="180"/>
        <v>531.53994661688682</v>
      </c>
      <c r="CM134" s="85">
        <f t="shared" ca="1" si="181"/>
        <v>620.74778310207614</v>
      </c>
      <c r="CN134" s="85">
        <f t="shared" ca="1" si="182"/>
        <v>504.36198085890226</v>
      </c>
      <c r="CO134" s="85">
        <f t="shared" ca="1" si="183"/>
        <v>501.38564710220152</v>
      </c>
      <c r="CP134" s="85">
        <f t="shared" ca="1" si="184"/>
        <v>649.4275546860722</v>
      </c>
      <c r="CQ134" s="85">
        <f t="shared" ca="1" si="185"/>
        <v>531.84705983039305</v>
      </c>
      <c r="CR134" s="85">
        <f t="shared" ca="1" si="186"/>
        <v>579.31622757804598</v>
      </c>
      <c r="CS134" s="85">
        <f t="shared" ca="1" si="187"/>
        <v>485.43240698096042</v>
      </c>
      <c r="CT134" s="85">
        <f t="shared" ca="1" si="188"/>
        <v>559.08230101908669</v>
      </c>
      <c r="CU134" s="85">
        <f t="shared" ca="1" si="189"/>
        <v>666.35557722325689</v>
      </c>
      <c r="CV134" s="85">
        <f t="shared" ca="1" si="190"/>
        <v>527.44207309609465</v>
      </c>
      <c r="CW134" s="85">
        <f t="shared" ca="1" si="191"/>
        <v>511.6359446369284</v>
      </c>
    </row>
    <row r="135" spans="1:101" x14ac:dyDescent="0.2">
      <c r="A135" s="115">
        <v>132</v>
      </c>
      <c r="B135" s="85">
        <f t="shared" ca="1" si="202"/>
        <v>473.89784762903895</v>
      </c>
      <c r="C135" s="85">
        <f t="shared" ca="1" si="104"/>
        <v>569.20176975691777</v>
      </c>
      <c r="D135" s="85">
        <f t="shared" ca="1" si="105"/>
        <v>542.02732364583073</v>
      </c>
      <c r="E135" s="85">
        <f t="shared" ca="1" si="106"/>
        <v>510.76301809725157</v>
      </c>
      <c r="F135" s="85">
        <f t="shared" ca="1" si="107"/>
        <v>510.86942177962754</v>
      </c>
      <c r="G135" s="85">
        <f t="shared" ca="1" si="108"/>
        <v>574.89830719136773</v>
      </c>
      <c r="H135" s="85">
        <f t="shared" ca="1" si="109"/>
        <v>562.05157413391896</v>
      </c>
      <c r="I135" s="85">
        <f t="shared" ca="1" si="110"/>
        <v>591.94354504225964</v>
      </c>
      <c r="J135" s="85">
        <f t="shared" ca="1" si="111"/>
        <v>538.23951433541333</v>
      </c>
      <c r="K135" s="85">
        <f t="shared" ca="1" si="112"/>
        <v>586.59810140923105</v>
      </c>
      <c r="L135" s="85">
        <f t="shared" ca="1" si="113"/>
        <v>616.25990627749616</v>
      </c>
      <c r="M135" s="85">
        <f t="shared" ca="1" si="114"/>
        <v>433.06105580273822</v>
      </c>
      <c r="N135" s="85">
        <f t="shared" ca="1" si="115"/>
        <v>556.81183249731691</v>
      </c>
      <c r="O135" s="85">
        <f t="shared" ca="1" si="116"/>
        <v>533.51404057332593</v>
      </c>
      <c r="P135" s="85">
        <f t="shared" ca="1" si="117"/>
        <v>564.90809670168062</v>
      </c>
      <c r="Q135" s="85">
        <f t="shared" ca="1" si="118"/>
        <v>582.61062032608595</v>
      </c>
      <c r="R135" s="85">
        <f t="shared" ca="1" si="119"/>
        <v>508.42187812669408</v>
      </c>
      <c r="S135" s="85">
        <f t="shared" ca="1" si="120"/>
        <v>614.86125182106616</v>
      </c>
      <c r="T135" s="85">
        <f t="shared" ca="1" si="121"/>
        <v>572.14785058992175</v>
      </c>
      <c r="U135" s="85">
        <f t="shared" ca="1" si="122"/>
        <v>508.29674262382099</v>
      </c>
      <c r="V135" s="85">
        <f t="shared" ca="1" si="123"/>
        <v>588.87366125804499</v>
      </c>
      <c r="W135" s="85">
        <f t="shared" ca="1" si="124"/>
        <v>552.32161104914849</v>
      </c>
      <c r="X135" s="85">
        <f t="shared" ca="1" si="125"/>
        <v>580.13411877473243</v>
      </c>
      <c r="Y135" s="85">
        <f t="shared" ca="1" si="126"/>
        <v>501.63207162534843</v>
      </c>
      <c r="Z135" s="85">
        <f t="shared" ca="1" si="127"/>
        <v>571.76499434768061</v>
      </c>
      <c r="AA135" s="85">
        <f t="shared" ca="1" si="128"/>
        <v>518.18955108250987</v>
      </c>
      <c r="AB135" s="85">
        <f t="shared" ca="1" si="129"/>
        <v>634.05429965279711</v>
      </c>
      <c r="AC135" s="85">
        <f t="shared" ca="1" si="130"/>
        <v>589.15833745370799</v>
      </c>
      <c r="AD135" s="85">
        <f t="shared" ca="1" si="131"/>
        <v>640.12310135796133</v>
      </c>
      <c r="AE135" s="85">
        <f t="shared" ca="1" si="132"/>
        <v>770.22515696879714</v>
      </c>
      <c r="AF135" s="85">
        <f t="shared" ca="1" si="133"/>
        <v>525.54375571192702</v>
      </c>
      <c r="AG135" s="85">
        <f t="shared" ca="1" si="134"/>
        <v>600.51754406697114</v>
      </c>
      <c r="AH135" s="85">
        <f t="shared" ca="1" si="135"/>
        <v>491.39838216493399</v>
      </c>
      <c r="AI135" s="85">
        <f t="shared" ca="1" si="136"/>
        <v>606.90104103029864</v>
      </c>
      <c r="AJ135" s="85">
        <f t="shared" ca="1" si="137"/>
        <v>646.24357643151723</v>
      </c>
      <c r="AK135" s="85">
        <f t="shared" ca="1" si="138"/>
        <v>558.36061181001446</v>
      </c>
      <c r="AL135" s="85">
        <f t="shared" ca="1" si="139"/>
        <v>569.40141521071291</v>
      </c>
      <c r="AM135" s="85">
        <f t="shared" ca="1" si="140"/>
        <v>537.9811301422933</v>
      </c>
      <c r="AN135" s="85">
        <f t="shared" ca="1" si="141"/>
        <v>580.73062268124488</v>
      </c>
      <c r="AO135" s="85">
        <f t="shared" ca="1" si="142"/>
        <v>627.44174699754569</v>
      </c>
      <c r="AP135" s="85">
        <f t="shared" ca="1" si="143"/>
        <v>621.74424562761453</v>
      </c>
      <c r="AQ135" s="85">
        <f t="shared" ca="1" si="144"/>
        <v>539.31880297262171</v>
      </c>
      <c r="AR135" s="85">
        <f t="shared" ca="1" si="145"/>
        <v>568.42952510204157</v>
      </c>
      <c r="AS135" s="85">
        <f t="shared" ca="1" si="146"/>
        <v>513.48825651665652</v>
      </c>
      <c r="AT135" s="85">
        <f t="shared" ca="1" si="147"/>
        <v>587.11828678434313</v>
      </c>
      <c r="AU135" s="85">
        <f t="shared" ca="1" si="148"/>
        <v>586.54155190154188</v>
      </c>
      <c r="AV135" s="85">
        <f t="shared" ca="1" si="149"/>
        <v>563.60221104750963</v>
      </c>
      <c r="AW135" s="85">
        <f t="shared" ca="1" si="150"/>
        <v>569.8844592334616</v>
      </c>
      <c r="AX135" s="85">
        <f t="shared" ca="1" si="151"/>
        <v>658.74217374503087</v>
      </c>
      <c r="AY135" s="85">
        <f t="shared" ca="1" si="152"/>
        <v>606.58211158412746</v>
      </c>
      <c r="AZ135" s="85">
        <f t="shared" ca="1" si="153"/>
        <v>597.20155507945867</v>
      </c>
      <c r="BA135" s="85">
        <f t="shared" ca="1" si="154"/>
        <v>613.05452259855406</v>
      </c>
      <c r="BB135" s="85">
        <f t="shared" ca="1" si="155"/>
        <v>535.44528630236846</v>
      </c>
      <c r="BC135" s="85">
        <f t="shared" ca="1" si="156"/>
        <v>570.87285262225134</v>
      </c>
      <c r="BD135" s="85">
        <f t="shared" ca="1" si="157"/>
        <v>574.17297500596396</v>
      </c>
      <c r="BE135" s="85">
        <f t="shared" ca="1" si="158"/>
        <v>512.61665952582359</v>
      </c>
      <c r="BF135" s="85">
        <f t="shared" ca="1" si="159"/>
        <v>574.52306876865543</v>
      </c>
      <c r="BG135" s="85">
        <f t="shared" ca="1" si="160"/>
        <v>501.81498014704346</v>
      </c>
      <c r="BH135" s="85">
        <f t="shared" ca="1" si="161"/>
        <v>600.15192519363768</v>
      </c>
      <c r="BI135" s="85">
        <f t="shared" ca="1" si="162"/>
        <v>535.34561588771714</v>
      </c>
      <c r="BJ135" s="85">
        <f t="shared" ca="1" si="163"/>
        <v>584.79288201886834</v>
      </c>
      <c r="BK135" s="85">
        <f t="shared" ca="1" si="164"/>
        <v>581.52452889178005</v>
      </c>
      <c r="BL135" s="85">
        <f t="shared" ca="1" si="165"/>
        <v>535.40805534719561</v>
      </c>
      <c r="BM135" s="85">
        <f t="shared" ca="1" si="166"/>
        <v>490.94658088451371</v>
      </c>
      <c r="BN135" s="85">
        <f t="shared" ref="BN135:BN198" ca="1" si="203">BN134*EXP(($C$259-0.5*$C$260^2)+$C$260*_xlfn.NORM.INV(RAND(),0,1))</f>
        <v>632.71606046351474</v>
      </c>
      <c r="BO135" s="85">
        <f t="shared" ca="1" si="192"/>
        <v>651.64652488669026</v>
      </c>
      <c r="BP135" s="85">
        <f t="shared" ca="1" si="193"/>
        <v>484.09179601115858</v>
      </c>
      <c r="BQ135" s="85">
        <f t="shared" ca="1" si="194"/>
        <v>559.76048175150504</v>
      </c>
      <c r="BR135" s="85">
        <f t="shared" ca="1" si="195"/>
        <v>526.95299437898416</v>
      </c>
      <c r="BS135" s="85">
        <f t="shared" ca="1" si="196"/>
        <v>594.93464773057406</v>
      </c>
      <c r="BT135" s="85">
        <f t="shared" ca="1" si="197"/>
        <v>599.15612242182249</v>
      </c>
      <c r="BU135" s="85">
        <f t="shared" ca="1" si="198"/>
        <v>600.47880260034287</v>
      </c>
      <c r="BV135" s="85">
        <f t="shared" ca="1" si="199"/>
        <v>562.76709029190977</v>
      </c>
      <c r="BW135" s="85">
        <f t="shared" ca="1" si="200"/>
        <v>602.26855474826027</v>
      </c>
      <c r="BX135" s="85">
        <f t="shared" ca="1" si="201"/>
        <v>586.96915946606418</v>
      </c>
      <c r="BY135" s="85">
        <f t="shared" ca="1" si="167"/>
        <v>562.53390051729195</v>
      </c>
      <c r="BZ135" s="85">
        <f t="shared" ca="1" si="168"/>
        <v>540.914353321965</v>
      </c>
      <c r="CA135" s="85">
        <f t="shared" ca="1" si="169"/>
        <v>544.82885271329337</v>
      </c>
      <c r="CB135" s="85">
        <f t="shared" ca="1" si="170"/>
        <v>521.33912185222982</v>
      </c>
      <c r="CC135" s="85">
        <f t="shared" ca="1" si="171"/>
        <v>611.79484633694244</v>
      </c>
      <c r="CD135" s="85">
        <f t="shared" ca="1" si="172"/>
        <v>676.2963331002901</v>
      </c>
      <c r="CE135" s="85">
        <f t="shared" ca="1" si="173"/>
        <v>529.16536610833964</v>
      </c>
      <c r="CF135" s="85">
        <f t="shared" ca="1" si="174"/>
        <v>620.35941560767185</v>
      </c>
      <c r="CG135" s="85">
        <f t="shared" ca="1" si="175"/>
        <v>517.61875626666142</v>
      </c>
      <c r="CH135" s="85">
        <f t="shared" ca="1" si="176"/>
        <v>579.0399001929909</v>
      </c>
      <c r="CI135" s="85">
        <f t="shared" ca="1" si="177"/>
        <v>576.34241077581817</v>
      </c>
      <c r="CJ135" s="85">
        <f t="shared" ca="1" si="178"/>
        <v>523.80211896459525</v>
      </c>
      <c r="CK135" s="85">
        <f t="shared" ca="1" si="179"/>
        <v>543.76256200941884</v>
      </c>
      <c r="CL135" s="85">
        <f t="shared" ca="1" si="180"/>
        <v>534.24473229213311</v>
      </c>
      <c r="CM135" s="85">
        <f t="shared" ca="1" si="181"/>
        <v>626.49441548503705</v>
      </c>
      <c r="CN135" s="85">
        <f t="shared" ca="1" si="182"/>
        <v>509.98908742099536</v>
      </c>
      <c r="CO135" s="85">
        <f t="shared" ca="1" si="183"/>
        <v>510.74294082922665</v>
      </c>
      <c r="CP135" s="85">
        <f t="shared" ca="1" si="184"/>
        <v>653.24180266598034</v>
      </c>
      <c r="CQ135" s="85">
        <f t="shared" ca="1" si="185"/>
        <v>537.8393787795618</v>
      </c>
      <c r="CR135" s="85">
        <f t="shared" ca="1" si="186"/>
        <v>582.10992718900434</v>
      </c>
      <c r="CS135" s="85">
        <f t="shared" ca="1" si="187"/>
        <v>487.88398834426727</v>
      </c>
      <c r="CT135" s="85">
        <f t="shared" ca="1" si="188"/>
        <v>567.16728962392779</v>
      </c>
      <c r="CU135" s="85">
        <f t="shared" ca="1" si="189"/>
        <v>678.20579206167474</v>
      </c>
      <c r="CV135" s="85">
        <f t="shared" ca="1" si="190"/>
        <v>536.06663675911886</v>
      </c>
      <c r="CW135" s="85">
        <f t="shared" ca="1" si="191"/>
        <v>517.65438462009138</v>
      </c>
    </row>
    <row r="136" spans="1:101" x14ac:dyDescent="0.2">
      <c r="A136" s="115">
        <v>133</v>
      </c>
      <c r="B136" s="85">
        <f t="shared" ca="1" si="202"/>
        <v>480.66461305510893</v>
      </c>
      <c r="C136" s="85">
        <f t="shared" ref="C136:C199" ca="1" si="204">C135*EXP(($C$259-0.5*$C$260^2)+$C$260*_xlfn.NORM.INV(RAND(),0,1))</f>
        <v>574.14041267681648</v>
      </c>
      <c r="D136" s="85">
        <f t="shared" ref="D136:D199" ca="1" si="205">D135*EXP(($C$259-0.5*$C$260^2)+$C$260*_xlfn.NORM.INV(RAND(),0,1))</f>
        <v>546.69142888248712</v>
      </c>
      <c r="E136" s="85">
        <f t="shared" ref="E136:E199" ca="1" si="206">E135*EXP(($C$259-0.5*$C$260^2)+$C$260*_xlfn.NORM.INV(RAND(),0,1))</f>
        <v>512.97009360714196</v>
      </c>
      <c r="F136" s="85">
        <f t="shared" ref="F136:F199" ca="1" si="207">F135*EXP(($C$259-0.5*$C$260^2)+$C$260*_xlfn.NORM.INV(RAND(),0,1))</f>
        <v>523.67437743042365</v>
      </c>
      <c r="G136" s="85">
        <f t="shared" ref="G136:G199" ca="1" si="208">G135*EXP(($C$259-0.5*$C$260^2)+$C$260*_xlfn.NORM.INV(RAND(),0,1))</f>
        <v>586.00221897375548</v>
      </c>
      <c r="H136" s="85">
        <f t="shared" ref="H136:H199" ca="1" si="209">H135*EXP(($C$259-0.5*$C$260^2)+$C$260*_xlfn.NORM.INV(RAND(),0,1))</f>
        <v>561.46747542848379</v>
      </c>
      <c r="I136" s="85">
        <f t="shared" ref="I136:I199" ca="1" si="210">I135*EXP(($C$259-0.5*$C$260^2)+$C$260*_xlfn.NORM.INV(RAND(),0,1))</f>
        <v>599.03706412109898</v>
      </c>
      <c r="J136" s="85">
        <f t="shared" ref="J136:J199" ca="1" si="211">J135*EXP(($C$259-0.5*$C$260^2)+$C$260*_xlfn.NORM.INV(RAND(),0,1))</f>
        <v>541.75404135991892</v>
      </c>
      <c r="K136" s="85">
        <f t="shared" ref="K136:K199" ca="1" si="212">K135*EXP(($C$259-0.5*$C$260^2)+$C$260*_xlfn.NORM.INV(RAND(),0,1))</f>
        <v>586.69849829990483</v>
      </c>
      <c r="L136" s="85">
        <f t="shared" ref="L136:L199" ca="1" si="213">L135*EXP(($C$259-0.5*$C$260^2)+$C$260*_xlfn.NORM.INV(RAND(),0,1))</f>
        <v>620.55357345963398</v>
      </c>
      <c r="M136" s="85">
        <f t="shared" ref="M136:M199" ca="1" si="214">M135*EXP(($C$259-0.5*$C$260^2)+$C$260*_xlfn.NORM.INV(RAND(),0,1))</f>
        <v>448.13520913483666</v>
      </c>
      <c r="N136" s="85">
        <f t="shared" ref="N136:N199" ca="1" si="215">N135*EXP(($C$259-0.5*$C$260^2)+$C$260*_xlfn.NORM.INV(RAND(),0,1))</f>
        <v>559.08767276703998</v>
      </c>
      <c r="O136" s="85">
        <f t="shared" ref="O136:O199" ca="1" si="216">O135*EXP(($C$259-0.5*$C$260^2)+$C$260*_xlfn.NORM.INV(RAND(),0,1))</f>
        <v>546.63523329360714</v>
      </c>
      <c r="P136" s="85">
        <f t="shared" ref="P136:P199" ca="1" si="217">P135*EXP(($C$259-0.5*$C$260^2)+$C$260*_xlfn.NORM.INV(RAND(),0,1))</f>
        <v>566.3815106894375</v>
      </c>
      <c r="Q136" s="85">
        <f t="shared" ref="Q136:Q199" ca="1" si="218">Q135*EXP(($C$259-0.5*$C$260^2)+$C$260*_xlfn.NORM.INV(RAND(),0,1))</f>
        <v>596.46064335642609</v>
      </c>
      <c r="R136" s="85">
        <f t="shared" ref="R136:R199" ca="1" si="219">R135*EXP(($C$259-0.5*$C$260^2)+$C$260*_xlfn.NORM.INV(RAND(),0,1))</f>
        <v>518.4133155367723</v>
      </c>
      <c r="S136" s="85">
        <f t="shared" ref="S136:S199" ca="1" si="220">S135*EXP(($C$259-0.5*$C$260^2)+$C$260*_xlfn.NORM.INV(RAND(),0,1))</f>
        <v>625.49090053044119</v>
      </c>
      <c r="T136" s="85">
        <f t="shared" ref="T136:T199" ca="1" si="221">T135*EXP(($C$259-0.5*$C$260^2)+$C$260*_xlfn.NORM.INV(RAND(),0,1))</f>
        <v>575.75571505395044</v>
      </c>
      <c r="U136" s="85">
        <f t="shared" ref="U136:U199" ca="1" si="222">U135*EXP(($C$259-0.5*$C$260^2)+$C$260*_xlfn.NORM.INV(RAND(),0,1))</f>
        <v>513.118786486369</v>
      </c>
      <c r="V136" s="85">
        <f t="shared" ref="V136:V199" ca="1" si="223">V135*EXP(($C$259-0.5*$C$260^2)+$C$260*_xlfn.NORM.INV(RAND(),0,1))</f>
        <v>599.42366738995258</v>
      </c>
      <c r="W136" s="85">
        <f t="shared" ref="W136:W199" ca="1" si="224">W135*EXP(($C$259-0.5*$C$260^2)+$C$260*_xlfn.NORM.INV(RAND(),0,1))</f>
        <v>561.7017753794662</v>
      </c>
      <c r="X136" s="85">
        <f t="shared" ref="X136:X199" ca="1" si="225">X135*EXP(($C$259-0.5*$C$260^2)+$C$260*_xlfn.NORM.INV(RAND(),0,1))</f>
        <v>588.57934549948197</v>
      </c>
      <c r="Y136" s="85">
        <f t="shared" ref="Y136:Y199" ca="1" si="226">Y135*EXP(($C$259-0.5*$C$260^2)+$C$260*_xlfn.NORM.INV(RAND(),0,1))</f>
        <v>500.95609778140113</v>
      </c>
      <c r="Z136" s="85">
        <f t="shared" ref="Z136:Z199" ca="1" si="227">Z135*EXP(($C$259-0.5*$C$260^2)+$C$260*_xlfn.NORM.INV(RAND(),0,1))</f>
        <v>579.55960075493397</v>
      </c>
      <c r="AA136" s="85">
        <f t="shared" ref="AA136:AA199" ca="1" si="228">AA135*EXP(($C$259-0.5*$C$260^2)+$C$260*_xlfn.NORM.INV(RAND(),0,1))</f>
        <v>530.40506004785573</v>
      </c>
      <c r="AB136" s="85">
        <f t="shared" ref="AB136:AB199" ca="1" si="229">AB135*EXP(($C$259-0.5*$C$260^2)+$C$260*_xlfn.NORM.INV(RAND(),0,1))</f>
        <v>638.91102703819297</v>
      </c>
      <c r="AC136" s="85">
        <f t="shared" ref="AC136:AC199" ca="1" si="230">AC135*EXP(($C$259-0.5*$C$260^2)+$C$260*_xlfn.NORM.INV(RAND(),0,1))</f>
        <v>603.02451976588929</v>
      </c>
      <c r="AD136" s="85">
        <f t="shared" ref="AD136:AD199" ca="1" si="231">AD135*EXP(($C$259-0.5*$C$260^2)+$C$260*_xlfn.NORM.INV(RAND(),0,1))</f>
        <v>639.75248774127522</v>
      </c>
      <c r="AE136" s="85">
        <f t="shared" ref="AE136:AE199" ca="1" si="232">AE135*EXP(($C$259-0.5*$C$260^2)+$C$260*_xlfn.NORM.INV(RAND(),0,1))</f>
        <v>786.33497900382167</v>
      </c>
      <c r="AF136" s="85">
        <f t="shared" ref="AF136:AF199" ca="1" si="233">AF135*EXP(($C$259-0.5*$C$260^2)+$C$260*_xlfn.NORM.INV(RAND(),0,1))</f>
        <v>535.06766770735589</v>
      </c>
      <c r="AG136" s="85">
        <f t="shared" ref="AG136:AG199" ca="1" si="234">AG135*EXP(($C$259-0.5*$C$260^2)+$C$260*_xlfn.NORM.INV(RAND(),0,1))</f>
        <v>610.84922027573941</v>
      </c>
      <c r="AH136" s="85">
        <f t="shared" ref="AH136:AH199" ca="1" si="235">AH135*EXP(($C$259-0.5*$C$260^2)+$C$260*_xlfn.NORM.INV(RAND(),0,1))</f>
        <v>492.87279085619167</v>
      </c>
      <c r="AI136" s="85">
        <f t="shared" ref="AI136:AI199" ca="1" si="236">AI135*EXP(($C$259-0.5*$C$260^2)+$C$260*_xlfn.NORM.INV(RAND(),0,1))</f>
        <v>617.49035103080382</v>
      </c>
      <c r="AJ136" s="85">
        <f t="shared" ref="AJ136:AJ199" ca="1" si="237">AJ135*EXP(($C$259-0.5*$C$260^2)+$C$260*_xlfn.NORM.INV(RAND(),0,1))</f>
        <v>651.43591266757755</v>
      </c>
      <c r="AK136" s="85">
        <f t="shared" ref="AK136:AK199" ca="1" si="238">AK135*EXP(($C$259-0.5*$C$260^2)+$C$260*_xlfn.NORM.INV(RAND(),0,1))</f>
        <v>566.5807152492373</v>
      </c>
      <c r="AL136" s="85">
        <f t="shared" ref="AL136:AL199" ca="1" si="239">AL135*EXP(($C$259-0.5*$C$260^2)+$C$260*_xlfn.NORM.INV(RAND(),0,1))</f>
        <v>580.72807971319662</v>
      </c>
      <c r="AM136" s="85">
        <f t="shared" ref="AM136:AM199" ca="1" si="240">AM135*EXP(($C$259-0.5*$C$260^2)+$C$260*_xlfn.NORM.INV(RAND(),0,1))</f>
        <v>547.25403210120965</v>
      </c>
      <c r="AN136" s="85">
        <f t="shared" ref="AN136:AN199" ca="1" si="241">AN135*EXP(($C$259-0.5*$C$260^2)+$C$260*_xlfn.NORM.INV(RAND(),0,1))</f>
        <v>588.70654828276486</v>
      </c>
      <c r="AO136" s="85">
        <f t="shared" ref="AO136:AO199" ca="1" si="242">AO135*EXP(($C$259-0.5*$C$260^2)+$C$260*_xlfn.NORM.INV(RAND(),0,1))</f>
        <v>638.74706894197902</v>
      </c>
      <c r="AP136" s="85">
        <f t="shared" ref="AP136:AP199" ca="1" si="243">AP135*EXP(($C$259-0.5*$C$260^2)+$C$260*_xlfn.NORM.INV(RAND(),0,1))</f>
        <v>627.87324110974521</v>
      </c>
      <c r="AQ136" s="85">
        <f t="shared" ref="AQ136:AQ199" ca="1" si="244">AQ135*EXP(($C$259-0.5*$C$260^2)+$C$260*_xlfn.NORM.INV(RAND(),0,1))</f>
        <v>542.43569990617993</v>
      </c>
      <c r="AR136" s="85">
        <f t="shared" ref="AR136:AR199" ca="1" si="245">AR135*EXP(($C$259-0.5*$C$260^2)+$C$260*_xlfn.NORM.INV(RAND(),0,1))</f>
        <v>578.0479941825655</v>
      </c>
      <c r="AS136" s="85">
        <f t="shared" ref="AS136:AS199" ca="1" si="246">AS135*EXP(($C$259-0.5*$C$260^2)+$C$260*_xlfn.NORM.INV(RAND(),0,1))</f>
        <v>515.97048888734571</v>
      </c>
      <c r="AT136" s="85">
        <f t="shared" ref="AT136:AT199" ca="1" si="247">AT135*EXP(($C$259-0.5*$C$260^2)+$C$260*_xlfn.NORM.INV(RAND(),0,1))</f>
        <v>592.49652818155926</v>
      </c>
      <c r="AU136" s="85">
        <f t="shared" ref="AU136:AU199" ca="1" si="248">AU135*EXP(($C$259-0.5*$C$260^2)+$C$260*_xlfn.NORM.INV(RAND(),0,1))</f>
        <v>600.33182998299731</v>
      </c>
      <c r="AV136" s="85">
        <f t="shared" ref="AV136:AV199" ca="1" si="249">AV135*EXP(($C$259-0.5*$C$260^2)+$C$260*_xlfn.NORM.INV(RAND(),0,1))</f>
        <v>572.92766602667518</v>
      </c>
      <c r="AW136" s="85">
        <f t="shared" ref="AW136:AW199" ca="1" si="250">AW135*EXP(($C$259-0.5*$C$260^2)+$C$260*_xlfn.NORM.INV(RAND(),0,1))</f>
        <v>577.2852642522206</v>
      </c>
      <c r="AX136" s="85">
        <f t="shared" ref="AX136:AX199" ca="1" si="251">AX135*EXP(($C$259-0.5*$C$260^2)+$C$260*_xlfn.NORM.INV(RAND(),0,1))</f>
        <v>664.39607500991337</v>
      </c>
      <c r="AY136" s="85">
        <f t="shared" ref="AY136:AY199" ca="1" si="252">AY135*EXP(($C$259-0.5*$C$260^2)+$C$260*_xlfn.NORM.INV(RAND(),0,1))</f>
        <v>614.0398910054995</v>
      </c>
      <c r="AZ136" s="85">
        <f t="shared" ref="AZ136:AZ199" ca="1" si="253">AZ135*EXP(($C$259-0.5*$C$260^2)+$C$260*_xlfn.NORM.INV(RAND(),0,1))</f>
        <v>609.48571284605669</v>
      </c>
      <c r="BA136" s="85">
        <f t="shared" ref="BA136:BA199" ca="1" si="254">BA135*EXP(($C$259-0.5*$C$260^2)+$C$260*_xlfn.NORM.INV(RAND(),0,1))</f>
        <v>624.58580595437752</v>
      </c>
      <c r="BB136" s="85">
        <f t="shared" ref="BB136:BB199" ca="1" si="255">BB135*EXP(($C$259-0.5*$C$260^2)+$C$260*_xlfn.NORM.INV(RAND(),0,1))</f>
        <v>549.41433521373563</v>
      </c>
      <c r="BC136" s="85">
        <f t="shared" ref="BC136:BC199" ca="1" si="256">BC135*EXP(($C$259-0.5*$C$260^2)+$C$260*_xlfn.NORM.INV(RAND(),0,1))</f>
        <v>579.15103519976674</v>
      </c>
      <c r="BD136" s="85">
        <f t="shared" ref="BD136:BD199" ca="1" si="257">BD135*EXP(($C$259-0.5*$C$260^2)+$C$260*_xlfn.NORM.INV(RAND(),0,1))</f>
        <v>583.14543524489397</v>
      </c>
      <c r="BE136" s="85">
        <f t="shared" ref="BE136:BE199" ca="1" si="258">BE135*EXP(($C$259-0.5*$C$260^2)+$C$260*_xlfn.NORM.INV(RAND(),0,1))</f>
        <v>520.34461936055061</v>
      </c>
      <c r="BF136" s="85">
        <f t="shared" ref="BF136:BF199" ca="1" si="259">BF135*EXP(($C$259-0.5*$C$260^2)+$C$260*_xlfn.NORM.INV(RAND(),0,1))</f>
        <v>592.46500933462085</v>
      </c>
      <c r="BG136" s="85">
        <f t="shared" ref="BG136:BG199" ca="1" si="260">BG135*EXP(($C$259-0.5*$C$260^2)+$C$260*_xlfn.NORM.INV(RAND(),0,1))</f>
        <v>509.13675608885558</v>
      </c>
      <c r="BH136" s="85">
        <f t="shared" ref="BH136:BH199" ca="1" si="261">BH135*EXP(($C$259-0.5*$C$260^2)+$C$260*_xlfn.NORM.INV(RAND(),0,1))</f>
        <v>605.13633964170583</v>
      </c>
      <c r="BI136" s="85">
        <f t="shared" ref="BI136:BI199" ca="1" si="262">BI135*EXP(($C$259-0.5*$C$260^2)+$C$260*_xlfn.NORM.INV(RAND(),0,1))</f>
        <v>539.76177868723323</v>
      </c>
      <c r="BJ136" s="85">
        <f t="shared" ref="BJ136:BJ199" ca="1" si="263">BJ135*EXP(($C$259-0.5*$C$260^2)+$C$260*_xlfn.NORM.INV(RAND(),0,1))</f>
        <v>593.4362793660282</v>
      </c>
      <c r="BK136" s="85">
        <f t="shared" ref="BK136:BK199" ca="1" si="264">BK135*EXP(($C$259-0.5*$C$260^2)+$C$260*_xlfn.NORM.INV(RAND(),0,1))</f>
        <v>583.97247880916768</v>
      </c>
      <c r="BL136" s="85">
        <f t="shared" ref="BL136:BL199" ca="1" si="265">BL135*EXP(($C$259-0.5*$C$260^2)+$C$260*_xlfn.NORM.INV(RAND(),0,1))</f>
        <v>548.9326986211064</v>
      </c>
      <c r="BM136" s="85">
        <f t="shared" ref="BM136:BM199" ca="1" si="266">BM135*EXP(($C$259-0.5*$C$260^2)+$C$260*_xlfn.NORM.INV(RAND(),0,1))</f>
        <v>493.20140985712646</v>
      </c>
      <c r="BN136" s="85">
        <f t="shared" ca="1" si="203"/>
        <v>639.1201916415838</v>
      </c>
      <c r="BO136" s="85">
        <f t="shared" ca="1" si="192"/>
        <v>661.326019897984</v>
      </c>
      <c r="BP136" s="85">
        <f t="shared" ca="1" si="193"/>
        <v>481.45143604230708</v>
      </c>
      <c r="BQ136" s="85">
        <f t="shared" ca="1" si="194"/>
        <v>571.45606262886145</v>
      </c>
      <c r="BR136" s="85">
        <f t="shared" ca="1" si="195"/>
        <v>539.04455747957468</v>
      </c>
      <c r="BS136" s="85">
        <f t="shared" ca="1" si="196"/>
        <v>604.04499835623426</v>
      </c>
      <c r="BT136" s="85">
        <f t="shared" ca="1" si="197"/>
        <v>606.08157733952839</v>
      </c>
      <c r="BU136" s="85">
        <f t="shared" ca="1" si="198"/>
        <v>609.99229061438996</v>
      </c>
      <c r="BV136" s="85">
        <f t="shared" ca="1" si="199"/>
        <v>566.99348802031318</v>
      </c>
      <c r="BW136" s="85">
        <f t="shared" ca="1" si="200"/>
        <v>607.51049562945457</v>
      </c>
      <c r="BX136" s="85">
        <f t="shared" ca="1" si="201"/>
        <v>593.89775710572349</v>
      </c>
      <c r="BY136" s="85">
        <f t="shared" ca="1" si="167"/>
        <v>572.89605942420565</v>
      </c>
      <c r="BZ136" s="85">
        <f t="shared" ca="1" si="168"/>
        <v>553.13197505947016</v>
      </c>
      <c r="CA136" s="85">
        <f t="shared" ca="1" si="169"/>
        <v>554.70316549464144</v>
      </c>
      <c r="CB136" s="85">
        <f t="shared" ca="1" si="170"/>
        <v>527.87902293830268</v>
      </c>
      <c r="CC136" s="85">
        <f t="shared" ca="1" si="171"/>
        <v>614.83301277719772</v>
      </c>
      <c r="CD136" s="85">
        <f t="shared" ca="1" si="172"/>
        <v>686.33130582216859</v>
      </c>
      <c r="CE136" s="85">
        <f t="shared" ca="1" si="173"/>
        <v>528.96508015918459</v>
      </c>
      <c r="CF136" s="85">
        <f t="shared" ca="1" si="174"/>
        <v>628.10693837666599</v>
      </c>
      <c r="CG136" s="85">
        <f t="shared" ca="1" si="175"/>
        <v>527.59283531700032</v>
      </c>
      <c r="CH136" s="85">
        <f t="shared" ca="1" si="176"/>
        <v>586.66316589938276</v>
      </c>
      <c r="CI136" s="85">
        <f t="shared" ca="1" si="177"/>
        <v>580.89449956844146</v>
      </c>
      <c r="CJ136" s="85">
        <f t="shared" ca="1" si="178"/>
        <v>524.776495752919</v>
      </c>
      <c r="CK136" s="85">
        <f t="shared" ca="1" si="179"/>
        <v>548.96775873807269</v>
      </c>
      <c r="CL136" s="85">
        <f t="shared" ca="1" si="180"/>
        <v>536.40333922446064</v>
      </c>
      <c r="CM136" s="85">
        <f t="shared" ca="1" si="181"/>
        <v>635.70757269161049</v>
      </c>
      <c r="CN136" s="85">
        <f t="shared" ca="1" si="182"/>
        <v>520.66574228053105</v>
      </c>
      <c r="CO136" s="85">
        <f t="shared" ca="1" si="183"/>
        <v>511.71369868930287</v>
      </c>
      <c r="CP136" s="85">
        <f t="shared" ca="1" si="184"/>
        <v>664.82175185641324</v>
      </c>
      <c r="CQ136" s="85">
        <f t="shared" ca="1" si="185"/>
        <v>543.34205629763881</v>
      </c>
      <c r="CR136" s="85">
        <f t="shared" ca="1" si="186"/>
        <v>597.69242399003792</v>
      </c>
      <c r="CS136" s="85">
        <f t="shared" ca="1" si="187"/>
        <v>497.20351778685421</v>
      </c>
      <c r="CT136" s="85">
        <f t="shared" ca="1" si="188"/>
        <v>572.48079317233521</v>
      </c>
      <c r="CU136" s="85">
        <f t="shared" ca="1" si="189"/>
        <v>698.05439320063806</v>
      </c>
      <c r="CV136" s="85">
        <f t="shared" ca="1" si="190"/>
        <v>540.26186222693491</v>
      </c>
      <c r="CW136" s="85">
        <f t="shared" ca="1" si="191"/>
        <v>519.53489426044166</v>
      </c>
    </row>
    <row r="137" spans="1:101" x14ac:dyDescent="0.2">
      <c r="A137" s="115">
        <v>134</v>
      </c>
      <c r="B137" s="85">
        <f t="shared" ca="1" si="202"/>
        <v>483.95927825527343</v>
      </c>
      <c r="C137" s="85">
        <f t="shared" ca="1" si="204"/>
        <v>581.44241214062549</v>
      </c>
      <c r="D137" s="85">
        <f t="shared" ca="1" si="205"/>
        <v>555.88199597503467</v>
      </c>
      <c r="E137" s="85">
        <f t="shared" ca="1" si="206"/>
        <v>518.45847275671633</v>
      </c>
      <c r="F137" s="85">
        <f t="shared" ca="1" si="207"/>
        <v>529.81630839578725</v>
      </c>
      <c r="G137" s="85">
        <f t="shared" ca="1" si="208"/>
        <v>589.36041839563131</v>
      </c>
      <c r="H137" s="85">
        <f t="shared" ca="1" si="209"/>
        <v>566.48554384681245</v>
      </c>
      <c r="I137" s="85">
        <f t="shared" ca="1" si="210"/>
        <v>607.75327579074656</v>
      </c>
      <c r="J137" s="85">
        <f t="shared" ca="1" si="211"/>
        <v>552.93242002351519</v>
      </c>
      <c r="K137" s="85">
        <f t="shared" ca="1" si="212"/>
        <v>601.28831841051897</v>
      </c>
      <c r="L137" s="85">
        <f t="shared" ca="1" si="213"/>
        <v>630.75098838459587</v>
      </c>
      <c r="M137" s="85">
        <f t="shared" ca="1" si="214"/>
        <v>457.10386079696752</v>
      </c>
      <c r="N137" s="85">
        <f t="shared" ca="1" si="215"/>
        <v>567.78763233463224</v>
      </c>
      <c r="O137" s="85">
        <f t="shared" ca="1" si="216"/>
        <v>552.51093022261807</v>
      </c>
      <c r="P137" s="85">
        <f t="shared" ca="1" si="217"/>
        <v>573.1222354640912</v>
      </c>
      <c r="Q137" s="85">
        <f t="shared" ca="1" si="218"/>
        <v>607.85893113069824</v>
      </c>
      <c r="R137" s="85">
        <f t="shared" ca="1" si="219"/>
        <v>528.50605711806713</v>
      </c>
      <c r="S137" s="85">
        <f t="shared" ca="1" si="220"/>
        <v>636.62997810086404</v>
      </c>
      <c r="T137" s="85">
        <f t="shared" ca="1" si="221"/>
        <v>583.39617703835927</v>
      </c>
      <c r="U137" s="85">
        <f t="shared" ca="1" si="222"/>
        <v>522.56780426769978</v>
      </c>
      <c r="V137" s="85">
        <f t="shared" ca="1" si="223"/>
        <v>615.8986715677197</v>
      </c>
      <c r="W137" s="85">
        <f t="shared" ca="1" si="224"/>
        <v>569.05659332751338</v>
      </c>
      <c r="X137" s="85">
        <f t="shared" ca="1" si="225"/>
        <v>605.47000055488809</v>
      </c>
      <c r="Y137" s="85">
        <f t="shared" ca="1" si="226"/>
        <v>508.0376127590356</v>
      </c>
      <c r="Z137" s="85">
        <f t="shared" ca="1" si="227"/>
        <v>588.70141553948588</v>
      </c>
      <c r="AA137" s="85">
        <f t="shared" ca="1" si="228"/>
        <v>537.52374226443033</v>
      </c>
      <c r="AB137" s="85">
        <f t="shared" ca="1" si="229"/>
        <v>647.70557395098285</v>
      </c>
      <c r="AC137" s="85">
        <f t="shared" ca="1" si="230"/>
        <v>610.07522442721972</v>
      </c>
      <c r="AD137" s="85">
        <f t="shared" ca="1" si="231"/>
        <v>645.76426020527208</v>
      </c>
      <c r="AE137" s="85">
        <f t="shared" ca="1" si="232"/>
        <v>805.05182608666996</v>
      </c>
      <c r="AF137" s="85">
        <f t="shared" ca="1" si="233"/>
        <v>542.33663824128701</v>
      </c>
      <c r="AG137" s="85">
        <f t="shared" ca="1" si="234"/>
        <v>612.03999584958217</v>
      </c>
      <c r="AH137" s="85">
        <f t="shared" ca="1" si="235"/>
        <v>505.27924563542757</v>
      </c>
      <c r="AI137" s="85">
        <f t="shared" ca="1" si="236"/>
        <v>626.94119103076639</v>
      </c>
      <c r="AJ137" s="85">
        <f t="shared" ca="1" si="237"/>
        <v>655.63477623151834</v>
      </c>
      <c r="AK137" s="85">
        <f t="shared" ca="1" si="238"/>
        <v>578.0893494776999</v>
      </c>
      <c r="AL137" s="85">
        <f t="shared" ca="1" si="239"/>
        <v>592.02542820830649</v>
      </c>
      <c r="AM137" s="85">
        <f t="shared" ca="1" si="240"/>
        <v>551.94353269169949</v>
      </c>
      <c r="AN137" s="85">
        <f t="shared" ca="1" si="241"/>
        <v>588.07853922113452</v>
      </c>
      <c r="AO137" s="85">
        <f t="shared" ca="1" si="242"/>
        <v>659.20144159583276</v>
      </c>
      <c r="AP137" s="85">
        <f t="shared" ca="1" si="243"/>
        <v>637.55659114773709</v>
      </c>
      <c r="AQ137" s="85">
        <f t="shared" ca="1" si="244"/>
        <v>551.98269774344101</v>
      </c>
      <c r="AR137" s="85">
        <f t="shared" ca="1" si="245"/>
        <v>588.47319797759974</v>
      </c>
      <c r="AS137" s="85">
        <f t="shared" ca="1" si="246"/>
        <v>523.09067386743266</v>
      </c>
      <c r="AT137" s="85">
        <f t="shared" ca="1" si="247"/>
        <v>601.40205423250598</v>
      </c>
      <c r="AU137" s="85">
        <f t="shared" ca="1" si="248"/>
        <v>608.94957881710889</v>
      </c>
      <c r="AV137" s="85">
        <f t="shared" ca="1" si="249"/>
        <v>581.82609526586043</v>
      </c>
      <c r="AW137" s="85">
        <f t="shared" ca="1" si="250"/>
        <v>582.92811691589634</v>
      </c>
      <c r="AX137" s="85">
        <f t="shared" ca="1" si="251"/>
        <v>672.97631833476862</v>
      </c>
      <c r="AY137" s="85">
        <f t="shared" ca="1" si="252"/>
        <v>613.73840981846911</v>
      </c>
      <c r="AZ137" s="85">
        <f t="shared" ca="1" si="253"/>
        <v>612.0526523086794</v>
      </c>
      <c r="BA137" s="85">
        <f t="shared" ca="1" si="254"/>
        <v>626.89666372686747</v>
      </c>
      <c r="BB137" s="85">
        <f t="shared" ca="1" si="255"/>
        <v>551.65286955333079</v>
      </c>
      <c r="BC137" s="85">
        <f t="shared" ca="1" si="256"/>
        <v>586.84459769515513</v>
      </c>
      <c r="BD137" s="85">
        <f t="shared" ca="1" si="257"/>
        <v>586.55796669147981</v>
      </c>
      <c r="BE137" s="85">
        <f t="shared" ca="1" si="258"/>
        <v>527.45198390990049</v>
      </c>
      <c r="BF137" s="85">
        <f t="shared" ca="1" si="259"/>
        <v>604.54223750517224</v>
      </c>
      <c r="BG137" s="85">
        <f t="shared" ca="1" si="260"/>
        <v>519.61518572838463</v>
      </c>
      <c r="BH137" s="85">
        <f t="shared" ca="1" si="261"/>
        <v>615.20968863875589</v>
      </c>
      <c r="BI137" s="85">
        <f t="shared" ca="1" si="262"/>
        <v>541.24915822392177</v>
      </c>
      <c r="BJ137" s="85">
        <f t="shared" ca="1" si="263"/>
        <v>605.96628154297389</v>
      </c>
      <c r="BK137" s="85">
        <f t="shared" ca="1" si="264"/>
        <v>592.58218189641889</v>
      </c>
      <c r="BL137" s="85">
        <f t="shared" ca="1" si="265"/>
        <v>558.41999472287239</v>
      </c>
      <c r="BM137" s="85">
        <f t="shared" ca="1" si="266"/>
        <v>504.17180093761095</v>
      </c>
      <c r="BN137" s="85">
        <f t="shared" ca="1" si="203"/>
        <v>647.51975230370681</v>
      </c>
      <c r="BO137" s="85">
        <f t="shared" ca="1" si="192"/>
        <v>672.66598906582703</v>
      </c>
      <c r="BP137" s="85">
        <f t="shared" ca="1" si="193"/>
        <v>493.65207594366922</v>
      </c>
      <c r="BQ137" s="85">
        <f t="shared" ca="1" si="194"/>
        <v>579.52523853798778</v>
      </c>
      <c r="BR137" s="85">
        <f t="shared" ca="1" si="195"/>
        <v>541.67886213343388</v>
      </c>
      <c r="BS137" s="85">
        <f t="shared" ca="1" si="196"/>
        <v>616.22000621982602</v>
      </c>
      <c r="BT137" s="85">
        <f t="shared" ca="1" si="197"/>
        <v>615.91970073881328</v>
      </c>
      <c r="BU137" s="85">
        <f t="shared" ca="1" si="198"/>
        <v>615.5114445450406</v>
      </c>
      <c r="BV137" s="85">
        <f t="shared" ca="1" si="199"/>
        <v>574.91618762873611</v>
      </c>
      <c r="BW137" s="85">
        <f t="shared" ca="1" si="200"/>
        <v>613.56436984863774</v>
      </c>
      <c r="BX137" s="85">
        <f t="shared" ca="1" si="201"/>
        <v>603.31900331516852</v>
      </c>
      <c r="BY137" s="85">
        <f t="shared" ca="1" si="167"/>
        <v>582.82157577696114</v>
      </c>
      <c r="BZ137" s="85">
        <f t="shared" ca="1" si="168"/>
        <v>559.30972857800441</v>
      </c>
      <c r="CA137" s="85">
        <f t="shared" ca="1" si="169"/>
        <v>563.59153208362568</v>
      </c>
      <c r="CB137" s="85">
        <f t="shared" ca="1" si="170"/>
        <v>539.07126093469083</v>
      </c>
      <c r="CC137" s="85">
        <f t="shared" ca="1" si="171"/>
        <v>628.97671904134302</v>
      </c>
      <c r="CD137" s="85">
        <f t="shared" ca="1" si="172"/>
        <v>694.84509404675293</v>
      </c>
      <c r="CE137" s="85">
        <f t="shared" ca="1" si="173"/>
        <v>528.18138885909445</v>
      </c>
      <c r="CF137" s="85">
        <f t="shared" ca="1" si="174"/>
        <v>637.16345701954845</v>
      </c>
      <c r="CG137" s="85">
        <f t="shared" ca="1" si="175"/>
        <v>541.24027927827387</v>
      </c>
      <c r="CH137" s="85">
        <f t="shared" ca="1" si="176"/>
        <v>591.60532492459015</v>
      </c>
      <c r="CI137" s="85">
        <f t="shared" ca="1" si="177"/>
        <v>584.50782052177078</v>
      </c>
      <c r="CJ137" s="85">
        <f t="shared" ca="1" si="178"/>
        <v>535.80631176053373</v>
      </c>
      <c r="CK137" s="85">
        <f t="shared" ca="1" si="179"/>
        <v>562.6104921442751</v>
      </c>
      <c r="CL137" s="85">
        <f t="shared" ca="1" si="180"/>
        <v>538.33353978734795</v>
      </c>
      <c r="CM137" s="85">
        <f t="shared" ca="1" si="181"/>
        <v>640.52783287151487</v>
      </c>
      <c r="CN137" s="85">
        <f t="shared" ca="1" si="182"/>
        <v>524.90819313821464</v>
      </c>
      <c r="CO137" s="85">
        <f t="shared" ca="1" si="183"/>
        <v>514.16768260681886</v>
      </c>
      <c r="CP137" s="85">
        <f t="shared" ca="1" si="184"/>
        <v>680.11684829777744</v>
      </c>
      <c r="CQ137" s="85">
        <f t="shared" ca="1" si="185"/>
        <v>552.44526127625147</v>
      </c>
      <c r="CR137" s="85">
        <f t="shared" ca="1" si="186"/>
        <v>601.84179077527608</v>
      </c>
      <c r="CS137" s="85">
        <f t="shared" ca="1" si="187"/>
        <v>497.98851276715453</v>
      </c>
      <c r="CT137" s="85">
        <f t="shared" ca="1" si="188"/>
        <v>572.55218590860159</v>
      </c>
      <c r="CU137" s="85">
        <f t="shared" ca="1" si="189"/>
        <v>711.91628658502316</v>
      </c>
      <c r="CV137" s="85">
        <f t="shared" ca="1" si="190"/>
        <v>549.34707675208438</v>
      </c>
      <c r="CW137" s="85">
        <f t="shared" ca="1" si="191"/>
        <v>525.87518720783021</v>
      </c>
    </row>
    <row r="138" spans="1:101" x14ac:dyDescent="0.2">
      <c r="A138" s="115">
        <v>135</v>
      </c>
      <c r="B138" s="85">
        <f t="shared" ca="1" si="202"/>
        <v>492.32254129812355</v>
      </c>
      <c r="C138" s="85">
        <f t="shared" ca="1" si="204"/>
        <v>587.91609466451018</v>
      </c>
      <c r="D138" s="85">
        <f t="shared" ca="1" si="205"/>
        <v>557.98313624654156</v>
      </c>
      <c r="E138" s="85">
        <f t="shared" ca="1" si="206"/>
        <v>524.71574931918303</v>
      </c>
      <c r="F138" s="85">
        <f t="shared" ca="1" si="207"/>
        <v>535.22711819709207</v>
      </c>
      <c r="G138" s="85">
        <f t="shared" ca="1" si="208"/>
        <v>596.56800501545536</v>
      </c>
      <c r="H138" s="85">
        <f t="shared" ca="1" si="209"/>
        <v>575.57927579127841</v>
      </c>
      <c r="I138" s="85">
        <f t="shared" ca="1" si="210"/>
        <v>623.26147304288963</v>
      </c>
      <c r="J138" s="85">
        <f t="shared" ca="1" si="211"/>
        <v>563.17846830461963</v>
      </c>
      <c r="K138" s="85">
        <f t="shared" ca="1" si="212"/>
        <v>607.18253359056587</v>
      </c>
      <c r="L138" s="85">
        <f t="shared" ca="1" si="213"/>
        <v>631.55804844613783</v>
      </c>
      <c r="M138" s="85">
        <f t="shared" ca="1" si="214"/>
        <v>461.25863327042225</v>
      </c>
      <c r="N138" s="85">
        <f t="shared" ca="1" si="215"/>
        <v>585.93962850166815</v>
      </c>
      <c r="O138" s="85">
        <f t="shared" ca="1" si="216"/>
        <v>556.09491869845544</v>
      </c>
      <c r="P138" s="85">
        <f t="shared" ca="1" si="217"/>
        <v>579.20441578873476</v>
      </c>
      <c r="Q138" s="85">
        <f t="shared" ca="1" si="218"/>
        <v>620.68017178376022</v>
      </c>
      <c r="R138" s="85">
        <f t="shared" ca="1" si="219"/>
        <v>537.76731610658612</v>
      </c>
      <c r="S138" s="85">
        <f t="shared" ca="1" si="220"/>
        <v>640.04010113431684</v>
      </c>
      <c r="T138" s="85">
        <f t="shared" ca="1" si="221"/>
        <v>590.4190586879397</v>
      </c>
      <c r="U138" s="85">
        <f t="shared" ca="1" si="222"/>
        <v>532.30134102507827</v>
      </c>
      <c r="V138" s="85">
        <f t="shared" ca="1" si="223"/>
        <v>628.20277083843689</v>
      </c>
      <c r="W138" s="85">
        <f t="shared" ca="1" si="224"/>
        <v>574.88499460448929</v>
      </c>
      <c r="X138" s="85">
        <f t="shared" ca="1" si="225"/>
        <v>609.67945052205778</v>
      </c>
      <c r="Y138" s="85">
        <f t="shared" ca="1" si="226"/>
        <v>510.58829989203377</v>
      </c>
      <c r="Z138" s="85">
        <f t="shared" ca="1" si="227"/>
        <v>591.22761125614284</v>
      </c>
      <c r="AA138" s="85">
        <f t="shared" ca="1" si="228"/>
        <v>543.54642657431725</v>
      </c>
      <c r="AB138" s="85">
        <f t="shared" ca="1" si="229"/>
        <v>656.08960255222144</v>
      </c>
      <c r="AC138" s="85">
        <f t="shared" ca="1" si="230"/>
        <v>618.03245083093179</v>
      </c>
      <c r="AD138" s="85">
        <f t="shared" ca="1" si="231"/>
        <v>653.88703977261434</v>
      </c>
      <c r="AE138" s="85">
        <f t="shared" ca="1" si="232"/>
        <v>814.23122762732635</v>
      </c>
      <c r="AF138" s="85">
        <f t="shared" ca="1" si="233"/>
        <v>546.52915700529809</v>
      </c>
      <c r="AG138" s="85">
        <f t="shared" ca="1" si="234"/>
        <v>624.65962939344115</v>
      </c>
      <c r="AH138" s="85">
        <f t="shared" ca="1" si="235"/>
        <v>515.8712936506206</v>
      </c>
      <c r="AI138" s="85">
        <f t="shared" ca="1" si="236"/>
        <v>639.41641786954563</v>
      </c>
      <c r="AJ138" s="85">
        <f t="shared" ca="1" si="237"/>
        <v>661.05086475765722</v>
      </c>
      <c r="AK138" s="85">
        <f t="shared" ca="1" si="238"/>
        <v>580.08602814599806</v>
      </c>
      <c r="AL138" s="85">
        <f t="shared" ca="1" si="239"/>
        <v>601.97593327295795</v>
      </c>
      <c r="AM138" s="85">
        <f t="shared" ca="1" si="240"/>
        <v>557.69870900298247</v>
      </c>
      <c r="AN138" s="85">
        <f t="shared" ca="1" si="241"/>
        <v>594.51231455745335</v>
      </c>
      <c r="AO138" s="85">
        <f t="shared" ca="1" si="242"/>
        <v>680.23839301002602</v>
      </c>
      <c r="AP138" s="85">
        <f t="shared" ca="1" si="243"/>
        <v>644.77042033564965</v>
      </c>
      <c r="AQ138" s="85">
        <f t="shared" ca="1" si="244"/>
        <v>558.70574779649417</v>
      </c>
      <c r="AR138" s="85">
        <f t="shared" ca="1" si="245"/>
        <v>596.84410316251501</v>
      </c>
      <c r="AS138" s="85">
        <f t="shared" ca="1" si="246"/>
        <v>525.42887723941351</v>
      </c>
      <c r="AT138" s="85">
        <f t="shared" ca="1" si="247"/>
        <v>600.11224670753415</v>
      </c>
      <c r="AU138" s="85">
        <f t="shared" ca="1" si="248"/>
        <v>613.06069878480014</v>
      </c>
      <c r="AV138" s="85">
        <f t="shared" ca="1" si="249"/>
        <v>593.5803185398446</v>
      </c>
      <c r="AW138" s="85">
        <f t="shared" ca="1" si="250"/>
        <v>591.05245263039228</v>
      </c>
      <c r="AX138" s="85">
        <f t="shared" ca="1" si="251"/>
        <v>681.17287192353069</v>
      </c>
      <c r="AY138" s="85">
        <f t="shared" ca="1" si="252"/>
        <v>622.85093804019027</v>
      </c>
      <c r="AZ138" s="85">
        <f t="shared" ca="1" si="253"/>
        <v>625.80734782433717</v>
      </c>
      <c r="BA138" s="85">
        <f t="shared" ca="1" si="254"/>
        <v>639.98930421052466</v>
      </c>
      <c r="BB138" s="85">
        <f t="shared" ca="1" si="255"/>
        <v>558.91056910131363</v>
      </c>
      <c r="BC138" s="85">
        <f t="shared" ca="1" si="256"/>
        <v>595.14237683794283</v>
      </c>
      <c r="BD138" s="85">
        <f t="shared" ca="1" si="257"/>
        <v>594.81832244669624</v>
      </c>
      <c r="BE138" s="85">
        <f t="shared" ca="1" si="258"/>
        <v>536.4659759700321</v>
      </c>
      <c r="BF138" s="85">
        <f t="shared" ca="1" si="259"/>
        <v>609.62905020253072</v>
      </c>
      <c r="BG138" s="85">
        <f t="shared" ca="1" si="260"/>
        <v>526.31922962440206</v>
      </c>
      <c r="BH138" s="85">
        <f t="shared" ca="1" si="261"/>
        <v>627.19283783888829</v>
      </c>
      <c r="BI138" s="85">
        <f t="shared" ca="1" si="262"/>
        <v>555.06812255968578</v>
      </c>
      <c r="BJ138" s="85">
        <f t="shared" ca="1" si="263"/>
        <v>607.45373423665092</v>
      </c>
      <c r="BK138" s="85">
        <f t="shared" ca="1" si="264"/>
        <v>600.12840641490573</v>
      </c>
      <c r="BL138" s="85">
        <f t="shared" ca="1" si="265"/>
        <v>563.64257508108005</v>
      </c>
      <c r="BM138" s="85">
        <f t="shared" ca="1" si="266"/>
        <v>516.64685336118237</v>
      </c>
      <c r="BN138" s="85">
        <f t="shared" ca="1" si="203"/>
        <v>662.7105985980287</v>
      </c>
      <c r="BO138" s="85">
        <f t="shared" ca="1" si="192"/>
        <v>682.46929369532995</v>
      </c>
      <c r="BP138" s="85">
        <f t="shared" ca="1" si="193"/>
        <v>494.21262080085569</v>
      </c>
      <c r="BQ138" s="85">
        <f t="shared" ca="1" si="194"/>
        <v>587.05922340752932</v>
      </c>
      <c r="BR138" s="85">
        <f t="shared" ca="1" si="195"/>
        <v>545.41066272128751</v>
      </c>
      <c r="BS138" s="85">
        <f t="shared" ca="1" si="196"/>
        <v>629.24653743732108</v>
      </c>
      <c r="BT138" s="85">
        <f t="shared" ca="1" si="197"/>
        <v>631.11540388073786</v>
      </c>
      <c r="BU138" s="85">
        <f t="shared" ca="1" si="198"/>
        <v>617.542278923803</v>
      </c>
      <c r="BV138" s="85">
        <f t="shared" ca="1" si="199"/>
        <v>581.7576299218556</v>
      </c>
      <c r="BW138" s="85">
        <f t="shared" ca="1" si="200"/>
        <v>615.66367240005604</v>
      </c>
      <c r="BX138" s="85">
        <f t="shared" ca="1" si="201"/>
        <v>610.93980885490589</v>
      </c>
      <c r="BY138" s="85">
        <f t="shared" ca="1" si="167"/>
        <v>587.99064977762896</v>
      </c>
      <c r="BZ138" s="85">
        <f t="shared" ca="1" si="168"/>
        <v>564.9353240651493</v>
      </c>
      <c r="CA138" s="85">
        <f t="shared" ca="1" si="169"/>
        <v>568.16898976142784</v>
      </c>
      <c r="CB138" s="85">
        <f t="shared" ca="1" si="170"/>
        <v>548.37061923286217</v>
      </c>
      <c r="CC138" s="85">
        <f t="shared" ca="1" si="171"/>
        <v>636.85565721621663</v>
      </c>
      <c r="CD138" s="85">
        <f t="shared" ca="1" si="172"/>
        <v>704.1565074337974</v>
      </c>
      <c r="CE138" s="85">
        <f t="shared" ca="1" si="173"/>
        <v>535.93100147023983</v>
      </c>
      <c r="CF138" s="85">
        <f t="shared" ca="1" si="174"/>
        <v>645.26311646228748</v>
      </c>
      <c r="CG138" s="85">
        <f t="shared" ca="1" si="175"/>
        <v>541.24019458362216</v>
      </c>
      <c r="CH138" s="85">
        <f t="shared" ca="1" si="176"/>
        <v>593.82939108221899</v>
      </c>
      <c r="CI138" s="85">
        <f t="shared" ca="1" si="177"/>
        <v>595.2154667180323</v>
      </c>
      <c r="CJ138" s="85">
        <f t="shared" ca="1" si="178"/>
        <v>545.10356561514732</v>
      </c>
      <c r="CK138" s="85">
        <f t="shared" ca="1" si="179"/>
        <v>570.33617917851291</v>
      </c>
      <c r="CL138" s="85">
        <f t="shared" ca="1" si="180"/>
        <v>552.67262544529387</v>
      </c>
      <c r="CM138" s="85">
        <f t="shared" ca="1" si="181"/>
        <v>654.31132051320355</v>
      </c>
      <c r="CN138" s="85">
        <f t="shared" ca="1" si="182"/>
        <v>526.3383580759056</v>
      </c>
      <c r="CO138" s="85">
        <f t="shared" ca="1" si="183"/>
        <v>519.67022340404412</v>
      </c>
      <c r="CP138" s="85">
        <f t="shared" ca="1" si="184"/>
        <v>698.98875609497009</v>
      </c>
      <c r="CQ138" s="85">
        <f t="shared" ca="1" si="185"/>
        <v>562.79830517463176</v>
      </c>
      <c r="CR138" s="85">
        <f t="shared" ca="1" si="186"/>
        <v>610.72608924689166</v>
      </c>
      <c r="CS138" s="85">
        <f t="shared" ca="1" si="187"/>
        <v>504.87636717186183</v>
      </c>
      <c r="CT138" s="85">
        <f t="shared" ca="1" si="188"/>
        <v>576.24938881331798</v>
      </c>
      <c r="CU138" s="85">
        <f t="shared" ca="1" si="189"/>
        <v>729.12230688793602</v>
      </c>
      <c r="CV138" s="85">
        <f t="shared" ca="1" si="190"/>
        <v>555.95464434646181</v>
      </c>
      <c r="CW138" s="85">
        <f t="shared" ca="1" si="191"/>
        <v>532.70311032481857</v>
      </c>
    </row>
    <row r="139" spans="1:101" x14ac:dyDescent="0.2">
      <c r="A139" s="115">
        <v>136</v>
      </c>
      <c r="B139" s="85">
        <f t="shared" ca="1" si="202"/>
        <v>504.97768383672258</v>
      </c>
      <c r="C139" s="85">
        <f t="shared" ca="1" si="204"/>
        <v>595.00581315255579</v>
      </c>
      <c r="D139" s="85">
        <f t="shared" ca="1" si="205"/>
        <v>568.4240271073935</v>
      </c>
      <c r="E139" s="85">
        <f t="shared" ca="1" si="206"/>
        <v>529.02366322952071</v>
      </c>
      <c r="F139" s="85">
        <f t="shared" ca="1" si="207"/>
        <v>545.49770855679833</v>
      </c>
      <c r="G139" s="85">
        <f t="shared" ca="1" si="208"/>
        <v>596.40685793193848</v>
      </c>
      <c r="H139" s="85">
        <f t="shared" ca="1" si="209"/>
        <v>584.63109452141168</v>
      </c>
      <c r="I139" s="85">
        <f t="shared" ca="1" si="210"/>
        <v>634.64197783829241</v>
      </c>
      <c r="J139" s="85">
        <f t="shared" ca="1" si="211"/>
        <v>572.10933198263615</v>
      </c>
      <c r="K139" s="85">
        <f t="shared" ca="1" si="212"/>
        <v>623.15605631877895</v>
      </c>
      <c r="L139" s="85">
        <f t="shared" ca="1" si="213"/>
        <v>639.79293421688806</v>
      </c>
      <c r="M139" s="85">
        <f t="shared" ca="1" si="214"/>
        <v>470.94415365225228</v>
      </c>
      <c r="N139" s="85">
        <f t="shared" ca="1" si="215"/>
        <v>595.64015424135641</v>
      </c>
      <c r="O139" s="85">
        <f t="shared" ca="1" si="216"/>
        <v>568.92912636231779</v>
      </c>
      <c r="P139" s="85">
        <f t="shared" ca="1" si="217"/>
        <v>587.35565414208224</v>
      </c>
      <c r="Q139" s="85">
        <f t="shared" ca="1" si="218"/>
        <v>625.83267269118653</v>
      </c>
      <c r="R139" s="85">
        <f t="shared" ca="1" si="219"/>
        <v>548.89254818076756</v>
      </c>
      <c r="S139" s="85">
        <f t="shared" ca="1" si="220"/>
        <v>651.61469753304993</v>
      </c>
      <c r="T139" s="85">
        <f t="shared" ca="1" si="221"/>
        <v>596.06349075014589</v>
      </c>
      <c r="U139" s="85">
        <f t="shared" ca="1" si="222"/>
        <v>542.73334244856778</v>
      </c>
      <c r="V139" s="85">
        <f t="shared" ca="1" si="223"/>
        <v>635.33729182054401</v>
      </c>
      <c r="W139" s="85">
        <f t="shared" ca="1" si="224"/>
        <v>585.2586230839471</v>
      </c>
      <c r="X139" s="85">
        <f t="shared" ca="1" si="225"/>
        <v>622.63353415312361</v>
      </c>
      <c r="Y139" s="85">
        <f t="shared" ca="1" si="226"/>
        <v>522.54357445382277</v>
      </c>
      <c r="Z139" s="85">
        <f t="shared" ca="1" si="227"/>
        <v>592.38139272803005</v>
      </c>
      <c r="AA139" s="85">
        <f t="shared" ca="1" si="228"/>
        <v>547.8492655566547</v>
      </c>
      <c r="AB139" s="85">
        <f t="shared" ca="1" si="229"/>
        <v>660.38445807689038</v>
      </c>
      <c r="AC139" s="85">
        <f t="shared" ca="1" si="230"/>
        <v>634.90825955330649</v>
      </c>
      <c r="AD139" s="85">
        <f t="shared" ca="1" si="231"/>
        <v>663.69408074148373</v>
      </c>
      <c r="AE139" s="85">
        <f t="shared" ca="1" si="232"/>
        <v>823.0998210755414</v>
      </c>
      <c r="AF139" s="85">
        <f t="shared" ca="1" si="233"/>
        <v>553.1950293575735</v>
      </c>
      <c r="AG139" s="85">
        <f t="shared" ca="1" si="234"/>
        <v>632.57774569329115</v>
      </c>
      <c r="AH139" s="85">
        <f t="shared" ca="1" si="235"/>
        <v>521.32762616794059</v>
      </c>
      <c r="AI139" s="85">
        <f t="shared" ca="1" si="236"/>
        <v>651.40704916711672</v>
      </c>
      <c r="AJ139" s="85">
        <f t="shared" ca="1" si="237"/>
        <v>679.28857477694589</v>
      </c>
      <c r="AK139" s="85">
        <f t="shared" ca="1" si="238"/>
        <v>581.39274559188334</v>
      </c>
      <c r="AL139" s="85">
        <f t="shared" ca="1" si="239"/>
        <v>612.28451358003076</v>
      </c>
      <c r="AM139" s="85">
        <f t="shared" ca="1" si="240"/>
        <v>568.75570810509021</v>
      </c>
      <c r="AN139" s="85">
        <f t="shared" ca="1" si="241"/>
        <v>602.34421964118928</v>
      </c>
      <c r="AO139" s="85">
        <f t="shared" ca="1" si="242"/>
        <v>690.71482949146753</v>
      </c>
      <c r="AP139" s="85">
        <f t="shared" ca="1" si="243"/>
        <v>648.67764979333458</v>
      </c>
      <c r="AQ139" s="85">
        <f t="shared" ca="1" si="244"/>
        <v>565.36861753079086</v>
      </c>
      <c r="AR139" s="85">
        <f t="shared" ca="1" si="245"/>
        <v>605.52599794755406</v>
      </c>
      <c r="AS139" s="85">
        <f t="shared" ca="1" si="246"/>
        <v>534.32744559492323</v>
      </c>
      <c r="AT139" s="85">
        <f t="shared" ca="1" si="247"/>
        <v>603.54252592078672</v>
      </c>
      <c r="AU139" s="85">
        <f t="shared" ca="1" si="248"/>
        <v>623.50658992558726</v>
      </c>
      <c r="AV139" s="85">
        <f t="shared" ca="1" si="249"/>
        <v>600.57969875526669</v>
      </c>
      <c r="AW139" s="85">
        <f t="shared" ca="1" si="250"/>
        <v>603.5808032294326</v>
      </c>
      <c r="AX139" s="85">
        <f t="shared" ca="1" si="251"/>
        <v>693.49527792212598</v>
      </c>
      <c r="AY139" s="85">
        <f t="shared" ca="1" si="252"/>
        <v>631.66506854293755</v>
      </c>
      <c r="AZ139" s="85">
        <f t="shared" ca="1" si="253"/>
        <v>639.29997888378409</v>
      </c>
      <c r="BA139" s="85">
        <f t="shared" ca="1" si="254"/>
        <v>654.99506888418205</v>
      </c>
      <c r="BB139" s="85">
        <f t="shared" ca="1" si="255"/>
        <v>564.01047817370284</v>
      </c>
      <c r="BC139" s="85">
        <f t="shared" ca="1" si="256"/>
        <v>604.53306872744315</v>
      </c>
      <c r="BD139" s="85">
        <f t="shared" ca="1" si="257"/>
        <v>607.99214563950579</v>
      </c>
      <c r="BE139" s="85">
        <f t="shared" ca="1" si="258"/>
        <v>539.23264420811097</v>
      </c>
      <c r="BF139" s="85">
        <f t="shared" ca="1" si="259"/>
        <v>622.71929578572065</v>
      </c>
      <c r="BG139" s="85">
        <f t="shared" ca="1" si="260"/>
        <v>533.57724460658062</v>
      </c>
      <c r="BH139" s="85">
        <f t="shared" ca="1" si="261"/>
        <v>637.82077120498082</v>
      </c>
      <c r="BI139" s="85">
        <f t="shared" ca="1" si="262"/>
        <v>561.80457495237795</v>
      </c>
      <c r="BJ139" s="85">
        <f t="shared" ca="1" si="263"/>
        <v>613.62929805473868</v>
      </c>
      <c r="BK139" s="85">
        <f t="shared" ca="1" si="264"/>
        <v>600.45782589057421</v>
      </c>
      <c r="BL139" s="85">
        <f t="shared" ca="1" si="265"/>
        <v>567.29515784950684</v>
      </c>
      <c r="BM139" s="85">
        <f t="shared" ca="1" si="266"/>
        <v>525.19110563269362</v>
      </c>
      <c r="BN139" s="85">
        <f t="shared" ca="1" si="203"/>
        <v>670.3316977366087</v>
      </c>
      <c r="BO139" s="85">
        <f t="shared" ca="1" si="192"/>
        <v>689.51050073194142</v>
      </c>
      <c r="BP139" s="85">
        <f t="shared" ca="1" si="193"/>
        <v>498.52543793807143</v>
      </c>
      <c r="BQ139" s="85">
        <f t="shared" ca="1" si="194"/>
        <v>599.39904936236655</v>
      </c>
      <c r="BR139" s="85">
        <f t="shared" ca="1" si="195"/>
        <v>550.41139152653341</v>
      </c>
      <c r="BS139" s="85">
        <f t="shared" ca="1" si="196"/>
        <v>638.07601695368282</v>
      </c>
      <c r="BT139" s="85">
        <f t="shared" ca="1" si="197"/>
        <v>647.69467048523552</v>
      </c>
      <c r="BU139" s="85">
        <f t="shared" ca="1" si="198"/>
        <v>623.24163563569084</v>
      </c>
      <c r="BV139" s="85">
        <f t="shared" ca="1" si="199"/>
        <v>590.55674671431223</v>
      </c>
      <c r="BW139" s="85">
        <f t="shared" ca="1" si="200"/>
        <v>625.90628500305138</v>
      </c>
      <c r="BX139" s="85">
        <f t="shared" ca="1" si="201"/>
        <v>621.56313666507083</v>
      </c>
      <c r="BY139" s="85">
        <f t="shared" ref="BY139:BY202" ca="1" si="267">BY138*EXP(($C$259-0.5*$C$260^2)+$C$260*_xlfn.NORM.INV(RAND(),0,1))</f>
        <v>595.50789127716791</v>
      </c>
      <c r="BZ139" s="85">
        <f t="shared" ref="BZ139:BZ202" ca="1" si="268">BZ138*EXP(($C$259-0.5*$C$260^2)+$C$260*_xlfn.NORM.INV(RAND(),0,1))</f>
        <v>573.90368391758238</v>
      </c>
      <c r="CA139" s="85">
        <f t="shared" ref="CA139:CA202" ca="1" si="269">CA138*EXP(($C$259-0.5*$C$260^2)+$C$260*_xlfn.NORM.INV(RAND(),0,1))</f>
        <v>580.76877245750279</v>
      </c>
      <c r="CB139" s="85">
        <f t="shared" ref="CB139:CB202" ca="1" si="270">CB138*EXP(($C$259-0.5*$C$260^2)+$C$260*_xlfn.NORM.INV(RAND(),0,1))</f>
        <v>556.65536538692254</v>
      </c>
      <c r="CC139" s="85">
        <f t="shared" ref="CC139:CC202" ca="1" si="271">CC138*EXP(($C$259-0.5*$C$260^2)+$C$260*_xlfn.NORM.INV(RAND(),0,1))</f>
        <v>654.48338908786218</v>
      </c>
      <c r="CD139" s="85">
        <f t="shared" ref="CD139:CD202" ca="1" si="272">CD138*EXP(($C$259-0.5*$C$260^2)+$C$260*_xlfn.NORM.INV(RAND(),0,1))</f>
        <v>711.85615843182177</v>
      </c>
      <c r="CE139" s="85">
        <f t="shared" ref="CE139:CE202" ca="1" si="273">CE138*EXP(($C$259-0.5*$C$260^2)+$C$260*_xlfn.NORM.INV(RAND(),0,1))</f>
        <v>546.66491204540057</v>
      </c>
      <c r="CF139" s="85">
        <f t="shared" ref="CF139:CF202" ca="1" si="274">CF138*EXP(($C$259-0.5*$C$260^2)+$C$260*_xlfn.NORM.INV(RAND(),0,1))</f>
        <v>658.36014449547054</v>
      </c>
      <c r="CG139" s="85">
        <f t="shared" ref="CG139:CG202" ca="1" si="275">CG138*EXP(($C$259-0.5*$C$260^2)+$C$260*_xlfn.NORM.INV(RAND(),0,1))</f>
        <v>546.88367494486624</v>
      </c>
      <c r="CH139" s="85">
        <f t="shared" ref="CH139:CH202" ca="1" si="276">CH138*EXP(($C$259-0.5*$C$260^2)+$C$260*_xlfn.NORM.INV(RAND(),0,1))</f>
        <v>599.04080449457297</v>
      </c>
      <c r="CI139" s="85">
        <f t="shared" ref="CI139:CI202" ca="1" si="277">CI138*EXP(($C$259-0.5*$C$260^2)+$C$260*_xlfn.NORM.INV(RAND(),0,1))</f>
        <v>597.64199623154843</v>
      </c>
      <c r="CJ139" s="85">
        <f t="shared" ref="CJ139:CJ202" ca="1" si="278">CJ138*EXP(($C$259-0.5*$C$260^2)+$C$260*_xlfn.NORM.INV(RAND(),0,1))</f>
        <v>557.72774901611444</v>
      </c>
      <c r="CK139" s="85">
        <f t="shared" ref="CK139:CK202" ca="1" si="279">CK138*EXP(($C$259-0.5*$C$260^2)+$C$260*_xlfn.NORM.INV(RAND(),0,1))</f>
        <v>579.46793575576601</v>
      </c>
      <c r="CL139" s="85">
        <f t="shared" ref="CL139:CL202" ca="1" si="280">CL138*EXP(($C$259-0.5*$C$260^2)+$C$260*_xlfn.NORM.INV(RAND(),0,1))</f>
        <v>556.80327796607878</v>
      </c>
      <c r="CM139" s="85">
        <f t="shared" ref="CM139:CM202" ca="1" si="281">CM138*EXP(($C$259-0.5*$C$260^2)+$C$260*_xlfn.NORM.INV(RAND(),0,1))</f>
        <v>659.1261056451126</v>
      </c>
      <c r="CN139" s="85">
        <f t="shared" ref="CN139:CN202" ca="1" si="282">CN138*EXP(($C$259-0.5*$C$260^2)+$C$260*_xlfn.NORM.INV(RAND(),0,1))</f>
        <v>537.5763112708222</v>
      </c>
      <c r="CO139" s="85">
        <f t="shared" ref="CO139:CO202" ca="1" si="283">CO138*EXP(($C$259-0.5*$C$260^2)+$C$260*_xlfn.NORM.INV(RAND(),0,1))</f>
        <v>519.38906924935816</v>
      </c>
      <c r="CP139" s="85">
        <f t="shared" ref="CP139:CP202" ca="1" si="284">CP138*EXP(($C$259-0.5*$C$260^2)+$C$260*_xlfn.NORM.INV(RAND(),0,1))</f>
        <v>708.37899878561166</v>
      </c>
      <c r="CQ139" s="85">
        <f t="shared" ref="CQ139:CQ202" ca="1" si="285">CQ138*EXP(($C$259-0.5*$C$260^2)+$C$260*_xlfn.NORM.INV(RAND(),0,1))</f>
        <v>572.6102020991392</v>
      </c>
      <c r="CR139" s="85">
        <f t="shared" ref="CR139:CR202" ca="1" si="286">CR138*EXP(($C$259-0.5*$C$260^2)+$C$260*_xlfn.NORM.INV(RAND(),0,1))</f>
        <v>622.09339586712144</v>
      </c>
      <c r="CS139" s="85">
        <f t="shared" ref="CS139:CS202" ca="1" si="287">CS138*EXP(($C$259-0.5*$C$260^2)+$C$260*_xlfn.NORM.INV(RAND(),0,1))</f>
        <v>511.74653732462349</v>
      </c>
      <c r="CT139" s="85">
        <f t="shared" ref="CT139:CT202" ca="1" si="288">CT138*EXP(($C$259-0.5*$C$260^2)+$C$260*_xlfn.NORM.INV(RAND(),0,1))</f>
        <v>583.95424324634928</v>
      </c>
      <c r="CU139" s="85">
        <f t="shared" ref="CU139:CU202" ca="1" si="289">CU138*EXP(($C$259-0.5*$C$260^2)+$C$260*_xlfn.NORM.INV(RAND(),0,1))</f>
        <v>739.87811652044593</v>
      </c>
      <c r="CV139" s="85">
        <f t="shared" ref="CV139:CV202" ca="1" si="290">CV138*EXP(($C$259-0.5*$C$260^2)+$C$260*_xlfn.NORM.INV(RAND(),0,1))</f>
        <v>562.21514060581558</v>
      </c>
      <c r="CW139" s="85">
        <f t="shared" ref="CW139:CW202" ca="1" si="291">CW138*EXP(($C$259-0.5*$C$260^2)+$C$260*_xlfn.NORM.INV(RAND(),0,1))</f>
        <v>542.66792492223806</v>
      </c>
    </row>
    <row r="140" spans="1:101" x14ac:dyDescent="0.2">
      <c r="A140" s="115">
        <v>137</v>
      </c>
      <c r="B140" s="85">
        <f t="shared" ca="1" si="202"/>
        <v>515.07830563096957</v>
      </c>
      <c r="C140" s="85">
        <f t="shared" ca="1" si="204"/>
        <v>604.41171807465821</v>
      </c>
      <c r="D140" s="85">
        <f t="shared" ca="1" si="205"/>
        <v>577.62578729513757</v>
      </c>
      <c r="E140" s="85">
        <f t="shared" ca="1" si="206"/>
        <v>541.74715703510788</v>
      </c>
      <c r="F140" s="85">
        <f t="shared" ca="1" si="207"/>
        <v>557.00778228883394</v>
      </c>
      <c r="G140" s="85">
        <f t="shared" ca="1" si="208"/>
        <v>603.93503057953626</v>
      </c>
      <c r="H140" s="85">
        <f t="shared" ca="1" si="209"/>
        <v>599.89363611907538</v>
      </c>
      <c r="I140" s="85">
        <f t="shared" ca="1" si="210"/>
        <v>637.05443016259346</v>
      </c>
      <c r="J140" s="85">
        <f t="shared" ca="1" si="211"/>
        <v>573.94127356993238</v>
      </c>
      <c r="K140" s="85">
        <f t="shared" ca="1" si="212"/>
        <v>636.43682961815637</v>
      </c>
      <c r="L140" s="85">
        <f t="shared" ca="1" si="213"/>
        <v>650.59755076571423</v>
      </c>
      <c r="M140" s="85">
        <f t="shared" ca="1" si="214"/>
        <v>476.59162845198114</v>
      </c>
      <c r="N140" s="85">
        <f t="shared" ca="1" si="215"/>
        <v>606.6962060263628</v>
      </c>
      <c r="O140" s="85">
        <f t="shared" ca="1" si="216"/>
        <v>580.57449062727051</v>
      </c>
      <c r="P140" s="85">
        <f t="shared" ca="1" si="217"/>
        <v>599.11634875458606</v>
      </c>
      <c r="Q140" s="85">
        <f t="shared" ca="1" si="218"/>
        <v>633.70895552727416</v>
      </c>
      <c r="R140" s="85">
        <f t="shared" ca="1" si="219"/>
        <v>554.59803682558072</v>
      </c>
      <c r="S140" s="85">
        <f t="shared" ca="1" si="220"/>
        <v>661.06403360441823</v>
      </c>
      <c r="T140" s="85">
        <f t="shared" ca="1" si="221"/>
        <v>610.91347798249581</v>
      </c>
      <c r="U140" s="85">
        <f t="shared" ca="1" si="222"/>
        <v>551.53084291745074</v>
      </c>
      <c r="V140" s="85">
        <f t="shared" ca="1" si="223"/>
        <v>643.89523888909616</v>
      </c>
      <c r="W140" s="85">
        <f t="shared" ca="1" si="224"/>
        <v>585.60334849575418</v>
      </c>
      <c r="X140" s="85">
        <f t="shared" ca="1" si="225"/>
        <v>625.08980771206689</v>
      </c>
      <c r="Y140" s="85">
        <f t="shared" ca="1" si="226"/>
        <v>536.67402014478478</v>
      </c>
      <c r="Z140" s="85">
        <f t="shared" ca="1" si="227"/>
        <v>600.34815828894978</v>
      </c>
      <c r="AA140" s="85">
        <f t="shared" ca="1" si="228"/>
        <v>552.04392201574478</v>
      </c>
      <c r="AB140" s="85">
        <f t="shared" ca="1" si="229"/>
        <v>670.81052215098339</v>
      </c>
      <c r="AC140" s="85">
        <f t="shared" ca="1" si="230"/>
        <v>642.86819411161184</v>
      </c>
      <c r="AD140" s="85">
        <f t="shared" ca="1" si="231"/>
        <v>674.94195447893549</v>
      </c>
      <c r="AE140" s="85">
        <f t="shared" ca="1" si="232"/>
        <v>830.51194155703479</v>
      </c>
      <c r="AF140" s="85">
        <f t="shared" ca="1" si="233"/>
        <v>558.6265020108101</v>
      </c>
      <c r="AG140" s="85">
        <f t="shared" ca="1" si="234"/>
        <v>644.62448538434603</v>
      </c>
      <c r="AH140" s="85">
        <f t="shared" ca="1" si="235"/>
        <v>528.93370970757212</v>
      </c>
      <c r="AI140" s="85">
        <f t="shared" ca="1" si="236"/>
        <v>657.07296001453506</v>
      </c>
      <c r="AJ140" s="85">
        <f t="shared" ca="1" si="237"/>
        <v>702.00881017388429</v>
      </c>
      <c r="AK140" s="85">
        <f t="shared" ca="1" si="238"/>
        <v>595.57841268317623</v>
      </c>
      <c r="AL140" s="85">
        <f t="shared" ca="1" si="239"/>
        <v>615.30415660319386</v>
      </c>
      <c r="AM140" s="85">
        <f t="shared" ca="1" si="240"/>
        <v>573.16513763513092</v>
      </c>
      <c r="AN140" s="85">
        <f t="shared" ca="1" si="241"/>
        <v>613.40307709907188</v>
      </c>
      <c r="AO140" s="85">
        <f t="shared" ca="1" si="242"/>
        <v>700.70362613328768</v>
      </c>
      <c r="AP140" s="85">
        <f t="shared" ca="1" si="243"/>
        <v>662.09391537214492</v>
      </c>
      <c r="AQ140" s="85">
        <f t="shared" ca="1" si="244"/>
        <v>579.18167295106866</v>
      </c>
      <c r="AR140" s="85">
        <f t="shared" ca="1" si="245"/>
        <v>613.08580282548769</v>
      </c>
      <c r="AS140" s="85">
        <f t="shared" ca="1" si="246"/>
        <v>544.45863131971726</v>
      </c>
      <c r="AT140" s="85">
        <f t="shared" ca="1" si="247"/>
        <v>616.77434331618667</v>
      </c>
      <c r="AU140" s="85">
        <f t="shared" ca="1" si="248"/>
        <v>628.62182358642133</v>
      </c>
      <c r="AV140" s="85">
        <f t="shared" ca="1" si="249"/>
        <v>606.64032049672517</v>
      </c>
      <c r="AW140" s="85">
        <f t="shared" ca="1" si="250"/>
        <v>609.87158166959819</v>
      </c>
      <c r="AX140" s="85">
        <f t="shared" ca="1" si="251"/>
        <v>694.52973047718524</v>
      </c>
      <c r="AY140" s="85">
        <f t="shared" ca="1" si="252"/>
        <v>643.50444808939721</v>
      </c>
      <c r="AZ140" s="85">
        <f t="shared" ca="1" si="253"/>
        <v>651.28806781482888</v>
      </c>
      <c r="BA140" s="85">
        <f t="shared" ca="1" si="254"/>
        <v>668.58753549973142</v>
      </c>
      <c r="BB140" s="85">
        <f t="shared" ca="1" si="255"/>
        <v>566.67427513889675</v>
      </c>
      <c r="BC140" s="85">
        <f t="shared" ca="1" si="256"/>
        <v>620.42544506206673</v>
      </c>
      <c r="BD140" s="85">
        <f t="shared" ca="1" si="257"/>
        <v>625.42717445521487</v>
      </c>
      <c r="BE140" s="85">
        <f t="shared" ca="1" si="258"/>
        <v>548.34321449568881</v>
      </c>
      <c r="BF140" s="85">
        <f t="shared" ca="1" si="259"/>
        <v>631.67866245047389</v>
      </c>
      <c r="BG140" s="85">
        <f t="shared" ca="1" si="260"/>
        <v>536.34269726726484</v>
      </c>
      <c r="BH140" s="85">
        <f t="shared" ca="1" si="261"/>
        <v>646.20421906189995</v>
      </c>
      <c r="BI140" s="85">
        <f t="shared" ca="1" si="262"/>
        <v>570.64123478817999</v>
      </c>
      <c r="BJ140" s="85">
        <f t="shared" ca="1" si="263"/>
        <v>614.98889422704167</v>
      </c>
      <c r="BK140" s="85">
        <f t="shared" ca="1" si="264"/>
        <v>611.56169603808155</v>
      </c>
      <c r="BL140" s="85">
        <f t="shared" ca="1" si="265"/>
        <v>573.79800154306452</v>
      </c>
      <c r="BM140" s="85">
        <f t="shared" ca="1" si="266"/>
        <v>540.20429448262041</v>
      </c>
      <c r="BN140" s="85">
        <f t="shared" ca="1" si="203"/>
        <v>677.68989333073569</v>
      </c>
      <c r="BO140" s="85">
        <f t="shared" ref="BO140:BO203" ca="1" si="292">BO139*EXP(($C$259-0.5*$C$260^2)+$C$260*_xlfn.NORM.INV(RAND(),0,1))</f>
        <v>693.25043031489099</v>
      </c>
      <c r="BP140" s="85">
        <f t="shared" ref="BP140:BP203" ca="1" si="293">BP139*EXP(($C$259-0.5*$C$260^2)+$C$260*_xlfn.NORM.INV(RAND(),0,1))</f>
        <v>512.67678091025107</v>
      </c>
      <c r="BQ140" s="85">
        <f t="shared" ref="BQ140:BQ203" ca="1" si="294">BQ139*EXP(($C$259-0.5*$C$260^2)+$C$260*_xlfn.NORM.INV(RAND(),0,1))</f>
        <v>609.80346425584491</v>
      </c>
      <c r="BR140" s="85">
        <f t="shared" ref="BR140:BR203" ca="1" si="295">BR139*EXP(($C$259-0.5*$C$260^2)+$C$260*_xlfn.NORM.INV(RAND(),0,1))</f>
        <v>558.44246653844277</v>
      </c>
      <c r="BS140" s="85">
        <f t="shared" ref="BS140:BS203" ca="1" si="296">BS139*EXP(($C$259-0.5*$C$260^2)+$C$260*_xlfn.NORM.INV(RAND(),0,1))</f>
        <v>640.22395488018878</v>
      </c>
      <c r="BT140" s="85">
        <f t="shared" ref="BT140:BT203" ca="1" si="297">BT139*EXP(($C$259-0.5*$C$260^2)+$C$260*_xlfn.NORM.INV(RAND(),0,1))</f>
        <v>659.20442465615884</v>
      </c>
      <c r="BU140" s="85">
        <f t="shared" ref="BU140:BU203" ca="1" si="298">BU139*EXP(($C$259-0.5*$C$260^2)+$C$260*_xlfn.NORM.INV(RAND(),0,1))</f>
        <v>626.18663874689139</v>
      </c>
      <c r="BV140" s="85">
        <f t="shared" ref="BV140:BV203" ca="1" si="299">BV139*EXP(($C$259-0.5*$C$260^2)+$C$260*_xlfn.NORM.INV(RAND(),0,1))</f>
        <v>598.20306118127246</v>
      </c>
      <c r="BW140" s="85">
        <f t="shared" ref="BW140:BW203" ca="1" si="300">BW139*EXP(($C$259-0.5*$C$260^2)+$C$260*_xlfn.NORM.INV(RAND(),0,1))</f>
        <v>638.72787150028557</v>
      </c>
      <c r="BX140" s="85">
        <f t="shared" ref="BX140:BX203" ca="1" si="301">BX139*EXP(($C$259-0.5*$C$260^2)+$C$260*_xlfn.NORM.INV(RAND(),0,1))</f>
        <v>633.01291563254631</v>
      </c>
      <c r="BY140" s="85">
        <f t="shared" ca="1" si="267"/>
        <v>599.65537430088818</v>
      </c>
      <c r="BZ140" s="85">
        <f t="shared" ca="1" si="268"/>
        <v>575.67302819745589</v>
      </c>
      <c r="CA140" s="85">
        <f t="shared" ca="1" si="269"/>
        <v>590.35527515826163</v>
      </c>
      <c r="CB140" s="85">
        <f t="shared" ca="1" si="270"/>
        <v>566.19424701657363</v>
      </c>
      <c r="CC140" s="85">
        <f t="shared" ca="1" si="271"/>
        <v>663.45514319688414</v>
      </c>
      <c r="CD140" s="85">
        <f t="shared" ca="1" si="272"/>
        <v>729.48731987348253</v>
      </c>
      <c r="CE140" s="85">
        <f t="shared" ca="1" si="273"/>
        <v>557.02391806909407</v>
      </c>
      <c r="CF140" s="85">
        <f t="shared" ca="1" si="274"/>
        <v>670.43480306033109</v>
      </c>
      <c r="CG140" s="85">
        <f t="shared" ca="1" si="275"/>
        <v>551.5670201779983</v>
      </c>
      <c r="CH140" s="85">
        <f t="shared" ca="1" si="276"/>
        <v>603.59042651232335</v>
      </c>
      <c r="CI140" s="85">
        <f t="shared" ca="1" si="277"/>
        <v>603.0444097057092</v>
      </c>
      <c r="CJ140" s="85">
        <f t="shared" ca="1" si="278"/>
        <v>563.51636950903924</v>
      </c>
      <c r="CK140" s="85">
        <f t="shared" ca="1" si="279"/>
        <v>588.25611185962703</v>
      </c>
      <c r="CL140" s="85">
        <f t="shared" ca="1" si="280"/>
        <v>556.22463733971972</v>
      </c>
      <c r="CM140" s="85">
        <f t="shared" ca="1" si="281"/>
        <v>666.96409314022185</v>
      </c>
      <c r="CN140" s="85">
        <f t="shared" ca="1" si="282"/>
        <v>538.75312369537755</v>
      </c>
      <c r="CO140" s="85">
        <f t="shared" ca="1" si="283"/>
        <v>528.43893515305092</v>
      </c>
      <c r="CP140" s="85">
        <f t="shared" ca="1" si="284"/>
        <v>708.66929074221252</v>
      </c>
      <c r="CQ140" s="85">
        <f t="shared" ca="1" si="285"/>
        <v>578.22242920386384</v>
      </c>
      <c r="CR140" s="85">
        <f t="shared" ca="1" si="286"/>
        <v>631.65174624859446</v>
      </c>
      <c r="CS140" s="85">
        <f t="shared" ca="1" si="287"/>
        <v>522.83823438031743</v>
      </c>
      <c r="CT140" s="85">
        <f t="shared" ca="1" si="288"/>
        <v>587.37635097445127</v>
      </c>
      <c r="CU140" s="85">
        <f t="shared" ca="1" si="289"/>
        <v>742.4179479070666</v>
      </c>
      <c r="CV140" s="85">
        <f t="shared" ca="1" si="290"/>
        <v>576.04025739385713</v>
      </c>
      <c r="CW140" s="85">
        <f t="shared" ca="1" si="291"/>
        <v>546.93571164709226</v>
      </c>
    </row>
    <row r="141" spans="1:101" x14ac:dyDescent="0.2">
      <c r="A141" s="115">
        <v>138</v>
      </c>
      <c r="B141" s="85">
        <f t="shared" ca="1" si="202"/>
        <v>520.76833859954388</v>
      </c>
      <c r="C141" s="85">
        <f t="shared" ca="1" si="204"/>
        <v>612.05280771783373</v>
      </c>
      <c r="D141" s="85">
        <f t="shared" ca="1" si="205"/>
        <v>585.57490960857831</v>
      </c>
      <c r="E141" s="85">
        <f t="shared" ca="1" si="206"/>
        <v>541.7011247065002</v>
      </c>
      <c r="F141" s="85">
        <f t="shared" ca="1" si="207"/>
        <v>565.11969002940509</v>
      </c>
      <c r="G141" s="85">
        <f t="shared" ca="1" si="208"/>
        <v>601.1290465577481</v>
      </c>
      <c r="H141" s="85">
        <f t="shared" ca="1" si="209"/>
        <v>609.63148207813288</v>
      </c>
      <c r="I141" s="85">
        <f t="shared" ca="1" si="210"/>
        <v>646.30920626899342</v>
      </c>
      <c r="J141" s="85">
        <f t="shared" ca="1" si="211"/>
        <v>583.18297417390522</v>
      </c>
      <c r="K141" s="85">
        <f t="shared" ca="1" si="212"/>
        <v>648.70693242220693</v>
      </c>
      <c r="L141" s="85">
        <f t="shared" ca="1" si="213"/>
        <v>656.19845374253043</v>
      </c>
      <c r="M141" s="85">
        <f t="shared" ca="1" si="214"/>
        <v>484.42744797601006</v>
      </c>
      <c r="N141" s="85">
        <f t="shared" ca="1" si="215"/>
        <v>613.31065255959209</v>
      </c>
      <c r="O141" s="85">
        <f t="shared" ca="1" si="216"/>
        <v>587.63907068428591</v>
      </c>
      <c r="P141" s="85">
        <f t="shared" ca="1" si="217"/>
        <v>606.30588045765592</v>
      </c>
      <c r="Q141" s="85">
        <f t="shared" ca="1" si="218"/>
        <v>643.50308545938549</v>
      </c>
      <c r="R141" s="85">
        <f t="shared" ca="1" si="219"/>
        <v>564.65291450754205</v>
      </c>
      <c r="S141" s="85">
        <f t="shared" ca="1" si="220"/>
        <v>668.04350893228218</v>
      </c>
      <c r="T141" s="85">
        <f t="shared" ca="1" si="221"/>
        <v>617.49120598640718</v>
      </c>
      <c r="U141" s="85">
        <f t="shared" ca="1" si="222"/>
        <v>562.72567983431929</v>
      </c>
      <c r="V141" s="85">
        <f t="shared" ca="1" si="223"/>
        <v>653.28922150274525</v>
      </c>
      <c r="W141" s="85">
        <f t="shared" ca="1" si="224"/>
        <v>590.64936646964281</v>
      </c>
      <c r="X141" s="85">
        <f t="shared" ca="1" si="225"/>
        <v>633.957352202891</v>
      </c>
      <c r="Y141" s="85">
        <f t="shared" ca="1" si="226"/>
        <v>540.51758231942335</v>
      </c>
      <c r="Z141" s="85">
        <f t="shared" ca="1" si="227"/>
        <v>612.98097385522294</v>
      </c>
      <c r="AA141" s="85">
        <f t="shared" ca="1" si="228"/>
        <v>552.84058710864986</v>
      </c>
      <c r="AB141" s="85">
        <f t="shared" ca="1" si="229"/>
        <v>679.99748494466314</v>
      </c>
      <c r="AC141" s="85">
        <f t="shared" ca="1" si="230"/>
        <v>642.04685714116613</v>
      </c>
      <c r="AD141" s="85">
        <f t="shared" ca="1" si="231"/>
        <v>685.06504984174444</v>
      </c>
      <c r="AE141" s="85">
        <f t="shared" ca="1" si="232"/>
        <v>840.39574115716573</v>
      </c>
      <c r="AF141" s="85">
        <f t="shared" ca="1" si="233"/>
        <v>571.56465428252227</v>
      </c>
      <c r="AG141" s="85">
        <f t="shared" ca="1" si="234"/>
        <v>654.70106378809953</v>
      </c>
      <c r="AH141" s="85">
        <f t="shared" ca="1" si="235"/>
        <v>533.07654544276079</v>
      </c>
      <c r="AI141" s="85">
        <f t="shared" ca="1" si="236"/>
        <v>658.33012074709154</v>
      </c>
      <c r="AJ141" s="85">
        <f t="shared" ca="1" si="237"/>
        <v>706.05272903216087</v>
      </c>
      <c r="AK141" s="85">
        <f t="shared" ca="1" si="238"/>
        <v>595.87637212796085</v>
      </c>
      <c r="AL141" s="85">
        <f t="shared" ca="1" si="239"/>
        <v>627.48313867591764</v>
      </c>
      <c r="AM141" s="85">
        <f t="shared" ca="1" si="240"/>
        <v>574.05164064702205</v>
      </c>
      <c r="AN141" s="85">
        <f t="shared" ca="1" si="241"/>
        <v>626.81868394571461</v>
      </c>
      <c r="AO141" s="85">
        <f t="shared" ca="1" si="242"/>
        <v>706.01017776954245</v>
      </c>
      <c r="AP141" s="85">
        <f t="shared" ca="1" si="243"/>
        <v>679.37587172867143</v>
      </c>
      <c r="AQ141" s="85">
        <f t="shared" ca="1" si="244"/>
        <v>585.44064685599994</v>
      </c>
      <c r="AR141" s="85">
        <f t="shared" ca="1" si="245"/>
        <v>626.5710183211753</v>
      </c>
      <c r="AS141" s="85">
        <f t="shared" ca="1" si="246"/>
        <v>552.29946639491175</v>
      </c>
      <c r="AT141" s="85">
        <f t="shared" ca="1" si="247"/>
        <v>625.58023986123192</v>
      </c>
      <c r="AU141" s="85">
        <f t="shared" ca="1" si="248"/>
        <v>644.99387453498014</v>
      </c>
      <c r="AV141" s="85">
        <f t="shared" ca="1" si="249"/>
        <v>619.54231504671395</v>
      </c>
      <c r="AW141" s="85">
        <f t="shared" ca="1" si="250"/>
        <v>620.6806038650559</v>
      </c>
      <c r="AX141" s="85">
        <f t="shared" ca="1" si="251"/>
        <v>700.77808356362129</v>
      </c>
      <c r="AY141" s="85">
        <f t="shared" ca="1" si="252"/>
        <v>649.16708643871709</v>
      </c>
      <c r="AZ141" s="85">
        <f t="shared" ca="1" si="253"/>
        <v>662.36021401936091</v>
      </c>
      <c r="BA141" s="85">
        <f t="shared" ca="1" si="254"/>
        <v>681.44563508173644</v>
      </c>
      <c r="BB141" s="85">
        <f t="shared" ca="1" si="255"/>
        <v>569.30924215839991</v>
      </c>
      <c r="BC141" s="85">
        <f t="shared" ca="1" si="256"/>
        <v>631.41389963725135</v>
      </c>
      <c r="BD141" s="85">
        <f t="shared" ca="1" si="257"/>
        <v>631.72578122510924</v>
      </c>
      <c r="BE141" s="85">
        <f t="shared" ca="1" si="258"/>
        <v>561.51819126428177</v>
      </c>
      <c r="BF141" s="85">
        <f t="shared" ca="1" si="259"/>
        <v>636.9933816801082</v>
      </c>
      <c r="BG141" s="85">
        <f t="shared" ca="1" si="260"/>
        <v>540.43727974417914</v>
      </c>
      <c r="BH141" s="85">
        <f t="shared" ca="1" si="261"/>
        <v>659.21645203943854</v>
      </c>
      <c r="BI141" s="85">
        <f t="shared" ca="1" si="262"/>
        <v>572.30279933613269</v>
      </c>
      <c r="BJ141" s="85">
        <f t="shared" ca="1" si="263"/>
        <v>625.45742827190122</v>
      </c>
      <c r="BK141" s="85">
        <f t="shared" ca="1" si="264"/>
        <v>619.71839078262167</v>
      </c>
      <c r="BL141" s="85">
        <f t="shared" ca="1" si="265"/>
        <v>583.07391662765247</v>
      </c>
      <c r="BM141" s="85">
        <f t="shared" ca="1" si="266"/>
        <v>545.87207548397373</v>
      </c>
      <c r="BN141" s="85">
        <f t="shared" ca="1" si="203"/>
        <v>680.42738665398292</v>
      </c>
      <c r="BO141" s="85">
        <f t="shared" ca="1" si="292"/>
        <v>706.72817720895989</v>
      </c>
      <c r="BP141" s="85">
        <f t="shared" ca="1" si="293"/>
        <v>517.8828323597013</v>
      </c>
      <c r="BQ141" s="85">
        <f t="shared" ca="1" si="294"/>
        <v>630.72448156555424</v>
      </c>
      <c r="BR141" s="85">
        <f t="shared" ca="1" si="295"/>
        <v>564.67757828888534</v>
      </c>
      <c r="BS141" s="85">
        <f t="shared" ca="1" si="296"/>
        <v>650.13693347943001</v>
      </c>
      <c r="BT141" s="85">
        <f t="shared" ca="1" si="297"/>
        <v>665.55923750757881</v>
      </c>
      <c r="BU141" s="85">
        <f t="shared" ca="1" si="298"/>
        <v>640.18497346125389</v>
      </c>
      <c r="BV141" s="85">
        <f t="shared" ca="1" si="299"/>
        <v>606.99623478587966</v>
      </c>
      <c r="BW141" s="85">
        <f t="shared" ca="1" si="300"/>
        <v>655.00724881765473</v>
      </c>
      <c r="BX141" s="85">
        <f t="shared" ca="1" si="301"/>
        <v>645.28999678219918</v>
      </c>
      <c r="BY141" s="85">
        <f t="shared" ca="1" si="267"/>
        <v>600.60458436523913</v>
      </c>
      <c r="BZ141" s="85">
        <f t="shared" ca="1" si="268"/>
        <v>590.7502863141915</v>
      </c>
      <c r="CA141" s="85">
        <f t="shared" ca="1" si="269"/>
        <v>601.4287153654825</v>
      </c>
      <c r="CB141" s="85">
        <f t="shared" ca="1" si="270"/>
        <v>569.05267567467411</v>
      </c>
      <c r="CC141" s="85">
        <f t="shared" ca="1" si="271"/>
        <v>680.10393854593394</v>
      </c>
      <c r="CD141" s="85">
        <f t="shared" ca="1" si="272"/>
        <v>739.45003437211631</v>
      </c>
      <c r="CE141" s="85">
        <f t="shared" ca="1" si="273"/>
        <v>567.7746271263635</v>
      </c>
      <c r="CF141" s="85">
        <f t="shared" ca="1" si="274"/>
        <v>677.88503865805171</v>
      </c>
      <c r="CG141" s="85">
        <f t="shared" ca="1" si="275"/>
        <v>555.94595843394268</v>
      </c>
      <c r="CH141" s="85">
        <f t="shared" ca="1" si="276"/>
        <v>620.83582632914499</v>
      </c>
      <c r="CI141" s="85">
        <f t="shared" ca="1" si="277"/>
        <v>603.75503088178209</v>
      </c>
      <c r="CJ141" s="85">
        <f t="shared" ca="1" si="278"/>
        <v>579.82679209149148</v>
      </c>
      <c r="CK141" s="85">
        <f t="shared" ca="1" si="279"/>
        <v>599.34646340749612</v>
      </c>
      <c r="CL141" s="85">
        <f t="shared" ca="1" si="280"/>
        <v>564.6626108400452</v>
      </c>
      <c r="CM141" s="85">
        <f t="shared" ca="1" si="281"/>
        <v>673.82870329894388</v>
      </c>
      <c r="CN141" s="85">
        <f t="shared" ca="1" si="282"/>
        <v>543.57107503580926</v>
      </c>
      <c r="CO141" s="85">
        <f t="shared" ca="1" si="283"/>
        <v>544.28195631010328</v>
      </c>
      <c r="CP141" s="85">
        <f t="shared" ca="1" si="284"/>
        <v>712.12662395764539</v>
      </c>
      <c r="CQ141" s="85">
        <f t="shared" ca="1" si="285"/>
        <v>586.87917410292027</v>
      </c>
      <c r="CR141" s="85">
        <f t="shared" ca="1" si="286"/>
        <v>641.08604498136481</v>
      </c>
      <c r="CS141" s="85">
        <f t="shared" ca="1" si="287"/>
        <v>531.75170874513105</v>
      </c>
      <c r="CT141" s="85">
        <f t="shared" ca="1" si="288"/>
        <v>590.65339243085191</v>
      </c>
      <c r="CU141" s="85">
        <f t="shared" ca="1" si="289"/>
        <v>758.23337374464222</v>
      </c>
      <c r="CV141" s="85">
        <f t="shared" ca="1" si="290"/>
        <v>585.35798560403907</v>
      </c>
      <c r="CW141" s="85">
        <f t="shared" ca="1" si="291"/>
        <v>552.85746276197472</v>
      </c>
    </row>
    <row r="142" spans="1:101" x14ac:dyDescent="0.2">
      <c r="A142" s="115">
        <v>139</v>
      </c>
      <c r="B142" s="85">
        <f t="shared" ca="1" si="202"/>
        <v>528.39443853831506</v>
      </c>
      <c r="C142" s="85">
        <f t="shared" ca="1" si="204"/>
        <v>625.62865078573486</v>
      </c>
      <c r="D142" s="85">
        <f t="shared" ca="1" si="205"/>
        <v>598.83802316941069</v>
      </c>
      <c r="E142" s="85">
        <f t="shared" ca="1" si="206"/>
        <v>551.49271684745872</v>
      </c>
      <c r="F142" s="85">
        <f t="shared" ca="1" si="207"/>
        <v>567.99483445893441</v>
      </c>
      <c r="G142" s="85">
        <f t="shared" ca="1" si="208"/>
        <v>610.39289728478411</v>
      </c>
      <c r="H142" s="85">
        <f t="shared" ca="1" si="209"/>
        <v>616.28160401544665</v>
      </c>
      <c r="I142" s="85">
        <f t="shared" ca="1" si="210"/>
        <v>658.28452914272214</v>
      </c>
      <c r="J142" s="85">
        <f t="shared" ca="1" si="211"/>
        <v>588.69944270133169</v>
      </c>
      <c r="K142" s="85">
        <f t="shared" ca="1" si="212"/>
        <v>654.74580303553455</v>
      </c>
      <c r="L142" s="85">
        <f t="shared" ca="1" si="213"/>
        <v>672.7090884997283</v>
      </c>
      <c r="M142" s="85">
        <f t="shared" ca="1" si="214"/>
        <v>493.69299818406233</v>
      </c>
      <c r="N142" s="85">
        <f t="shared" ca="1" si="215"/>
        <v>614.49059561234549</v>
      </c>
      <c r="O142" s="85">
        <f t="shared" ca="1" si="216"/>
        <v>609.73891757175875</v>
      </c>
      <c r="P142" s="85">
        <f t="shared" ca="1" si="217"/>
        <v>616.48625431097685</v>
      </c>
      <c r="Q142" s="85">
        <f t="shared" ca="1" si="218"/>
        <v>652.62350571348861</v>
      </c>
      <c r="R142" s="85">
        <f t="shared" ca="1" si="219"/>
        <v>572.45238508713578</v>
      </c>
      <c r="S142" s="85">
        <f t="shared" ca="1" si="220"/>
        <v>676.98999653473879</v>
      </c>
      <c r="T142" s="85">
        <f t="shared" ca="1" si="221"/>
        <v>622.79305821962419</v>
      </c>
      <c r="U142" s="85">
        <f t="shared" ca="1" si="222"/>
        <v>570.50532028196983</v>
      </c>
      <c r="V142" s="85">
        <f t="shared" ca="1" si="223"/>
        <v>662.02363820867379</v>
      </c>
      <c r="W142" s="85">
        <f t="shared" ca="1" si="224"/>
        <v>599.14291693434268</v>
      </c>
      <c r="X142" s="85">
        <f t="shared" ca="1" si="225"/>
        <v>642.63958448463518</v>
      </c>
      <c r="Y142" s="85">
        <f t="shared" ca="1" si="226"/>
        <v>547.90481114779982</v>
      </c>
      <c r="Z142" s="85">
        <f t="shared" ca="1" si="227"/>
        <v>624.46761077208726</v>
      </c>
      <c r="AA142" s="85">
        <f t="shared" ca="1" si="228"/>
        <v>561.94881081406879</v>
      </c>
      <c r="AB142" s="85">
        <f t="shared" ca="1" si="229"/>
        <v>690.53415220793579</v>
      </c>
      <c r="AC142" s="85">
        <f t="shared" ca="1" si="230"/>
        <v>650.73143303252687</v>
      </c>
      <c r="AD142" s="85">
        <f t="shared" ca="1" si="231"/>
        <v>688.07118153278725</v>
      </c>
      <c r="AE142" s="85">
        <f t="shared" ca="1" si="232"/>
        <v>843.45760471952747</v>
      </c>
      <c r="AF142" s="85">
        <f t="shared" ca="1" si="233"/>
        <v>577.6828564962301</v>
      </c>
      <c r="AG142" s="85">
        <f t="shared" ca="1" si="234"/>
        <v>666.57003950944772</v>
      </c>
      <c r="AH142" s="85">
        <f t="shared" ca="1" si="235"/>
        <v>535.71697347405245</v>
      </c>
      <c r="AI142" s="85">
        <f t="shared" ca="1" si="236"/>
        <v>666.31856681861314</v>
      </c>
      <c r="AJ142" s="85">
        <f t="shared" ca="1" si="237"/>
        <v>711.7180779177836</v>
      </c>
      <c r="AK142" s="85">
        <f t="shared" ca="1" si="238"/>
        <v>606.58092674426018</v>
      </c>
      <c r="AL142" s="85">
        <f t="shared" ca="1" si="239"/>
        <v>632.88654946661916</v>
      </c>
      <c r="AM142" s="85">
        <f t="shared" ca="1" si="240"/>
        <v>577.81719889397596</v>
      </c>
      <c r="AN142" s="85">
        <f t="shared" ca="1" si="241"/>
        <v>635.54265540791255</v>
      </c>
      <c r="AO142" s="85">
        <f t="shared" ca="1" si="242"/>
        <v>712.94594932091763</v>
      </c>
      <c r="AP142" s="85">
        <f t="shared" ca="1" si="243"/>
        <v>691.87905351584936</v>
      </c>
      <c r="AQ142" s="85">
        <f t="shared" ca="1" si="244"/>
        <v>590.63084395400597</v>
      </c>
      <c r="AR142" s="85">
        <f t="shared" ca="1" si="245"/>
        <v>636.46631251522456</v>
      </c>
      <c r="AS142" s="85">
        <f t="shared" ca="1" si="246"/>
        <v>549.7446781101944</v>
      </c>
      <c r="AT142" s="85">
        <f t="shared" ca="1" si="247"/>
        <v>638.05300366406425</v>
      </c>
      <c r="AU142" s="85">
        <f t="shared" ca="1" si="248"/>
        <v>657.89173182245509</v>
      </c>
      <c r="AV142" s="85">
        <f t="shared" ca="1" si="249"/>
        <v>637.78251511976111</v>
      </c>
      <c r="AW142" s="85">
        <f t="shared" ca="1" si="250"/>
        <v>631.46225719268296</v>
      </c>
      <c r="AX142" s="85">
        <f t="shared" ca="1" si="251"/>
        <v>704.65710709962946</v>
      </c>
      <c r="AY142" s="85">
        <f t="shared" ca="1" si="252"/>
        <v>655.09068587822856</v>
      </c>
      <c r="AZ142" s="85">
        <f t="shared" ca="1" si="253"/>
        <v>665.23078996086554</v>
      </c>
      <c r="BA142" s="85">
        <f t="shared" ca="1" si="254"/>
        <v>681.80572975116172</v>
      </c>
      <c r="BB142" s="85">
        <f t="shared" ca="1" si="255"/>
        <v>579.94114604570848</v>
      </c>
      <c r="BC142" s="85">
        <f t="shared" ca="1" si="256"/>
        <v>638.33351809309193</v>
      </c>
      <c r="BD142" s="85">
        <f t="shared" ca="1" si="257"/>
        <v>637.43874357489358</v>
      </c>
      <c r="BE142" s="85">
        <f t="shared" ca="1" si="258"/>
        <v>575.70946886950401</v>
      </c>
      <c r="BF142" s="85">
        <f t="shared" ca="1" si="259"/>
        <v>636.82253798344959</v>
      </c>
      <c r="BG142" s="85">
        <f t="shared" ca="1" si="260"/>
        <v>549.84495620325379</v>
      </c>
      <c r="BH142" s="85">
        <f t="shared" ca="1" si="261"/>
        <v>675.77143767622579</v>
      </c>
      <c r="BI142" s="85">
        <f t="shared" ca="1" si="262"/>
        <v>576.41140129532198</v>
      </c>
      <c r="BJ142" s="85">
        <f t="shared" ca="1" si="263"/>
        <v>637.21695201671037</v>
      </c>
      <c r="BK142" s="85">
        <f t="shared" ca="1" si="264"/>
        <v>627.26036129788633</v>
      </c>
      <c r="BL142" s="85">
        <f t="shared" ca="1" si="265"/>
        <v>590.81003725850292</v>
      </c>
      <c r="BM142" s="85">
        <f t="shared" ca="1" si="266"/>
        <v>547.78674343461614</v>
      </c>
      <c r="BN142" s="85">
        <f t="shared" ca="1" si="203"/>
        <v>697.32819979456929</v>
      </c>
      <c r="BO142" s="85">
        <f t="shared" ca="1" si="292"/>
        <v>716.3796053048984</v>
      </c>
      <c r="BP142" s="85">
        <f t="shared" ca="1" si="293"/>
        <v>528.47581248406641</v>
      </c>
      <c r="BQ142" s="85">
        <f t="shared" ca="1" si="294"/>
        <v>641.15537041457594</v>
      </c>
      <c r="BR142" s="85">
        <f t="shared" ca="1" si="295"/>
        <v>568.71031898677177</v>
      </c>
      <c r="BS142" s="85">
        <f t="shared" ca="1" si="296"/>
        <v>656.84247780435953</v>
      </c>
      <c r="BT142" s="85">
        <f t="shared" ca="1" si="297"/>
        <v>676.24983786358803</v>
      </c>
      <c r="BU142" s="85">
        <f t="shared" ca="1" si="298"/>
        <v>650.45640481582666</v>
      </c>
      <c r="BV142" s="85">
        <f t="shared" ca="1" si="299"/>
        <v>608.59259823754894</v>
      </c>
      <c r="BW142" s="85">
        <f t="shared" ca="1" si="300"/>
        <v>664.52069420234398</v>
      </c>
      <c r="BX142" s="85">
        <f t="shared" ca="1" si="301"/>
        <v>656.75520649011492</v>
      </c>
      <c r="BY142" s="85">
        <f t="shared" ca="1" si="267"/>
        <v>606.84402169892655</v>
      </c>
      <c r="BZ142" s="85">
        <f t="shared" ca="1" si="268"/>
        <v>597.48321269746123</v>
      </c>
      <c r="CA142" s="85">
        <f t="shared" ca="1" si="269"/>
        <v>610.47602754537854</v>
      </c>
      <c r="CB142" s="85">
        <f t="shared" ca="1" si="270"/>
        <v>574.69296339370476</v>
      </c>
      <c r="CC142" s="85">
        <f t="shared" ca="1" si="271"/>
        <v>687.96607107766124</v>
      </c>
      <c r="CD142" s="85">
        <f t="shared" ca="1" si="272"/>
        <v>744.84939833621138</v>
      </c>
      <c r="CE142" s="85">
        <f t="shared" ca="1" si="273"/>
        <v>578.52379264942806</v>
      </c>
      <c r="CF142" s="85">
        <f t="shared" ca="1" si="274"/>
        <v>690.26189004861374</v>
      </c>
      <c r="CG142" s="85">
        <f t="shared" ca="1" si="275"/>
        <v>572.38331911877037</v>
      </c>
      <c r="CH142" s="85">
        <f t="shared" ca="1" si="276"/>
        <v>628.55248457544712</v>
      </c>
      <c r="CI142" s="85">
        <f t="shared" ca="1" si="277"/>
        <v>609.68373249550825</v>
      </c>
      <c r="CJ142" s="85">
        <f t="shared" ca="1" si="278"/>
        <v>585.38872716125991</v>
      </c>
      <c r="CK142" s="85">
        <f t="shared" ca="1" si="279"/>
        <v>612.93517669069138</v>
      </c>
      <c r="CL142" s="85">
        <f t="shared" ca="1" si="280"/>
        <v>575.39266742150244</v>
      </c>
      <c r="CM142" s="85">
        <f t="shared" ca="1" si="281"/>
        <v>674.88078958502524</v>
      </c>
      <c r="CN142" s="85">
        <f t="shared" ca="1" si="282"/>
        <v>546.79992860162827</v>
      </c>
      <c r="CO142" s="85">
        <f t="shared" ca="1" si="283"/>
        <v>546.90925885997615</v>
      </c>
      <c r="CP142" s="85">
        <f t="shared" ca="1" si="284"/>
        <v>711.42070928709711</v>
      </c>
      <c r="CQ142" s="85">
        <f t="shared" ca="1" si="285"/>
        <v>597.45847230320283</v>
      </c>
      <c r="CR142" s="85">
        <f t="shared" ca="1" si="286"/>
        <v>649.76507677282189</v>
      </c>
      <c r="CS142" s="85">
        <f t="shared" ca="1" si="287"/>
        <v>539.80686300508228</v>
      </c>
      <c r="CT142" s="85">
        <f t="shared" ca="1" si="288"/>
        <v>597.66638797814437</v>
      </c>
      <c r="CU142" s="85">
        <f t="shared" ca="1" si="289"/>
        <v>770.14415481979825</v>
      </c>
      <c r="CV142" s="85">
        <f t="shared" ca="1" si="290"/>
        <v>589.60869661029176</v>
      </c>
      <c r="CW142" s="85">
        <f t="shared" ca="1" si="291"/>
        <v>564.40402354669652</v>
      </c>
    </row>
    <row r="143" spans="1:101" x14ac:dyDescent="0.2">
      <c r="A143" s="115">
        <v>140</v>
      </c>
      <c r="B143" s="85">
        <f t="shared" ca="1" si="202"/>
        <v>538.6682317817349</v>
      </c>
      <c r="C143" s="85">
        <f t="shared" ca="1" si="204"/>
        <v>645.28562186938268</v>
      </c>
      <c r="D143" s="85">
        <f t="shared" ca="1" si="205"/>
        <v>611.96367670435325</v>
      </c>
      <c r="E143" s="85">
        <f t="shared" ca="1" si="206"/>
        <v>555.26682109258161</v>
      </c>
      <c r="F143" s="85">
        <f t="shared" ca="1" si="207"/>
        <v>570.21637800732435</v>
      </c>
      <c r="G143" s="85">
        <f t="shared" ca="1" si="208"/>
        <v>622.64200918727727</v>
      </c>
      <c r="H143" s="85">
        <f t="shared" ca="1" si="209"/>
        <v>627.7177897462177</v>
      </c>
      <c r="I143" s="85">
        <f t="shared" ca="1" si="210"/>
        <v>666.11958334262226</v>
      </c>
      <c r="J143" s="85">
        <f t="shared" ca="1" si="211"/>
        <v>588.32833151177726</v>
      </c>
      <c r="K143" s="85">
        <f t="shared" ca="1" si="212"/>
        <v>661.40656830049193</v>
      </c>
      <c r="L143" s="85">
        <f t="shared" ca="1" si="213"/>
        <v>681.01211143582213</v>
      </c>
      <c r="M143" s="85">
        <f t="shared" ca="1" si="214"/>
        <v>499.46048777125151</v>
      </c>
      <c r="N143" s="85">
        <f t="shared" ca="1" si="215"/>
        <v>620.29748800133075</v>
      </c>
      <c r="O143" s="85">
        <f t="shared" ca="1" si="216"/>
        <v>610.38864214159321</v>
      </c>
      <c r="P143" s="85">
        <f t="shared" ca="1" si="217"/>
        <v>623.95069354150883</v>
      </c>
      <c r="Q143" s="85">
        <f t="shared" ca="1" si="218"/>
        <v>657.78654144745076</v>
      </c>
      <c r="R143" s="85">
        <f t="shared" ca="1" si="219"/>
        <v>583.74973171103443</v>
      </c>
      <c r="S143" s="85">
        <f t="shared" ca="1" si="220"/>
        <v>680.14483184848029</v>
      </c>
      <c r="T143" s="85">
        <f t="shared" ca="1" si="221"/>
        <v>635.01911302342762</v>
      </c>
      <c r="U143" s="85">
        <f t="shared" ca="1" si="222"/>
        <v>581.17977094883611</v>
      </c>
      <c r="V143" s="85">
        <f t="shared" ca="1" si="223"/>
        <v>672.12374660954356</v>
      </c>
      <c r="W143" s="85">
        <f t="shared" ca="1" si="224"/>
        <v>614.96403816555005</v>
      </c>
      <c r="X143" s="85">
        <f t="shared" ca="1" si="225"/>
        <v>655.53399058570733</v>
      </c>
      <c r="Y143" s="85">
        <f t="shared" ca="1" si="226"/>
        <v>548.54491577312274</v>
      </c>
      <c r="Z143" s="85">
        <f t="shared" ca="1" si="227"/>
        <v>645.96566418607665</v>
      </c>
      <c r="AA143" s="85">
        <f t="shared" ca="1" si="228"/>
        <v>566.82620201008376</v>
      </c>
      <c r="AB143" s="85">
        <f t="shared" ca="1" si="229"/>
        <v>714.35255249722059</v>
      </c>
      <c r="AC143" s="85">
        <f t="shared" ca="1" si="230"/>
        <v>664.05183141699956</v>
      </c>
      <c r="AD143" s="85">
        <f t="shared" ca="1" si="231"/>
        <v>694.00880904203757</v>
      </c>
      <c r="AE143" s="85">
        <f t="shared" ca="1" si="232"/>
        <v>862.6486392896951</v>
      </c>
      <c r="AF143" s="85">
        <f t="shared" ca="1" si="233"/>
        <v>576.04210773019634</v>
      </c>
      <c r="AG143" s="85">
        <f t="shared" ca="1" si="234"/>
        <v>672.69863795758533</v>
      </c>
      <c r="AH143" s="85">
        <f t="shared" ca="1" si="235"/>
        <v>543.64436293970516</v>
      </c>
      <c r="AI143" s="85">
        <f t="shared" ca="1" si="236"/>
        <v>667.11133128895153</v>
      </c>
      <c r="AJ143" s="85">
        <f t="shared" ca="1" si="237"/>
        <v>713.14789151296486</v>
      </c>
      <c r="AK143" s="85">
        <f t="shared" ca="1" si="238"/>
        <v>619.66236779330313</v>
      </c>
      <c r="AL143" s="85">
        <f t="shared" ca="1" si="239"/>
        <v>640.47269737615579</v>
      </c>
      <c r="AM143" s="85">
        <f t="shared" ca="1" si="240"/>
        <v>583.204855199402</v>
      </c>
      <c r="AN143" s="85">
        <f t="shared" ca="1" si="241"/>
        <v>646.0396506321548</v>
      </c>
      <c r="AO143" s="85">
        <f t="shared" ca="1" si="242"/>
        <v>733.30536438001138</v>
      </c>
      <c r="AP143" s="85">
        <f t="shared" ca="1" si="243"/>
        <v>698.82052916477414</v>
      </c>
      <c r="AQ143" s="85">
        <f t="shared" ca="1" si="244"/>
        <v>601.23648499630235</v>
      </c>
      <c r="AR143" s="85">
        <f t="shared" ca="1" si="245"/>
        <v>647.39560832689494</v>
      </c>
      <c r="AS143" s="85">
        <f t="shared" ca="1" si="246"/>
        <v>558.64045355580458</v>
      </c>
      <c r="AT143" s="85">
        <f t="shared" ca="1" si="247"/>
        <v>646.10871814920199</v>
      </c>
      <c r="AU143" s="85">
        <f t="shared" ca="1" si="248"/>
        <v>666.27769257144689</v>
      </c>
      <c r="AV143" s="85">
        <f t="shared" ca="1" si="249"/>
        <v>649.25212540197913</v>
      </c>
      <c r="AW143" s="85">
        <f t="shared" ca="1" si="250"/>
        <v>645.5609519242995</v>
      </c>
      <c r="AX143" s="85">
        <f t="shared" ca="1" si="251"/>
        <v>716.6036068864679</v>
      </c>
      <c r="AY143" s="85">
        <f t="shared" ca="1" si="252"/>
        <v>670.80193155401969</v>
      </c>
      <c r="AZ143" s="85">
        <f t="shared" ca="1" si="253"/>
        <v>680.19468441192635</v>
      </c>
      <c r="BA143" s="85">
        <f t="shared" ca="1" si="254"/>
        <v>692.88570186662537</v>
      </c>
      <c r="BB143" s="85">
        <f t="shared" ca="1" si="255"/>
        <v>584.68291330179648</v>
      </c>
      <c r="BC143" s="85">
        <f t="shared" ca="1" si="256"/>
        <v>648.62539977625522</v>
      </c>
      <c r="BD143" s="85">
        <f t="shared" ca="1" si="257"/>
        <v>646.93963534476723</v>
      </c>
      <c r="BE143" s="85">
        <f t="shared" ca="1" si="258"/>
        <v>584.51736961855204</v>
      </c>
      <c r="BF143" s="85">
        <f t="shared" ca="1" si="259"/>
        <v>643.45806978147232</v>
      </c>
      <c r="BG143" s="85">
        <f t="shared" ca="1" si="260"/>
        <v>563.19631277287601</v>
      </c>
      <c r="BH143" s="85">
        <f t="shared" ca="1" si="261"/>
        <v>692.5444057029689</v>
      </c>
      <c r="BI143" s="85">
        <f t="shared" ca="1" si="262"/>
        <v>586.68352404091706</v>
      </c>
      <c r="BJ143" s="85">
        <f t="shared" ca="1" si="263"/>
        <v>647.1935873101927</v>
      </c>
      <c r="BK143" s="85">
        <f t="shared" ca="1" si="264"/>
        <v>634.6185289968854</v>
      </c>
      <c r="BL143" s="85">
        <f t="shared" ca="1" si="265"/>
        <v>593.15968204611488</v>
      </c>
      <c r="BM143" s="85">
        <f t="shared" ca="1" si="266"/>
        <v>561.54410568045603</v>
      </c>
      <c r="BN143" s="85">
        <f t="shared" ca="1" si="203"/>
        <v>726.55701111552742</v>
      </c>
      <c r="BO143" s="85">
        <f t="shared" ca="1" si="292"/>
        <v>723.22976820037547</v>
      </c>
      <c r="BP143" s="85">
        <f t="shared" ca="1" si="293"/>
        <v>537.65415335701209</v>
      </c>
      <c r="BQ143" s="85">
        <f t="shared" ca="1" si="294"/>
        <v>648.66291303890091</v>
      </c>
      <c r="BR143" s="85">
        <f t="shared" ca="1" si="295"/>
        <v>581.57990798337198</v>
      </c>
      <c r="BS143" s="85">
        <f t="shared" ca="1" si="296"/>
        <v>671.45070353149515</v>
      </c>
      <c r="BT143" s="85">
        <f t="shared" ca="1" si="297"/>
        <v>681.69617840415788</v>
      </c>
      <c r="BU143" s="85">
        <f t="shared" ca="1" si="298"/>
        <v>651.87259210973548</v>
      </c>
      <c r="BV143" s="85">
        <f t="shared" ca="1" si="299"/>
        <v>613.60393772205464</v>
      </c>
      <c r="BW143" s="85">
        <f t="shared" ca="1" si="300"/>
        <v>682.22969641355712</v>
      </c>
      <c r="BX143" s="85">
        <f t="shared" ca="1" si="301"/>
        <v>674.64895457956504</v>
      </c>
      <c r="BY143" s="85">
        <f t="shared" ca="1" si="267"/>
        <v>616.60960287489922</v>
      </c>
      <c r="BZ143" s="85">
        <f t="shared" ca="1" si="268"/>
        <v>604.46535507536214</v>
      </c>
      <c r="CA143" s="85">
        <f t="shared" ca="1" si="269"/>
        <v>617.93389608526695</v>
      </c>
      <c r="CB143" s="85">
        <f t="shared" ca="1" si="270"/>
        <v>580.41001767886178</v>
      </c>
      <c r="CC143" s="85">
        <f t="shared" ca="1" si="271"/>
        <v>693.26019320794126</v>
      </c>
      <c r="CD143" s="85">
        <f t="shared" ca="1" si="272"/>
        <v>760.44642241831389</v>
      </c>
      <c r="CE143" s="85">
        <f t="shared" ca="1" si="273"/>
        <v>592.5620007794372</v>
      </c>
      <c r="CF143" s="85">
        <f t="shared" ca="1" si="274"/>
        <v>704.43620244224803</v>
      </c>
      <c r="CG143" s="85">
        <f t="shared" ca="1" si="275"/>
        <v>577.2296366185949</v>
      </c>
      <c r="CH143" s="85">
        <f t="shared" ca="1" si="276"/>
        <v>645.95971839638651</v>
      </c>
      <c r="CI143" s="85">
        <f t="shared" ca="1" si="277"/>
        <v>611.69395739982542</v>
      </c>
      <c r="CJ143" s="85">
        <f t="shared" ca="1" si="278"/>
        <v>588.62299409433217</v>
      </c>
      <c r="CK143" s="85">
        <f t="shared" ca="1" si="279"/>
        <v>623.80836638907181</v>
      </c>
      <c r="CL143" s="85">
        <f t="shared" ca="1" si="280"/>
        <v>583.97569215526335</v>
      </c>
      <c r="CM143" s="85">
        <f t="shared" ca="1" si="281"/>
        <v>688.54203579073146</v>
      </c>
      <c r="CN143" s="85">
        <f t="shared" ca="1" si="282"/>
        <v>551.50043817868925</v>
      </c>
      <c r="CO143" s="85">
        <f t="shared" ca="1" si="283"/>
        <v>557.1418897309012</v>
      </c>
      <c r="CP143" s="85">
        <f t="shared" ca="1" si="284"/>
        <v>717.21302340289139</v>
      </c>
      <c r="CQ143" s="85">
        <f t="shared" ca="1" si="285"/>
        <v>607.69671271585082</v>
      </c>
      <c r="CR143" s="85">
        <f t="shared" ca="1" si="286"/>
        <v>661.87338667255779</v>
      </c>
      <c r="CS143" s="85">
        <f t="shared" ca="1" si="287"/>
        <v>554.68968502063694</v>
      </c>
      <c r="CT143" s="85">
        <f t="shared" ca="1" si="288"/>
        <v>610.57036685445644</v>
      </c>
      <c r="CU143" s="85">
        <f t="shared" ca="1" si="289"/>
        <v>791.17165688994851</v>
      </c>
      <c r="CV143" s="85">
        <f t="shared" ca="1" si="290"/>
        <v>598.97412968966637</v>
      </c>
      <c r="CW143" s="85">
        <f t="shared" ca="1" si="291"/>
        <v>570.03095445216809</v>
      </c>
    </row>
    <row r="144" spans="1:101" x14ac:dyDescent="0.2">
      <c r="A144" s="115">
        <v>141</v>
      </c>
      <c r="B144" s="85">
        <f t="shared" ca="1" si="202"/>
        <v>544.17005370111815</v>
      </c>
      <c r="C144" s="85">
        <f t="shared" ca="1" si="204"/>
        <v>652.72941942992418</v>
      </c>
      <c r="D144" s="85">
        <f t="shared" ca="1" si="205"/>
        <v>625.86251699755383</v>
      </c>
      <c r="E144" s="85">
        <f t="shared" ca="1" si="206"/>
        <v>568.32040011110041</v>
      </c>
      <c r="F144" s="85">
        <f t="shared" ca="1" si="207"/>
        <v>578.60623606420722</v>
      </c>
      <c r="G144" s="85">
        <f t="shared" ca="1" si="208"/>
        <v>633.69348598315048</v>
      </c>
      <c r="H144" s="85">
        <f t="shared" ca="1" si="209"/>
        <v>636.45180901960566</v>
      </c>
      <c r="I144" s="85">
        <f t="shared" ca="1" si="210"/>
        <v>676.37500988945612</v>
      </c>
      <c r="J144" s="85">
        <f t="shared" ca="1" si="211"/>
        <v>590.32566254099606</v>
      </c>
      <c r="K144" s="85">
        <f t="shared" ca="1" si="212"/>
        <v>670.48636790371154</v>
      </c>
      <c r="L144" s="85">
        <f t="shared" ca="1" si="213"/>
        <v>691.80992850956295</v>
      </c>
      <c r="M144" s="85">
        <f t="shared" ca="1" si="214"/>
        <v>508.05641710868355</v>
      </c>
      <c r="N144" s="85">
        <f t="shared" ca="1" si="215"/>
        <v>625.47772718224451</v>
      </c>
      <c r="O144" s="85">
        <f t="shared" ca="1" si="216"/>
        <v>618.31087565649511</v>
      </c>
      <c r="P144" s="85">
        <f t="shared" ca="1" si="217"/>
        <v>627.4209360288686</v>
      </c>
      <c r="Q144" s="85">
        <f t="shared" ca="1" si="218"/>
        <v>671.20119823598202</v>
      </c>
      <c r="R144" s="85">
        <f t="shared" ca="1" si="219"/>
        <v>589.68231943532612</v>
      </c>
      <c r="S144" s="85">
        <f t="shared" ca="1" si="220"/>
        <v>688.07095114232334</v>
      </c>
      <c r="T144" s="85">
        <f t="shared" ca="1" si="221"/>
        <v>647.1362215504995</v>
      </c>
      <c r="U144" s="85">
        <f t="shared" ca="1" si="222"/>
        <v>597.00045564975835</v>
      </c>
      <c r="V144" s="85">
        <f t="shared" ca="1" si="223"/>
        <v>671.89215240062038</v>
      </c>
      <c r="W144" s="85">
        <f t="shared" ca="1" si="224"/>
        <v>618.51917923494079</v>
      </c>
      <c r="X144" s="85">
        <f t="shared" ca="1" si="225"/>
        <v>668.5750526752654</v>
      </c>
      <c r="Y144" s="85">
        <f t="shared" ca="1" si="226"/>
        <v>556.31937660654228</v>
      </c>
      <c r="Z144" s="85">
        <f t="shared" ca="1" si="227"/>
        <v>651.24456663615001</v>
      </c>
      <c r="AA144" s="85">
        <f t="shared" ca="1" si="228"/>
        <v>574.89133203635197</v>
      </c>
      <c r="AB144" s="85">
        <f t="shared" ca="1" si="229"/>
        <v>727.03925757261788</v>
      </c>
      <c r="AC144" s="85">
        <f t="shared" ca="1" si="230"/>
        <v>673.95367759961425</v>
      </c>
      <c r="AD144" s="85">
        <f t="shared" ca="1" si="231"/>
        <v>709.9564947912354</v>
      </c>
      <c r="AE144" s="85">
        <f t="shared" ca="1" si="232"/>
        <v>880.9823861585154</v>
      </c>
      <c r="AF144" s="85">
        <f t="shared" ca="1" si="233"/>
        <v>589.97292353768569</v>
      </c>
      <c r="AG144" s="85">
        <f t="shared" ca="1" si="234"/>
        <v>681.57753949676771</v>
      </c>
      <c r="AH144" s="85">
        <f t="shared" ca="1" si="235"/>
        <v>549.37452325341621</v>
      </c>
      <c r="AI144" s="85">
        <f t="shared" ca="1" si="236"/>
        <v>677.74461338219044</v>
      </c>
      <c r="AJ144" s="85">
        <f t="shared" ca="1" si="237"/>
        <v>720.51498445998789</v>
      </c>
      <c r="AK144" s="85">
        <f t="shared" ca="1" si="238"/>
        <v>618.31057615833015</v>
      </c>
      <c r="AL144" s="85">
        <f t="shared" ca="1" si="239"/>
        <v>652.78037628400273</v>
      </c>
      <c r="AM144" s="85">
        <f t="shared" ca="1" si="240"/>
        <v>593.56911971497072</v>
      </c>
      <c r="AN144" s="85">
        <f t="shared" ca="1" si="241"/>
        <v>650.93106759759451</v>
      </c>
      <c r="AO144" s="85">
        <f t="shared" ca="1" si="242"/>
        <v>740.36252339957525</v>
      </c>
      <c r="AP144" s="85">
        <f t="shared" ca="1" si="243"/>
        <v>707.49020130000031</v>
      </c>
      <c r="AQ144" s="85">
        <f t="shared" ca="1" si="244"/>
        <v>612.41372087182276</v>
      </c>
      <c r="AR144" s="85">
        <f t="shared" ca="1" si="245"/>
        <v>661.31510397985971</v>
      </c>
      <c r="AS144" s="85">
        <f t="shared" ca="1" si="246"/>
        <v>562.27238612877136</v>
      </c>
      <c r="AT144" s="85">
        <f t="shared" ca="1" si="247"/>
        <v>653.80049345146404</v>
      </c>
      <c r="AU144" s="85">
        <f t="shared" ca="1" si="248"/>
        <v>675.92940539759581</v>
      </c>
      <c r="AV144" s="85">
        <f t="shared" ca="1" si="249"/>
        <v>664.86336048886471</v>
      </c>
      <c r="AW144" s="85">
        <f t="shared" ca="1" si="250"/>
        <v>650.75914785868156</v>
      </c>
      <c r="AX144" s="85">
        <f t="shared" ca="1" si="251"/>
        <v>728.07541415422202</v>
      </c>
      <c r="AY144" s="85">
        <f t="shared" ca="1" si="252"/>
        <v>680.08842674341747</v>
      </c>
      <c r="AZ144" s="85">
        <f t="shared" ca="1" si="253"/>
        <v>680.61868567614215</v>
      </c>
      <c r="BA144" s="85">
        <f t="shared" ca="1" si="254"/>
        <v>696.52614211892808</v>
      </c>
      <c r="BB144" s="85">
        <f t="shared" ca="1" si="255"/>
        <v>588.90243750993238</v>
      </c>
      <c r="BC144" s="85">
        <f t="shared" ca="1" si="256"/>
        <v>649.47504054891499</v>
      </c>
      <c r="BD144" s="85">
        <f t="shared" ca="1" si="257"/>
        <v>658.17572309694754</v>
      </c>
      <c r="BE144" s="85">
        <f t="shared" ca="1" si="258"/>
        <v>594.54910415913764</v>
      </c>
      <c r="BF144" s="85">
        <f t="shared" ca="1" si="259"/>
        <v>654.79178666131793</v>
      </c>
      <c r="BG144" s="85">
        <f t="shared" ca="1" si="260"/>
        <v>574.56869274694634</v>
      </c>
      <c r="BH144" s="85">
        <f t="shared" ca="1" si="261"/>
        <v>703.72697532716336</v>
      </c>
      <c r="BI144" s="85">
        <f t="shared" ca="1" si="262"/>
        <v>595.59978905148421</v>
      </c>
      <c r="BJ144" s="85">
        <f t="shared" ca="1" si="263"/>
        <v>653.18340725302926</v>
      </c>
      <c r="BK144" s="85">
        <f t="shared" ca="1" si="264"/>
        <v>639.3474397485096</v>
      </c>
      <c r="BL144" s="85">
        <f t="shared" ca="1" si="265"/>
        <v>597.42251238681797</v>
      </c>
      <c r="BM144" s="85">
        <f t="shared" ca="1" si="266"/>
        <v>574.20304261071954</v>
      </c>
      <c r="BN144" s="85">
        <f t="shared" ca="1" si="203"/>
        <v>739.81056948072228</v>
      </c>
      <c r="BO144" s="85">
        <f t="shared" ca="1" si="292"/>
        <v>741.50221652358709</v>
      </c>
      <c r="BP144" s="85">
        <f t="shared" ca="1" si="293"/>
        <v>546.79663636406542</v>
      </c>
      <c r="BQ144" s="85">
        <f t="shared" ca="1" si="294"/>
        <v>654.0794446833695</v>
      </c>
      <c r="BR144" s="85">
        <f t="shared" ca="1" si="295"/>
        <v>595.29054767809453</v>
      </c>
      <c r="BS144" s="85">
        <f t="shared" ca="1" si="296"/>
        <v>673.73696976843553</v>
      </c>
      <c r="BT144" s="85">
        <f t="shared" ca="1" si="297"/>
        <v>692.16950961709404</v>
      </c>
      <c r="BU144" s="85">
        <f t="shared" ca="1" si="298"/>
        <v>656.79332679851439</v>
      </c>
      <c r="BV144" s="85">
        <f t="shared" ca="1" si="299"/>
        <v>623.44442417988239</v>
      </c>
      <c r="BW144" s="85">
        <f t="shared" ca="1" si="300"/>
        <v>689.16656096031966</v>
      </c>
      <c r="BX144" s="85">
        <f t="shared" ca="1" si="301"/>
        <v>681.92731358579294</v>
      </c>
      <c r="BY144" s="85">
        <f t="shared" ca="1" si="267"/>
        <v>628.0947683618881</v>
      </c>
      <c r="BZ144" s="85">
        <f t="shared" ca="1" si="268"/>
        <v>613.38157643205807</v>
      </c>
      <c r="CA144" s="85">
        <f t="shared" ca="1" si="269"/>
        <v>625.7291971887488</v>
      </c>
      <c r="CB144" s="85">
        <f t="shared" ca="1" si="270"/>
        <v>584.714407251333</v>
      </c>
      <c r="CC144" s="85">
        <f t="shared" ca="1" si="271"/>
        <v>711.02983468229638</v>
      </c>
      <c r="CD144" s="85">
        <f t="shared" ca="1" si="272"/>
        <v>762.79684713238657</v>
      </c>
      <c r="CE144" s="85">
        <f t="shared" ca="1" si="273"/>
        <v>603.82143702841461</v>
      </c>
      <c r="CF144" s="85">
        <f t="shared" ca="1" si="274"/>
        <v>710.4069893545319</v>
      </c>
      <c r="CG144" s="85">
        <f t="shared" ca="1" si="275"/>
        <v>585.39122601786983</v>
      </c>
      <c r="CH144" s="85">
        <f t="shared" ca="1" si="276"/>
        <v>654.71296112819368</v>
      </c>
      <c r="CI144" s="85">
        <f t="shared" ca="1" si="277"/>
        <v>618.40589548069215</v>
      </c>
      <c r="CJ144" s="85">
        <f t="shared" ca="1" si="278"/>
        <v>598.16779047800969</v>
      </c>
      <c r="CK144" s="85">
        <f t="shared" ca="1" si="279"/>
        <v>628.64029992283906</v>
      </c>
      <c r="CL144" s="85">
        <f t="shared" ca="1" si="280"/>
        <v>596.73734455746774</v>
      </c>
      <c r="CM144" s="85">
        <f t="shared" ca="1" si="281"/>
        <v>697.9594481816373</v>
      </c>
      <c r="CN144" s="85">
        <f t="shared" ca="1" si="282"/>
        <v>557.03631719683631</v>
      </c>
      <c r="CO144" s="85">
        <f t="shared" ca="1" si="283"/>
        <v>561.85095001895377</v>
      </c>
      <c r="CP144" s="85">
        <f t="shared" ca="1" si="284"/>
        <v>726.4199432612229</v>
      </c>
      <c r="CQ144" s="85">
        <f t="shared" ca="1" si="285"/>
        <v>616.9274452620441</v>
      </c>
      <c r="CR144" s="85">
        <f t="shared" ca="1" si="286"/>
        <v>671.16579587429112</v>
      </c>
      <c r="CS144" s="85">
        <f t="shared" ca="1" si="287"/>
        <v>565.55897189267512</v>
      </c>
      <c r="CT144" s="85">
        <f t="shared" ca="1" si="288"/>
        <v>617.35486547835319</v>
      </c>
      <c r="CU144" s="85">
        <f t="shared" ca="1" si="289"/>
        <v>803.24198857559088</v>
      </c>
      <c r="CV144" s="85">
        <f t="shared" ca="1" si="290"/>
        <v>606.28972347614069</v>
      </c>
      <c r="CW144" s="85">
        <f t="shared" ca="1" si="291"/>
        <v>578.74653171613897</v>
      </c>
    </row>
    <row r="145" spans="1:101" x14ac:dyDescent="0.2">
      <c r="A145" s="115">
        <v>142</v>
      </c>
      <c r="B145" s="85">
        <f t="shared" ca="1" si="202"/>
        <v>541.52409697886856</v>
      </c>
      <c r="C145" s="85">
        <f t="shared" ca="1" si="204"/>
        <v>658.84281411763607</v>
      </c>
      <c r="D145" s="85">
        <f t="shared" ca="1" si="205"/>
        <v>625.70569933591844</v>
      </c>
      <c r="E145" s="85">
        <f t="shared" ca="1" si="206"/>
        <v>571.11429482542542</v>
      </c>
      <c r="F145" s="85">
        <f t="shared" ca="1" si="207"/>
        <v>582.9784833163078</v>
      </c>
      <c r="G145" s="85">
        <f t="shared" ca="1" si="208"/>
        <v>637.48184941203056</v>
      </c>
      <c r="H145" s="85">
        <f t="shared" ca="1" si="209"/>
        <v>641.00889261383838</v>
      </c>
      <c r="I145" s="85">
        <f t="shared" ca="1" si="210"/>
        <v>690.97298123147016</v>
      </c>
      <c r="J145" s="85">
        <f t="shared" ca="1" si="211"/>
        <v>597.00460541870291</v>
      </c>
      <c r="K145" s="85">
        <f t="shared" ca="1" si="212"/>
        <v>683.87773056327273</v>
      </c>
      <c r="L145" s="85">
        <f t="shared" ca="1" si="213"/>
        <v>701.79088340593148</v>
      </c>
      <c r="M145" s="85">
        <f t="shared" ca="1" si="214"/>
        <v>512.24848553532968</v>
      </c>
      <c r="N145" s="85">
        <f t="shared" ca="1" si="215"/>
        <v>627.96165116964778</v>
      </c>
      <c r="O145" s="85">
        <f t="shared" ca="1" si="216"/>
        <v>621.06493216622732</v>
      </c>
      <c r="P145" s="85">
        <f t="shared" ca="1" si="217"/>
        <v>634.37648186151966</v>
      </c>
      <c r="Q145" s="85">
        <f t="shared" ca="1" si="218"/>
        <v>679.91829502319285</v>
      </c>
      <c r="R145" s="85">
        <f t="shared" ca="1" si="219"/>
        <v>605.97627338081418</v>
      </c>
      <c r="S145" s="85">
        <f t="shared" ca="1" si="220"/>
        <v>692.62545698244776</v>
      </c>
      <c r="T145" s="85">
        <f t="shared" ca="1" si="221"/>
        <v>652.7372074800777</v>
      </c>
      <c r="U145" s="85">
        <f t="shared" ca="1" si="222"/>
        <v>600.89968251152095</v>
      </c>
      <c r="V145" s="85">
        <f t="shared" ca="1" si="223"/>
        <v>683.36878967279995</v>
      </c>
      <c r="W145" s="85">
        <f t="shared" ca="1" si="224"/>
        <v>634.01703167429321</v>
      </c>
      <c r="X145" s="85">
        <f t="shared" ca="1" si="225"/>
        <v>669.80611600545092</v>
      </c>
      <c r="Y145" s="85">
        <f t="shared" ca="1" si="226"/>
        <v>563.39138133264828</v>
      </c>
      <c r="Z145" s="85">
        <f t="shared" ca="1" si="227"/>
        <v>657.51515559206769</v>
      </c>
      <c r="AA145" s="85">
        <f t="shared" ca="1" si="228"/>
        <v>577.52612517718819</v>
      </c>
      <c r="AB145" s="85">
        <f t="shared" ca="1" si="229"/>
        <v>734.51824922604692</v>
      </c>
      <c r="AC145" s="85">
        <f t="shared" ca="1" si="230"/>
        <v>672.98118240998917</v>
      </c>
      <c r="AD145" s="85">
        <f t="shared" ca="1" si="231"/>
        <v>716.96302412645343</v>
      </c>
      <c r="AE145" s="85">
        <f t="shared" ca="1" si="232"/>
        <v>885.7595849607203</v>
      </c>
      <c r="AF145" s="85">
        <f t="shared" ca="1" si="233"/>
        <v>600.17983824999897</v>
      </c>
      <c r="AG145" s="85">
        <f t="shared" ca="1" si="234"/>
        <v>690.89032414658277</v>
      </c>
      <c r="AH145" s="85">
        <f t="shared" ca="1" si="235"/>
        <v>557.89907155775416</v>
      </c>
      <c r="AI145" s="85">
        <f t="shared" ca="1" si="236"/>
        <v>679.53802556808432</v>
      </c>
      <c r="AJ145" s="85">
        <f t="shared" ca="1" si="237"/>
        <v>729.33405554739966</v>
      </c>
      <c r="AK145" s="85">
        <f t="shared" ca="1" si="238"/>
        <v>628.00823589542824</v>
      </c>
      <c r="AL145" s="85">
        <f t="shared" ca="1" si="239"/>
        <v>662.31845291521347</v>
      </c>
      <c r="AM145" s="85">
        <f t="shared" ca="1" si="240"/>
        <v>598.46773665674255</v>
      </c>
      <c r="AN145" s="85">
        <f t="shared" ca="1" si="241"/>
        <v>662.54536285466406</v>
      </c>
      <c r="AO145" s="85">
        <f t="shared" ca="1" si="242"/>
        <v>751.41364855982397</v>
      </c>
      <c r="AP145" s="85">
        <f t="shared" ca="1" si="243"/>
        <v>721.40689416726195</v>
      </c>
      <c r="AQ145" s="85">
        <f t="shared" ca="1" si="244"/>
        <v>621.95788229457401</v>
      </c>
      <c r="AR145" s="85">
        <f t="shared" ca="1" si="245"/>
        <v>672.33212403357072</v>
      </c>
      <c r="AS145" s="85">
        <f t="shared" ca="1" si="246"/>
        <v>569.96944614612789</v>
      </c>
      <c r="AT145" s="85">
        <f t="shared" ca="1" si="247"/>
        <v>656.95370982905786</v>
      </c>
      <c r="AU145" s="85">
        <f t="shared" ca="1" si="248"/>
        <v>686.65898804809456</v>
      </c>
      <c r="AV145" s="85">
        <f t="shared" ca="1" si="249"/>
        <v>678.44037392888265</v>
      </c>
      <c r="AW145" s="85">
        <f t="shared" ca="1" si="250"/>
        <v>661.47493809023342</v>
      </c>
      <c r="AX145" s="85">
        <f t="shared" ca="1" si="251"/>
        <v>744.62289716306793</v>
      </c>
      <c r="AY145" s="85">
        <f t="shared" ca="1" si="252"/>
        <v>685.93853528371187</v>
      </c>
      <c r="AZ145" s="85">
        <f t="shared" ca="1" si="253"/>
        <v>695.49024767904484</v>
      </c>
      <c r="BA145" s="85">
        <f t="shared" ca="1" si="254"/>
        <v>711.57141050671089</v>
      </c>
      <c r="BB145" s="85">
        <f t="shared" ca="1" si="255"/>
        <v>599.08585325335753</v>
      </c>
      <c r="BC145" s="85">
        <f t="shared" ca="1" si="256"/>
        <v>649.85452718908482</v>
      </c>
      <c r="BD145" s="85">
        <f t="shared" ca="1" si="257"/>
        <v>667.35255256496862</v>
      </c>
      <c r="BE145" s="85">
        <f t="shared" ca="1" si="258"/>
        <v>601.28287822370362</v>
      </c>
      <c r="BF145" s="85">
        <f t="shared" ca="1" si="259"/>
        <v>663.84381278304511</v>
      </c>
      <c r="BG145" s="85">
        <f t="shared" ca="1" si="260"/>
        <v>583.51704093827163</v>
      </c>
      <c r="BH145" s="85">
        <f t="shared" ca="1" si="261"/>
        <v>704.19295755116013</v>
      </c>
      <c r="BI145" s="85">
        <f t="shared" ca="1" si="262"/>
        <v>599.14089600642376</v>
      </c>
      <c r="BJ145" s="85">
        <f t="shared" ca="1" si="263"/>
        <v>660.36010884222799</v>
      </c>
      <c r="BK145" s="85">
        <f t="shared" ca="1" si="264"/>
        <v>649.67117358098164</v>
      </c>
      <c r="BL145" s="85">
        <f t="shared" ca="1" si="265"/>
        <v>608.26247469238069</v>
      </c>
      <c r="BM145" s="85">
        <f t="shared" ca="1" si="266"/>
        <v>588.19846026801451</v>
      </c>
      <c r="BN145" s="85">
        <f t="shared" ca="1" si="203"/>
        <v>752.2462593079772</v>
      </c>
      <c r="BO145" s="85">
        <f t="shared" ca="1" si="292"/>
        <v>759.21975603386909</v>
      </c>
      <c r="BP145" s="85">
        <f t="shared" ca="1" si="293"/>
        <v>560.36699806101535</v>
      </c>
      <c r="BQ145" s="85">
        <f t="shared" ca="1" si="294"/>
        <v>672.11217319557716</v>
      </c>
      <c r="BR145" s="85">
        <f t="shared" ca="1" si="295"/>
        <v>601.16626984944639</v>
      </c>
      <c r="BS145" s="85">
        <f t="shared" ca="1" si="296"/>
        <v>685.75660765461691</v>
      </c>
      <c r="BT145" s="85">
        <f t="shared" ca="1" si="297"/>
        <v>707.35476986896481</v>
      </c>
      <c r="BU145" s="85">
        <f t="shared" ca="1" si="298"/>
        <v>673.00886899106763</v>
      </c>
      <c r="BV145" s="85">
        <f t="shared" ca="1" si="299"/>
        <v>630.04097560490015</v>
      </c>
      <c r="BW145" s="85">
        <f t="shared" ca="1" si="300"/>
        <v>701.62947092759305</v>
      </c>
      <c r="BX145" s="85">
        <f t="shared" ca="1" si="301"/>
        <v>683.47664319567923</v>
      </c>
      <c r="BY145" s="85">
        <f t="shared" ca="1" si="267"/>
        <v>627.38084007477653</v>
      </c>
      <c r="BZ145" s="85">
        <f t="shared" ca="1" si="268"/>
        <v>615.49069826132484</v>
      </c>
      <c r="CA145" s="85">
        <f t="shared" ca="1" si="269"/>
        <v>628.84851951277392</v>
      </c>
      <c r="CB145" s="85">
        <f t="shared" ca="1" si="270"/>
        <v>592.70330123400004</v>
      </c>
      <c r="CC145" s="85">
        <f t="shared" ca="1" si="271"/>
        <v>729.8455788987219</v>
      </c>
      <c r="CD145" s="85">
        <f t="shared" ca="1" si="272"/>
        <v>771.31193099515724</v>
      </c>
      <c r="CE145" s="85">
        <f t="shared" ca="1" si="273"/>
        <v>606.25116970153545</v>
      </c>
      <c r="CF145" s="85">
        <f t="shared" ca="1" si="274"/>
        <v>724.67864022052663</v>
      </c>
      <c r="CG145" s="85">
        <f t="shared" ca="1" si="275"/>
        <v>592.21226520135781</v>
      </c>
      <c r="CH145" s="85">
        <f t="shared" ca="1" si="276"/>
        <v>665.67052860044396</v>
      </c>
      <c r="CI145" s="85">
        <f t="shared" ca="1" si="277"/>
        <v>625.23745665874003</v>
      </c>
      <c r="CJ145" s="85">
        <f t="shared" ca="1" si="278"/>
        <v>607.87977456080603</v>
      </c>
      <c r="CK145" s="85">
        <f t="shared" ca="1" si="279"/>
        <v>640.28203409917683</v>
      </c>
      <c r="CL145" s="85">
        <f t="shared" ca="1" si="280"/>
        <v>604.68160327367752</v>
      </c>
      <c r="CM145" s="85">
        <f t="shared" ca="1" si="281"/>
        <v>710.98884032300305</v>
      </c>
      <c r="CN145" s="85">
        <f t="shared" ca="1" si="282"/>
        <v>560.94348181172995</v>
      </c>
      <c r="CO145" s="85">
        <f t="shared" ca="1" si="283"/>
        <v>574.04476190666765</v>
      </c>
      <c r="CP145" s="85">
        <f t="shared" ca="1" si="284"/>
        <v>731.78005423315233</v>
      </c>
      <c r="CQ145" s="85">
        <f t="shared" ca="1" si="285"/>
        <v>621.84476728657114</v>
      </c>
      <c r="CR145" s="85">
        <f t="shared" ca="1" si="286"/>
        <v>676.45065738135736</v>
      </c>
      <c r="CS145" s="85">
        <f t="shared" ca="1" si="287"/>
        <v>573.73031821882762</v>
      </c>
      <c r="CT145" s="85">
        <f t="shared" ca="1" si="288"/>
        <v>621.43337239228242</v>
      </c>
      <c r="CU145" s="85">
        <f t="shared" ca="1" si="289"/>
        <v>820.97635360248103</v>
      </c>
      <c r="CV145" s="85">
        <f t="shared" ca="1" si="290"/>
        <v>605.98143758015794</v>
      </c>
      <c r="CW145" s="85">
        <f t="shared" ca="1" si="291"/>
        <v>587.06988775337732</v>
      </c>
    </row>
    <row r="146" spans="1:101" x14ac:dyDescent="0.2">
      <c r="A146" s="115">
        <v>143</v>
      </c>
      <c r="B146" s="85">
        <f t="shared" ca="1" si="202"/>
        <v>543.47131853987071</v>
      </c>
      <c r="C146" s="85">
        <f t="shared" ca="1" si="204"/>
        <v>665.41222171799211</v>
      </c>
      <c r="D146" s="85">
        <f t="shared" ca="1" si="205"/>
        <v>633.25806807798267</v>
      </c>
      <c r="E146" s="85">
        <f t="shared" ca="1" si="206"/>
        <v>578.36719789818778</v>
      </c>
      <c r="F146" s="85">
        <f t="shared" ca="1" si="207"/>
        <v>585.82846684329297</v>
      </c>
      <c r="G146" s="85">
        <f t="shared" ca="1" si="208"/>
        <v>651.30939583963891</v>
      </c>
      <c r="H146" s="85">
        <f t="shared" ca="1" si="209"/>
        <v>649.95046982076622</v>
      </c>
      <c r="I146" s="85">
        <f t="shared" ca="1" si="210"/>
        <v>705.12301051017857</v>
      </c>
      <c r="J146" s="85">
        <f t="shared" ca="1" si="211"/>
        <v>614.0438043335846</v>
      </c>
      <c r="K146" s="85">
        <f t="shared" ca="1" si="212"/>
        <v>695.67657659885697</v>
      </c>
      <c r="L146" s="85">
        <f t="shared" ca="1" si="213"/>
        <v>700.73600884111602</v>
      </c>
      <c r="M146" s="85">
        <f t="shared" ca="1" si="214"/>
        <v>521.67374357980816</v>
      </c>
      <c r="N146" s="85">
        <f t="shared" ca="1" si="215"/>
        <v>632.2568398949528</v>
      </c>
      <c r="O146" s="85">
        <f t="shared" ca="1" si="216"/>
        <v>625.97460713878752</v>
      </c>
      <c r="P146" s="85">
        <f t="shared" ca="1" si="217"/>
        <v>634.45121249090539</v>
      </c>
      <c r="Q146" s="85">
        <f t="shared" ca="1" si="218"/>
        <v>700.62600839386778</v>
      </c>
      <c r="R146" s="85">
        <f t="shared" ca="1" si="219"/>
        <v>613.84993154604638</v>
      </c>
      <c r="S146" s="85">
        <f t="shared" ca="1" si="220"/>
        <v>690.95805581135551</v>
      </c>
      <c r="T146" s="85">
        <f t="shared" ca="1" si="221"/>
        <v>663.47313262021976</v>
      </c>
      <c r="U146" s="85">
        <f t="shared" ca="1" si="222"/>
        <v>610.07509445855078</v>
      </c>
      <c r="V146" s="85">
        <f t="shared" ca="1" si="223"/>
        <v>700.55669498849022</v>
      </c>
      <c r="W146" s="85">
        <f t="shared" ca="1" si="224"/>
        <v>641.59745526904237</v>
      </c>
      <c r="X146" s="85">
        <f t="shared" ca="1" si="225"/>
        <v>685.27577376087982</v>
      </c>
      <c r="Y146" s="85">
        <f t="shared" ca="1" si="226"/>
        <v>576.2088607655927</v>
      </c>
      <c r="Z146" s="85">
        <f t="shared" ca="1" si="227"/>
        <v>666.69993706548155</v>
      </c>
      <c r="AA146" s="85">
        <f t="shared" ca="1" si="228"/>
        <v>578.22797381897067</v>
      </c>
      <c r="AB146" s="85">
        <f t="shared" ca="1" si="229"/>
        <v>740.03867434296023</v>
      </c>
      <c r="AC146" s="85">
        <f t="shared" ca="1" si="230"/>
        <v>680.3995552585377</v>
      </c>
      <c r="AD146" s="85">
        <f t="shared" ca="1" si="231"/>
        <v>727.11412580839658</v>
      </c>
      <c r="AE146" s="85">
        <f t="shared" ca="1" si="232"/>
        <v>890.19417620661102</v>
      </c>
      <c r="AF146" s="85">
        <f t="shared" ca="1" si="233"/>
        <v>603.37369787982004</v>
      </c>
      <c r="AG146" s="85">
        <f t="shared" ca="1" si="234"/>
        <v>701.16520979546306</v>
      </c>
      <c r="AH146" s="85">
        <f t="shared" ca="1" si="235"/>
        <v>570.26357241780977</v>
      </c>
      <c r="AI146" s="85">
        <f t="shared" ca="1" si="236"/>
        <v>683.814314376271</v>
      </c>
      <c r="AJ146" s="85">
        <f t="shared" ca="1" si="237"/>
        <v>739.14643154359578</v>
      </c>
      <c r="AK146" s="85">
        <f t="shared" ca="1" si="238"/>
        <v>636.89287877974334</v>
      </c>
      <c r="AL146" s="85">
        <f t="shared" ca="1" si="239"/>
        <v>673.59242832165955</v>
      </c>
      <c r="AM146" s="85">
        <f t="shared" ca="1" si="240"/>
        <v>605.65321704850635</v>
      </c>
      <c r="AN146" s="85">
        <f t="shared" ca="1" si="241"/>
        <v>670.01884183762763</v>
      </c>
      <c r="AO146" s="85">
        <f t="shared" ca="1" si="242"/>
        <v>756.44650442643717</v>
      </c>
      <c r="AP146" s="85">
        <f t="shared" ca="1" si="243"/>
        <v>723.53417752740393</v>
      </c>
      <c r="AQ146" s="85">
        <f t="shared" ca="1" si="244"/>
        <v>628.34737021910598</v>
      </c>
      <c r="AR146" s="85">
        <f t="shared" ca="1" si="245"/>
        <v>679.78303159003576</v>
      </c>
      <c r="AS146" s="85">
        <f t="shared" ca="1" si="246"/>
        <v>575.87140160250169</v>
      </c>
      <c r="AT146" s="85">
        <f t="shared" ca="1" si="247"/>
        <v>668.59337367547425</v>
      </c>
      <c r="AU146" s="85">
        <f t="shared" ca="1" si="248"/>
        <v>699.19103094358263</v>
      </c>
      <c r="AV146" s="85">
        <f t="shared" ca="1" si="249"/>
        <v>686.44373278281068</v>
      </c>
      <c r="AW146" s="85">
        <f t="shared" ca="1" si="250"/>
        <v>669.16916231071082</v>
      </c>
      <c r="AX146" s="85">
        <f t="shared" ca="1" si="251"/>
        <v>755.8294883913187</v>
      </c>
      <c r="AY146" s="85">
        <f t="shared" ca="1" si="252"/>
        <v>700.63194777287799</v>
      </c>
      <c r="AZ146" s="85">
        <f t="shared" ca="1" si="253"/>
        <v>703.26348997598427</v>
      </c>
      <c r="BA146" s="85">
        <f t="shared" ca="1" si="254"/>
        <v>726.58264812157904</v>
      </c>
      <c r="BB146" s="85">
        <f t="shared" ca="1" si="255"/>
        <v>608.43336742075667</v>
      </c>
      <c r="BC146" s="85">
        <f t="shared" ca="1" si="256"/>
        <v>660.45692565433217</v>
      </c>
      <c r="BD146" s="85">
        <f t="shared" ca="1" si="257"/>
        <v>690.59931473674521</v>
      </c>
      <c r="BE146" s="85">
        <f t="shared" ca="1" si="258"/>
        <v>607.35764075997213</v>
      </c>
      <c r="BF146" s="85">
        <f t="shared" ca="1" si="259"/>
        <v>666.90501134874205</v>
      </c>
      <c r="BG146" s="85">
        <f t="shared" ca="1" si="260"/>
        <v>591.62410221248319</v>
      </c>
      <c r="BH146" s="85">
        <f t="shared" ca="1" si="261"/>
        <v>717.22950234720349</v>
      </c>
      <c r="BI146" s="85">
        <f t="shared" ca="1" si="262"/>
        <v>608.84823115663858</v>
      </c>
      <c r="BJ146" s="85">
        <f t="shared" ca="1" si="263"/>
        <v>668.57463133393128</v>
      </c>
      <c r="BK146" s="85">
        <f t="shared" ca="1" si="264"/>
        <v>647.08177721827064</v>
      </c>
      <c r="BL146" s="85">
        <f t="shared" ca="1" si="265"/>
        <v>610.76894754211776</v>
      </c>
      <c r="BM146" s="85">
        <f t="shared" ca="1" si="266"/>
        <v>595.70358144637407</v>
      </c>
      <c r="BN146" s="85">
        <f t="shared" ca="1" si="203"/>
        <v>767.9635584302207</v>
      </c>
      <c r="BO146" s="85">
        <f t="shared" ca="1" si="292"/>
        <v>768.99923696288556</v>
      </c>
      <c r="BP146" s="85">
        <f t="shared" ca="1" si="293"/>
        <v>568.27289078328624</v>
      </c>
      <c r="BQ146" s="85">
        <f t="shared" ca="1" si="294"/>
        <v>677.42513390037072</v>
      </c>
      <c r="BR146" s="85">
        <f t="shared" ca="1" si="295"/>
        <v>610.2002388549347</v>
      </c>
      <c r="BS146" s="85">
        <f t="shared" ca="1" si="296"/>
        <v>688.42157599945688</v>
      </c>
      <c r="BT146" s="85">
        <f t="shared" ca="1" si="297"/>
        <v>716.98373153648708</v>
      </c>
      <c r="BU146" s="85">
        <f t="shared" ca="1" si="298"/>
        <v>683.67619971524243</v>
      </c>
      <c r="BV146" s="85">
        <f t="shared" ca="1" si="299"/>
        <v>634.15356654985487</v>
      </c>
      <c r="BW146" s="85">
        <f t="shared" ca="1" si="300"/>
        <v>704.90907831857385</v>
      </c>
      <c r="BX146" s="85">
        <f t="shared" ca="1" si="301"/>
        <v>702.72635468681653</v>
      </c>
      <c r="BY146" s="85">
        <f t="shared" ca="1" si="267"/>
        <v>637.12632654295783</v>
      </c>
      <c r="BZ146" s="85">
        <f t="shared" ca="1" si="268"/>
        <v>627.9526253907012</v>
      </c>
      <c r="CA146" s="85">
        <f t="shared" ca="1" si="269"/>
        <v>642.36132607937986</v>
      </c>
      <c r="CB146" s="85">
        <f t="shared" ca="1" si="270"/>
        <v>601.55519227700302</v>
      </c>
      <c r="CC146" s="85">
        <f t="shared" ca="1" si="271"/>
        <v>735.71042899274414</v>
      </c>
      <c r="CD146" s="85">
        <f t="shared" ca="1" si="272"/>
        <v>786.20230502810318</v>
      </c>
      <c r="CE146" s="85">
        <f t="shared" ca="1" si="273"/>
        <v>614.64321308424462</v>
      </c>
      <c r="CF146" s="85">
        <f t="shared" ca="1" si="274"/>
        <v>742.40746482780878</v>
      </c>
      <c r="CG146" s="85">
        <f t="shared" ca="1" si="275"/>
        <v>604.92220457291762</v>
      </c>
      <c r="CH146" s="85">
        <f t="shared" ca="1" si="276"/>
        <v>671.56346021763227</v>
      </c>
      <c r="CI146" s="85">
        <f t="shared" ca="1" si="277"/>
        <v>631.63067401965543</v>
      </c>
      <c r="CJ146" s="85">
        <f t="shared" ca="1" si="278"/>
        <v>618.81424198376658</v>
      </c>
      <c r="CK146" s="85">
        <f t="shared" ca="1" si="279"/>
        <v>646.29293383737274</v>
      </c>
      <c r="CL146" s="85">
        <f t="shared" ca="1" si="280"/>
        <v>606.62432575693322</v>
      </c>
      <c r="CM146" s="85">
        <f t="shared" ca="1" si="281"/>
        <v>724.25228481328691</v>
      </c>
      <c r="CN146" s="85">
        <f t="shared" ca="1" si="282"/>
        <v>576.94849919119804</v>
      </c>
      <c r="CO146" s="85">
        <f t="shared" ca="1" si="283"/>
        <v>583.73686722048535</v>
      </c>
      <c r="CP146" s="85">
        <f t="shared" ca="1" si="284"/>
        <v>745.66033779238182</v>
      </c>
      <c r="CQ146" s="85">
        <f t="shared" ca="1" si="285"/>
        <v>631.97415437610732</v>
      </c>
      <c r="CR146" s="85">
        <f t="shared" ca="1" si="286"/>
        <v>681.93874515564062</v>
      </c>
      <c r="CS146" s="85">
        <f t="shared" ca="1" si="287"/>
        <v>586.67601696201996</v>
      </c>
      <c r="CT146" s="85">
        <f t="shared" ca="1" si="288"/>
        <v>630.01637890248503</v>
      </c>
      <c r="CU146" s="85">
        <f t="shared" ca="1" si="289"/>
        <v>837.05528045475887</v>
      </c>
      <c r="CV146" s="85">
        <f t="shared" ca="1" si="290"/>
        <v>619.60284691998504</v>
      </c>
      <c r="CW146" s="85">
        <f t="shared" ca="1" si="291"/>
        <v>597.75252283532802</v>
      </c>
    </row>
    <row r="147" spans="1:101" x14ac:dyDescent="0.2">
      <c r="A147" s="115">
        <v>144</v>
      </c>
      <c r="B147" s="85">
        <f t="shared" ca="1" si="202"/>
        <v>547.93987625004445</v>
      </c>
      <c r="C147" s="85">
        <f t="shared" ca="1" si="204"/>
        <v>677.26865080455968</v>
      </c>
      <c r="D147" s="85">
        <f t="shared" ca="1" si="205"/>
        <v>640.0105898155382</v>
      </c>
      <c r="E147" s="85">
        <f t="shared" ca="1" si="206"/>
        <v>595.20994621965588</v>
      </c>
      <c r="F147" s="85">
        <f t="shared" ca="1" si="207"/>
        <v>598.76424592752892</v>
      </c>
      <c r="G147" s="85">
        <f t="shared" ca="1" si="208"/>
        <v>660.92588214567809</v>
      </c>
      <c r="H147" s="85">
        <f t="shared" ca="1" si="209"/>
        <v>665.26015500126255</v>
      </c>
      <c r="I147" s="85">
        <f t="shared" ca="1" si="210"/>
        <v>713.36839527097413</v>
      </c>
      <c r="J147" s="85">
        <f t="shared" ca="1" si="211"/>
        <v>621.78289372774736</v>
      </c>
      <c r="K147" s="85">
        <f t="shared" ca="1" si="212"/>
        <v>702.85834437942219</v>
      </c>
      <c r="L147" s="85">
        <f t="shared" ca="1" si="213"/>
        <v>708.97994977855819</v>
      </c>
      <c r="M147" s="85">
        <f t="shared" ca="1" si="214"/>
        <v>524.69033657912451</v>
      </c>
      <c r="N147" s="85">
        <f t="shared" ca="1" si="215"/>
        <v>642.164495357237</v>
      </c>
      <c r="O147" s="85">
        <f t="shared" ca="1" si="216"/>
        <v>627.23938763413173</v>
      </c>
      <c r="P147" s="85">
        <f t="shared" ca="1" si="217"/>
        <v>644.38395185416232</v>
      </c>
      <c r="Q147" s="85">
        <f t="shared" ca="1" si="218"/>
        <v>711.03889592821497</v>
      </c>
      <c r="R147" s="85">
        <f t="shared" ca="1" si="219"/>
        <v>617.41852551843147</v>
      </c>
      <c r="S147" s="85">
        <f t="shared" ca="1" si="220"/>
        <v>695.30602363870969</v>
      </c>
      <c r="T147" s="85">
        <f t="shared" ca="1" si="221"/>
        <v>673.41834601476614</v>
      </c>
      <c r="U147" s="85">
        <f t="shared" ca="1" si="222"/>
        <v>622.39215801250805</v>
      </c>
      <c r="V147" s="85">
        <f t="shared" ca="1" si="223"/>
        <v>717.59865788522802</v>
      </c>
      <c r="W147" s="85">
        <f t="shared" ca="1" si="224"/>
        <v>650.85296970351351</v>
      </c>
      <c r="X147" s="85">
        <f t="shared" ca="1" si="225"/>
        <v>699.46092118163165</v>
      </c>
      <c r="Y147" s="85">
        <f t="shared" ca="1" si="226"/>
        <v>587.95671317282006</v>
      </c>
      <c r="Z147" s="85">
        <f t="shared" ca="1" si="227"/>
        <v>670.9279099581064</v>
      </c>
      <c r="AA147" s="85">
        <f t="shared" ca="1" si="228"/>
        <v>582.1061635178404</v>
      </c>
      <c r="AB147" s="85">
        <f t="shared" ca="1" si="229"/>
        <v>740.39184648588389</v>
      </c>
      <c r="AC147" s="85">
        <f t="shared" ca="1" si="230"/>
        <v>685.18188485473934</v>
      </c>
      <c r="AD147" s="85">
        <f t="shared" ca="1" si="231"/>
        <v>735.75275219134562</v>
      </c>
      <c r="AE147" s="85">
        <f t="shared" ca="1" si="232"/>
        <v>905.60207538637053</v>
      </c>
      <c r="AF147" s="85">
        <f t="shared" ca="1" si="233"/>
        <v>607.89243390525507</v>
      </c>
      <c r="AG147" s="85">
        <f t="shared" ca="1" si="234"/>
        <v>715.30401767677768</v>
      </c>
      <c r="AH147" s="85">
        <f t="shared" ca="1" si="235"/>
        <v>583.18594341776543</v>
      </c>
      <c r="AI147" s="85">
        <f t="shared" ca="1" si="236"/>
        <v>694.49591353563517</v>
      </c>
      <c r="AJ147" s="85">
        <f t="shared" ca="1" si="237"/>
        <v>744.85993210968206</v>
      </c>
      <c r="AK147" s="85">
        <f t="shared" ca="1" si="238"/>
        <v>646.21264186633834</v>
      </c>
      <c r="AL147" s="85">
        <f t="shared" ca="1" si="239"/>
        <v>692.2106624561751</v>
      </c>
      <c r="AM147" s="85">
        <f t="shared" ca="1" si="240"/>
        <v>620.08739104490337</v>
      </c>
      <c r="AN147" s="85">
        <f t="shared" ca="1" si="241"/>
        <v>679.96932978777852</v>
      </c>
      <c r="AO147" s="85">
        <f t="shared" ca="1" si="242"/>
        <v>766.71248235241251</v>
      </c>
      <c r="AP147" s="85">
        <f t="shared" ca="1" si="243"/>
        <v>731.16625798527366</v>
      </c>
      <c r="AQ147" s="85">
        <f t="shared" ca="1" si="244"/>
        <v>625.68162585637492</v>
      </c>
      <c r="AR147" s="85">
        <f t="shared" ca="1" si="245"/>
        <v>685.7692625298962</v>
      </c>
      <c r="AS147" s="85">
        <f t="shared" ca="1" si="246"/>
        <v>577.57592301372847</v>
      </c>
      <c r="AT147" s="85">
        <f t="shared" ca="1" si="247"/>
        <v>670.19912548499417</v>
      </c>
      <c r="AU147" s="85">
        <f t="shared" ca="1" si="248"/>
        <v>711.65551319114775</v>
      </c>
      <c r="AV147" s="85">
        <f t="shared" ca="1" si="249"/>
        <v>698.63772022626915</v>
      </c>
      <c r="AW147" s="85">
        <f t="shared" ca="1" si="250"/>
        <v>680.77156803618038</v>
      </c>
      <c r="AX147" s="85">
        <f t="shared" ca="1" si="251"/>
        <v>764.74586044327918</v>
      </c>
      <c r="AY147" s="85">
        <f t="shared" ca="1" si="252"/>
        <v>710.01653774045747</v>
      </c>
      <c r="AZ147" s="85">
        <f t="shared" ca="1" si="253"/>
        <v>706.75662678179606</v>
      </c>
      <c r="BA147" s="85">
        <f t="shared" ca="1" si="254"/>
        <v>736.47462684517689</v>
      </c>
      <c r="BB147" s="85">
        <f t="shared" ca="1" si="255"/>
        <v>618.52893513575873</v>
      </c>
      <c r="BC147" s="85">
        <f t="shared" ca="1" si="256"/>
        <v>673.2220388810149</v>
      </c>
      <c r="BD147" s="85">
        <f t="shared" ca="1" si="257"/>
        <v>700.85494067204047</v>
      </c>
      <c r="BE147" s="85">
        <f t="shared" ca="1" si="258"/>
        <v>620.99942441155952</v>
      </c>
      <c r="BF147" s="85">
        <f t="shared" ca="1" si="259"/>
        <v>673.96553047290286</v>
      </c>
      <c r="BG147" s="85">
        <f t="shared" ca="1" si="260"/>
        <v>595.77393818679138</v>
      </c>
      <c r="BH147" s="85">
        <f t="shared" ca="1" si="261"/>
        <v>726.46770097032379</v>
      </c>
      <c r="BI147" s="85">
        <f t="shared" ca="1" si="262"/>
        <v>620.20182036453787</v>
      </c>
      <c r="BJ147" s="85">
        <f t="shared" ca="1" si="263"/>
        <v>681.452536242164</v>
      </c>
      <c r="BK147" s="85">
        <f t="shared" ca="1" si="264"/>
        <v>650.75190327216637</v>
      </c>
      <c r="BL147" s="85">
        <f t="shared" ca="1" si="265"/>
        <v>622.15868597968813</v>
      </c>
      <c r="BM147" s="85">
        <f t="shared" ca="1" si="266"/>
        <v>602.26322036521447</v>
      </c>
      <c r="BN147" s="85">
        <f t="shared" ca="1" si="203"/>
        <v>784.17475204902269</v>
      </c>
      <c r="BO147" s="85">
        <f t="shared" ca="1" si="292"/>
        <v>784.20924004102608</v>
      </c>
      <c r="BP147" s="85">
        <f t="shared" ca="1" si="293"/>
        <v>573.20294156949035</v>
      </c>
      <c r="BQ147" s="85">
        <f t="shared" ca="1" si="294"/>
        <v>677.89733474623745</v>
      </c>
      <c r="BR147" s="85">
        <f t="shared" ca="1" si="295"/>
        <v>618.12011291969645</v>
      </c>
      <c r="BS147" s="85">
        <f t="shared" ca="1" si="296"/>
        <v>706.85611682227284</v>
      </c>
      <c r="BT147" s="85">
        <f t="shared" ca="1" si="297"/>
        <v>726.67922124153108</v>
      </c>
      <c r="BU147" s="85">
        <f t="shared" ca="1" si="298"/>
        <v>692.74016128041092</v>
      </c>
      <c r="BV147" s="85">
        <f t="shared" ca="1" si="299"/>
        <v>641.18176722462613</v>
      </c>
      <c r="BW147" s="85">
        <f t="shared" ca="1" si="300"/>
        <v>713.33229578724445</v>
      </c>
      <c r="BX147" s="85">
        <f t="shared" ca="1" si="301"/>
        <v>715.57683602798966</v>
      </c>
      <c r="BY147" s="85">
        <f t="shared" ca="1" si="267"/>
        <v>645.22169600266488</v>
      </c>
      <c r="BZ147" s="85">
        <f t="shared" ca="1" si="268"/>
        <v>639.40498613643786</v>
      </c>
      <c r="CA147" s="85">
        <f t="shared" ca="1" si="269"/>
        <v>655.81841582937977</v>
      </c>
      <c r="CB147" s="85">
        <f t="shared" ca="1" si="270"/>
        <v>619.09613493313452</v>
      </c>
      <c r="CC147" s="85">
        <f t="shared" ca="1" si="271"/>
        <v>742.38054245621311</v>
      </c>
      <c r="CD147" s="85">
        <f t="shared" ca="1" si="272"/>
        <v>789.17331216813966</v>
      </c>
      <c r="CE147" s="85">
        <f t="shared" ca="1" si="273"/>
        <v>631.23724900422735</v>
      </c>
      <c r="CF147" s="85">
        <f t="shared" ca="1" si="274"/>
        <v>746.66965309786963</v>
      </c>
      <c r="CG147" s="85">
        <f t="shared" ca="1" si="275"/>
        <v>613.26471420643429</v>
      </c>
      <c r="CH147" s="85">
        <f t="shared" ca="1" si="276"/>
        <v>683.43426507733409</v>
      </c>
      <c r="CI147" s="85">
        <f t="shared" ca="1" si="277"/>
        <v>645.47108425284159</v>
      </c>
      <c r="CJ147" s="85">
        <f t="shared" ca="1" si="278"/>
        <v>624.5359492939748</v>
      </c>
      <c r="CK147" s="85">
        <f t="shared" ca="1" si="279"/>
        <v>651.45808704838134</v>
      </c>
      <c r="CL147" s="85">
        <f t="shared" ca="1" si="280"/>
        <v>617.58855817493384</v>
      </c>
      <c r="CM147" s="85">
        <f t="shared" ca="1" si="281"/>
        <v>734.65130612540702</v>
      </c>
      <c r="CN147" s="85">
        <f t="shared" ca="1" si="282"/>
        <v>582.6337039457934</v>
      </c>
      <c r="CO147" s="85">
        <f t="shared" ca="1" si="283"/>
        <v>595.01416853534681</v>
      </c>
      <c r="CP147" s="85">
        <f t="shared" ca="1" si="284"/>
        <v>748.14908442867738</v>
      </c>
      <c r="CQ147" s="85">
        <f t="shared" ca="1" si="285"/>
        <v>634.2200289860674</v>
      </c>
      <c r="CR147" s="85">
        <f t="shared" ca="1" si="286"/>
        <v>696.22323229453139</v>
      </c>
      <c r="CS147" s="85">
        <f t="shared" ca="1" si="287"/>
        <v>596.34747280234251</v>
      </c>
      <c r="CT147" s="85">
        <f t="shared" ca="1" si="288"/>
        <v>639.16862241020544</v>
      </c>
      <c r="CU147" s="85">
        <f t="shared" ca="1" si="289"/>
        <v>840.76994804841422</v>
      </c>
      <c r="CV147" s="85">
        <f t="shared" ca="1" si="290"/>
        <v>630.87138166789305</v>
      </c>
      <c r="CW147" s="85">
        <f t="shared" ca="1" si="291"/>
        <v>607.24019298645533</v>
      </c>
    </row>
    <row r="148" spans="1:101" x14ac:dyDescent="0.2">
      <c r="A148" s="115">
        <v>145</v>
      </c>
      <c r="B148" s="85">
        <f t="shared" ca="1" si="202"/>
        <v>551.42769662118428</v>
      </c>
      <c r="C148" s="85">
        <f t="shared" ca="1" si="204"/>
        <v>683.53695157202151</v>
      </c>
      <c r="D148" s="85">
        <f t="shared" ca="1" si="205"/>
        <v>645.33570016161377</v>
      </c>
      <c r="E148" s="85">
        <f t="shared" ca="1" si="206"/>
        <v>602.15840168389741</v>
      </c>
      <c r="F148" s="85">
        <f t="shared" ca="1" si="207"/>
        <v>610.31505622110694</v>
      </c>
      <c r="G148" s="85">
        <f t="shared" ca="1" si="208"/>
        <v>669.34119285355087</v>
      </c>
      <c r="H148" s="85">
        <f t="shared" ca="1" si="209"/>
        <v>670.35804291296847</v>
      </c>
      <c r="I148" s="85">
        <f t="shared" ca="1" si="210"/>
        <v>728.9218693596448</v>
      </c>
      <c r="J148" s="85">
        <f t="shared" ca="1" si="211"/>
        <v>629.1976428923133</v>
      </c>
      <c r="K148" s="85">
        <f t="shared" ca="1" si="212"/>
        <v>715.11374719678281</v>
      </c>
      <c r="L148" s="85">
        <f t="shared" ca="1" si="213"/>
        <v>727.71676208446127</v>
      </c>
      <c r="M148" s="85">
        <f t="shared" ca="1" si="214"/>
        <v>533.7715535287025</v>
      </c>
      <c r="N148" s="85">
        <f t="shared" ca="1" si="215"/>
        <v>649.87700987546611</v>
      </c>
      <c r="O148" s="85">
        <f t="shared" ca="1" si="216"/>
        <v>641.48259637432204</v>
      </c>
      <c r="P148" s="85">
        <f t="shared" ca="1" si="217"/>
        <v>661.80124205461175</v>
      </c>
      <c r="Q148" s="85">
        <f t="shared" ca="1" si="218"/>
        <v>717.71036075881784</v>
      </c>
      <c r="R148" s="85">
        <f t="shared" ca="1" si="219"/>
        <v>624.38102579823158</v>
      </c>
      <c r="S148" s="85">
        <f t="shared" ca="1" si="220"/>
        <v>703.49784824588562</v>
      </c>
      <c r="T148" s="85">
        <f t="shared" ca="1" si="221"/>
        <v>683.80216522794024</v>
      </c>
      <c r="U148" s="85">
        <f t="shared" ca="1" si="222"/>
        <v>626.40967979360221</v>
      </c>
      <c r="V148" s="85">
        <f t="shared" ca="1" si="223"/>
        <v>721.8538938427655</v>
      </c>
      <c r="W148" s="85">
        <f t="shared" ca="1" si="224"/>
        <v>655.29927012617816</v>
      </c>
      <c r="X148" s="85">
        <f t="shared" ca="1" si="225"/>
        <v>711.13239079452637</v>
      </c>
      <c r="Y148" s="85">
        <f t="shared" ca="1" si="226"/>
        <v>599.79771015674714</v>
      </c>
      <c r="Z148" s="85">
        <f t="shared" ca="1" si="227"/>
        <v>681.23565705121302</v>
      </c>
      <c r="AA148" s="85">
        <f t="shared" ca="1" si="228"/>
        <v>596.36288399681632</v>
      </c>
      <c r="AB148" s="85">
        <f t="shared" ca="1" si="229"/>
        <v>752.55025600274359</v>
      </c>
      <c r="AC148" s="85">
        <f t="shared" ca="1" si="230"/>
        <v>687.09496633204913</v>
      </c>
      <c r="AD148" s="85">
        <f t="shared" ca="1" si="231"/>
        <v>747.02800374847891</v>
      </c>
      <c r="AE148" s="85">
        <f t="shared" ca="1" si="232"/>
        <v>915.99399581486966</v>
      </c>
      <c r="AF148" s="85">
        <f t="shared" ca="1" si="233"/>
        <v>612.80757186495464</v>
      </c>
      <c r="AG148" s="85">
        <f t="shared" ca="1" si="234"/>
        <v>724.51237695935174</v>
      </c>
      <c r="AH148" s="85">
        <f t="shared" ca="1" si="235"/>
        <v>599.42655334765686</v>
      </c>
      <c r="AI148" s="85">
        <f t="shared" ca="1" si="236"/>
        <v>706.61089242659125</v>
      </c>
      <c r="AJ148" s="85">
        <f t="shared" ca="1" si="237"/>
        <v>752.82320345449398</v>
      </c>
      <c r="AK148" s="85">
        <f t="shared" ca="1" si="238"/>
        <v>655.88004556953547</v>
      </c>
      <c r="AL148" s="85">
        <f t="shared" ca="1" si="239"/>
        <v>709.31647072645387</v>
      </c>
      <c r="AM148" s="85">
        <f t="shared" ca="1" si="240"/>
        <v>629.59672202805382</v>
      </c>
      <c r="AN148" s="85">
        <f t="shared" ca="1" si="241"/>
        <v>684.25702047030575</v>
      </c>
      <c r="AO148" s="85">
        <f t="shared" ca="1" si="242"/>
        <v>784.04196889438322</v>
      </c>
      <c r="AP148" s="85">
        <f t="shared" ca="1" si="243"/>
        <v>735.07289082446903</v>
      </c>
      <c r="AQ148" s="85">
        <f t="shared" ca="1" si="244"/>
        <v>630.36415705211198</v>
      </c>
      <c r="AR148" s="85">
        <f t="shared" ca="1" si="245"/>
        <v>693.81540745859922</v>
      </c>
      <c r="AS148" s="85">
        <f t="shared" ca="1" si="246"/>
        <v>587.21380665955974</v>
      </c>
      <c r="AT148" s="85">
        <f t="shared" ca="1" si="247"/>
        <v>669.95601524462973</v>
      </c>
      <c r="AU148" s="85">
        <f t="shared" ca="1" si="248"/>
        <v>724.47340235264699</v>
      </c>
      <c r="AV148" s="85">
        <f t="shared" ca="1" si="249"/>
        <v>707.66310352221672</v>
      </c>
      <c r="AW148" s="85">
        <f t="shared" ca="1" si="250"/>
        <v>685.60969618496517</v>
      </c>
      <c r="AX148" s="85">
        <f t="shared" ca="1" si="251"/>
        <v>768.21871850511423</v>
      </c>
      <c r="AY148" s="85">
        <f t="shared" ca="1" si="252"/>
        <v>719.44648327148411</v>
      </c>
      <c r="AZ148" s="85">
        <f t="shared" ca="1" si="253"/>
        <v>716.07943376466324</v>
      </c>
      <c r="BA148" s="85">
        <f t="shared" ca="1" si="254"/>
        <v>753.84420167955216</v>
      </c>
      <c r="BB148" s="85">
        <f t="shared" ca="1" si="255"/>
        <v>623.91360534403111</v>
      </c>
      <c r="BC148" s="85">
        <f t="shared" ca="1" si="256"/>
        <v>677.31449487109478</v>
      </c>
      <c r="BD148" s="85">
        <f t="shared" ca="1" si="257"/>
        <v>704.3302690709512</v>
      </c>
      <c r="BE148" s="85">
        <f t="shared" ca="1" si="258"/>
        <v>629.84305120734609</v>
      </c>
      <c r="BF148" s="85">
        <f t="shared" ca="1" si="259"/>
        <v>684.75966849128747</v>
      </c>
      <c r="BG148" s="85">
        <f t="shared" ca="1" si="260"/>
        <v>601.77237182328474</v>
      </c>
      <c r="BH148" s="85">
        <f t="shared" ca="1" si="261"/>
        <v>729.21468071767129</v>
      </c>
      <c r="BI148" s="85">
        <f t="shared" ca="1" si="262"/>
        <v>630.4646481181411</v>
      </c>
      <c r="BJ148" s="85">
        <f t="shared" ca="1" si="263"/>
        <v>688.40181914325501</v>
      </c>
      <c r="BK148" s="85">
        <f t="shared" ca="1" si="264"/>
        <v>660.41492813242041</v>
      </c>
      <c r="BL148" s="85">
        <f t="shared" ca="1" si="265"/>
        <v>628.73279339125656</v>
      </c>
      <c r="BM148" s="85">
        <f t="shared" ca="1" si="266"/>
        <v>611.73702661016932</v>
      </c>
      <c r="BN148" s="85">
        <f t="shared" ca="1" si="203"/>
        <v>795.68135912320781</v>
      </c>
      <c r="BO148" s="85">
        <f t="shared" ca="1" si="292"/>
        <v>788.2796069687513</v>
      </c>
      <c r="BP148" s="85">
        <f t="shared" ca="1" si="293"/>
        <v>581.90247557031057</v>
      </c>
      <c r="BQ148" s="85">
        <f t="shared" ca="1" si="294"/>
        <v>687.09317165086838</v>
      </c>
      <c r="BR148" s="85">
        <f t="shared" ca="1" si="295"/>
        <v>628.92430485847467</v>
      </c>
      <c r="BS148" s="85">
        <f t="shared" ca="1" si="296"/>
        <v>705.16269287477382</v>
      </c>
      <c r="BT148" s="85">
        <f t="shared" ca="1" si="297"/>
        <v>733.52074398540469</v>
      </c>
      <c r="BU148" s="85">
        <f t="shared" ca="1" si="298"/>
        <v>702.65936363781077</v>
      </c>
      <c r="BV148" s="85">
        <f t="shared" ca="1" si="299"/>
        <v>648.52954100705983</v>
      </c>
      <c r="BW148" s="85">
        <f t="shared" ca="1" si="300"/>
        <v>722.08130719023643</v>
      </c>
      <c r="BX148" s="85">
        <f t="shared" ca="1" si="301"/>
        <v>733.19464135396572</v>
      </c>
      <c r="BY148" s="85">
        <f t="shared" ca="1" si="267"/>
        <v>646.88764020311771</v>
      </c>
      <c r="BZ148" s="85">
        <f t="shared" ca="1" si="268"/>
        <v>657.67613398832623</v>
      </c>
      <c r="CA148" s="85">
        <f t="shared" ca="1" si="269"/>
        <v>664.74218290508247</v>
      </c>
      <c r="CB148" s="85">
        <f t="shared" ca="1" si="270"/>
        <v>628.36739138986593</v>
      </c>
      <c r="CC148" s="85">
        <f t="shared" ca="1" si="271"/>
        <v>748.73400330253378</v>
      </c>
      <c r="CD148" s="85">
        <f t="shared" ca="1" si="272"/>
        <v>803.49154452334551</v>
      </c>
      <c r="CE148" s="85">
        <f t="shared" ca="1" si="273"/>
        <v>635.42790493142411</v>
      </c>
      <c r="CF148" s="85">
        <f t="shared" ca="1" si="274"/>
        <v>763.01075025876594</v>
      </c>
      <c r="CG148" s="85">
        <f t="shared" ca="1" si="275"/>
        <v>615.05693420777664</v>
      </c>
      <c r="CH148" s="85">
        <f t="shared" ca="1" si="276"/>
        <v>700.32200331632703</v>
      </c>
      <c r="CI148" s="85">
        <f t="shared" ca="1" si="277"/>
        <v>655.75329131216961</v>
      </c>
      <c r="CJ148" s="85">
        <f t="shared" ca="1" si="278"/>
        <v>629.41473020539388</v>
      </c>
      <c r="CK148" s="85">
        <f t="shared" ca="1" si="279"/>
        <v>653.79685757086008</v>
      </c>
      <c r="CL148" s="85">
        <f t="shared" ca="1" si="280"/>
        <v>618.81671030410371</v>
      </c>
      <c r="CM148" s="85">
        <f t="shared" ca="1" si="281"/>
        <v>737.9167600931263</v>
      </c>
      <c r="CN148" s="85">
        <f t="shared" ca="1" si="282"/>
        <v>594.72450405463644</v>
      </c>
      <c r="CO148" s="85">
        <f t="shared" ca="1" si="283"/>
        <v>599.95134155580092</v>
      </c>
      <c r="CP148" s="85">
        <f t="shared" ca="1" si="284"/>
        <v>749.89126212965573</v>
      </c>
      <c r="CQ148" s="85">
        <f t="shared" ca="1" si="285"/>
        <v>644.16163865631404</v>
      </c>
      <c r="CR148" s="85">
        <f t="shared" ca="1" si="286"/>
        <v>706.03197807232857</v>
      </c>
      <c r="CS148" s="85">
        <f t="shared" ca="1" si="287"/>
        <v>606.01897954524975</v>
      </c>
      <c r="CT148" s="85">
        <f t="shared" ca="1" si="288"/>
        <v>641.16036800119116</v>
      </c>
      <c r="CU148" s="85">
        <f t="shared" ca="1" si="289"/>
        <v>841.19309424762787</v>
      </c>
      <c r="CV148" s="85">
        <f t="shared" ca="1" si="290"/>
        <v>631.4628516893747</v>
      </c>
      <c r="CW148" s="85">
        <f t="shared" ca="1" si="291"/>
        <v>616.09642644369228</v>
      </c>
    </row>
    <row r="149" spans="1:101" x14ac:dyDescent="0.2">
      <c r="A149" s="115">
        <v>146</v>
      </c>
      <c r="B149" s="85">
        <f t="shared" ca="1" si="202"/>
        <v>561.40102824397343</v>
      </c>
      <c r="C149" s="85">
        <f t="shared" ca="1" si="204"/>
        <v>689.3156496697103</v>
      </c>
      <c r="D149" s="85">
        <f t="shared" ca="1" si="205"/>
        <v>658.7655493447204</v>
      </c>
      <c r="E149" s="85">
        <f t="shared" ca="1" si="206"/>
        <v>603.27801096936571</v>
      </c>
      <c r="F149" s="85">
        <f t="shared" ca="1" si="207"/>
        <v>621.69287215705424</v>
      </c>
      <c r="G149" s="85">
        <f t="shared" ca="1" si="208"/>
        <v>674.62265514910507</v>
      </c>
      <c r="H149" s="85">
        <f t="shared" ca="1" si="209"/>
        <v>671.52850427777821</v>
      </c>
      <c r="I149" s="85">
        <f t="shared" ca="1" si="210"/>
        <v>742.62557464295026</v>
      </c>
      <c r="J149" s="85">
        <f t="shared" ca="1" si="211"/>
        <v>647.51375929291044</v>
      </c>
      <c r="K149" s="85">
        <f t="shared" ca="1" si="212"/>
        <v>727.55207130029316</v>
      </c>
      <c r="L149" s="85">
        <f t="shared" ca="1" si="213"/>
        <v>735.22572192571738</v>
      </c>
      <c r="M149" s="85">
        <f t="shared" ca="1" si="214"/>
        <v>537.20173354479721</v>
      </c>
      <c r="N149" s="85">
        <f t="shared" ca="1" si="215"/>
        <v>659.12019856230575</v>
      </c>
      <c r="O149" s="85">
        <f t="shared" ca="1" si="216"/>
        <v>645.78837232059857</v>
      </c>
      <c r="P149" s="85">
        <f t="shared" ca="1" si="217"/>
        <v>677.88070658240974</v>
      </c>
      <c r="Q149" s="85">
        <f t="shared" ca="1" si="218"/>
        <v>732.99051451324738</v>
      </c>
      <c r="R149" s="85">
        <f t="shared" ca="1" si="219"/>
        <v>635.64939752931161</v>
      </c>
      <c r="S149" s="85">
        <f t="shared" ca="1" si="220"/>
        <v>710.82248520956989</v>
      </c>
      <c r="T149" s="85">
        <f t="shared" ca="1" si="221"/>
        <v>684.28553257582769</v>
      </c>
      <c r="U149" s="85">
        <f t="shared" ca="1" si="222"/>
        <v>634.24637103346004</v>
      </c>
      <c r="V149" s="85">
        <f t="shared" ca="1" si="223"/>
        <v>728.74172879312948</v>
      </c>
      <c r="W149" s="85">
        <f t="shared" ca="1" si="224"/>
        <v>671.93938722217865</v>
      </c>
      <c r="X149" s="85">
        <f t="shared" ca="1" si="225"/>
        <v>721.55036666195747</v>
      </c>
      <c r="Y149" s="85">
        <f t="shared" ca="1" si="226"/>
        <v>606.42760907639786</v>
      </c>
      <c r="Z149" s="85">
        <f t="shared" ca="1" si="227"/>
        <v>692.63107510057228</v>
      </c>
      <c r="AA149" s="85">
        <f t="shared" ca="1" si="228"/>
        <v>613.16830853654733</v>
      </c>
      <c r="AB149" s="85">
        <f t="shared" ca="1" si="229"/>
        <v>762.63917670565036</v>
      </c>
      <c r="AC149" s="85">
        <f t="shared" ca="1" si="230"/>
        <v>689.01573523558943</v>
      </c>
      <c r="AD149" s="85">
        <f t="shared" ca="1" si="231"/>
        <v>758.58131382139868</v>
      </c>
      <c r="AE149" s="85">
        <f t="shared" ca="1" si="232"/>
        <v>919.65632948051439</v>
      </c>
      <c r="AF149" s="85">
        <f t="shared" ca="1" si="233"/>
        <v>628.48864748469157</v>
      </c>
      <c r="AG149" s="85">
        <f t="shared" ca="1" si="234"/>
        <v>729.91678337030157</v>
      </c>
      <c r="AH149" s="85">
        <f t="shared" ca="1" si="235"/>
        <v>609.98398489561737</v>
      </c>
      <c r="AI149" s="85">
        <f t="shared" ca="1" si="236"/>
        <v>728.24293693187917</v>
      </c>
      <c r="AJ149" s="85">
        <f t="shared" ca="1" si="237"/>
        <v>762.18185525273748</v>
      </c>
      <c r="AK149" s="85">
        <f t="shared" ca="1" si="238"/>
        <v>664.25823177447342</v>
      </c>
      <c r="AL149" s="85">
        <f t="shared" ca="1" si="239"/>
        <v>725.05768440200541</v>
      </c>
      <c r="AM149" s="85">
        <f t="shared" ca="1" si="240"/>
        <v>632.56468912454693</v>
      </c>
      <c r="AN149" s="85">
        <f t="shared" ca="1" si="241"/>
        <v>694.37430964214207</v>
      </c>
      <c r="AO149" s="85">
        <f t="shared" ca="1" si="242"/>
        <v>800.25613911726202</v>
      </c>
      <c r="AP149" s="85">
        <f t="shared" ca="1" si="243"/>
        <v>750.39597255745628</v>
      </c>
      <c r="AQ149" s="85">
        <f t="shared" ca="1" si="244"/>
        <v>645.45647876991563</v>
      </c>
      <c r="AR149" s="85">
        <f t="shared" ca="1" si="245"/>
        <v>702.5380016562226</v>
      </c>
      <c r="AS149" s="85">
        <f t="shared" ca="1" si="246"/>
        <v>595.93716786109667</v>
      </c>
      <c r="AT149" s="85">
        <f t="shared" ca="1" si="247"/>
        <v>683.70092082968506</v>
      </c>
      <c r="AU149" s="85">
        <f t="shared" ca="1" si="248"/>
        <v>734.53516977354832</v>
      </c>
      <c r="AV149" s="85">
        <f t="shared" ca="1" si="249"/>
        <v>706.15676998431672</v>
      </c>
      <c r="AW149" s="85">
        <f t="shared" ca="1" si="250"/>
        <v>690.92741866133554</v>
      </c>
      <c r="AX149" s="85">
        <f t="shared" ca="1" si="251"/>
        <v>782.71580362903183</v>
      </c>
      <c r="AY149" s="85">
        <f t="shared" ca="1" si="252"/>
        <v>732.6876136615108</v>
      </c>
      <c r="AZ149" s="85">
        <f t="shared" ca="1" si="253"/>
        <v>720.65833092118021</v>
      </c>
      <c r="BA149" s="85">
        <f t="shared" ca="1" si="254"/>
        <v>757.90088044291554</v>
      </c>
      <c r="BB149" s="85">
        <f t="shared" ca="1" si="255"/>
        <v>633.27757369226981</v>
      </c>
      <c r="BC149" s="85">
        <f t="shared" ca="1" si="256"/>
        <v>680.2627408552363</v>
      </c>
      <c r="BD149" s="85">
        <f t="shared" ca="1" si="257"/>
        <v>714.00661011496766</v>
      </c>
      <c r="BE149" s="85">
        <f t="shared" ca="1" si="258"/>
        <v>631.14388180230321</v>
      </c>
      <c r="BF149" s="85">
        <f t="shared" ca="1" si="259"/>
        <v>685.51126775739203</v>
      </c>
      <c r="BG149" s="85">
        <f t="shared" ca="1" si="260"/>
        <v>613.32499223301249</v>
      </c>
      <c r="BH149" s="85">
        <f t="shared" ca="1" si="261"/>
        <v>742.92777298677868</v>
      </c>
      <c r="BI149" s="85">
        <f t="shared" ca="1" si="262"/>
        <v>641.25843134336708</v>
      </c>
      <c r="BJ149" s="85">
        <f t="shared" ca="1" si="263"/>
        <v>710.61603262680126</v>
      </c>
      <c r="BK149" s="85">
        <f t="shared" ca="1" si="264"/>
        <v>670.13333071013631</v>
      </c>
      <c r="BL149" s="85">
        <f t="shared" ca="1" si="265"/>
        <v>634.32301033782608</v>
      </c>
      <c r="BM149" s="85">
        <f t="shared" ca="1" si="266"/>
        <v>619.90347634565899</v>
      </c>
      <c r="BN149" s="85">
        <f t="shared" ca="1" si="203"/>
        <v>797.55299094642294</v>
      </c>
      <c r="BO149" s="85">
        <f t="shared" ca="1" si="292"/>
        <v>803.71663298852286</v>
      </c>
      <c r="BP149" s="85">
        <f t="shared" ca="1" si="293"/>
        <v>579.70997220092988</v>
      </c>
      <c r="BQ149" s="85">
        <f t="shared" ca="1" si="294"/>
        <v>688.5528886340104</v>
      </c>
      <c r="BR149" s="85">
        <f t="shared" ca="1" si="295"/>
        <v>630.95501556362092</v>
      </c>
      <c r="BS149" s="85">
        <f t="shared" ca="1" si="296"/>
        <v>717.57457728409418</v>
      </c>
      <c r="BT149" s="85">
        <f t="shared" ca="1" si="297"/>
        <v>743.65254634989628</v>
      </c>
      <c r="BU149" s="85">
        <f t="shared" ca="1" si="298"/>
        <v>710.1435208878936</v>
      </c>
      <c r="BV149" s="85">
        <f t="shared" ca="1" si="299"/>
        <v>660.96181372682463</v>
      </c>
      <c r="BW149" s="85">
        <f t="shared" ca="1" si="300"/>
        <v>740.30969632050551</v>
      </c>
      <c r="BX149" s="85">
        <f t="shared" ca="1" si="301"/>
        <v>748.28549874036889</v>
      </c>
      <c r="BY149" s="85">
        <f t="shared" ca="1" si="267"/>
        <v>661.10484174920998</v>
      </c>
      <c r="BZ149" s="85">
        <f t="shared" ca="1" si="268"/>
        <v>671.4886821178635</v>
      </c>
      <c r="CA149" s="85">
        <f t="shared" ca="1" si="269"/>
        <v>672.2410610919444</v>
      </c>
      <c r="CB149" s="85">
        <f t="shared" ca="1" si="270"/>
        <v>633.254064342221</v>
      </c>
      <c r="CC149" s="85">
        <f t="shared" ca="1" si="271"/>
        <v>757.74061576025736</v>
      </c>
      <c r="CD149" s="85">
        <f t="shared" ca="1" si="272"/>
        <v>815.61393704293937</v>
      </c>
      <c r="CE149" s="85">
        <f t="shared" ca="1" si="273"/>
        <v>642.12111712075477</v>
      </c>
      <c r="CF149" s="85">
        <f t="shared" ca="1" si="274"/>
        <v>768.36504827732938</v>
      </c>
      <c r="CG149" s="85">
        <f t="shared" ca="1" si="275"/>
        <v>630.35313730189137</v>
      </c>
      <c r="CH149" s="85">
        <f t="shared" ca="1" si="276"/>
        <v>707.60761067416104</v>
      </c>
      <c r="CI149" s="85">
        <f t="shared" ca="1" si="277"/>
        <v>659.69038245564934</v>
      </c>
      <c r="CJ149" s="85">
        <f t="shared" ca="1" si="278"/>
        <v>632.4981259291967</v>
      </c>
      <c r="CK149" s="85">
        <f t="shared" ca="1" si="279"/>
        <v>668.06687185516648</v>
      </c>
      <c r="CL149" s="85">
        <f t="shared" ca="1" si="280"/>
        <v>625.19687681574533</v>
      </c>
      <c r="CM149" s="85">
        <f t="shared" ca="1" si="281"/>
        <v>751.72120891435873</v>
      </c>
      <c r="CN149" s="85">
        <f t="shared" ca="1" si="282"/>
        <v>599.69638377466117</v>
      </c>
      <c r="CO149" s="85">
        <f t="shared" ca="1" si="283"/>
        <v>608.1492598615265</v>
      </c>
      <c r="CP149" s="85">
        <f t="shared" ca="1" si="284"/>
        <v>761.3055932750384</v>
      </c>
      <c r="CQ149" s="85">
        <f t="shared" ca="1" si="285"/>
        <v>657.22585552889188</v>
      </c>
      <c r="CR149" s="85">
        <f t="shared" ca="1" si="286"/>
        <v>717.24050259281262</v>
      </c>
      <c r="CS149" s="85">
        <f t="shared" ca="1" si="287"/>
        <v>614.9456316947776</v>
      </c>
      <c r="CT149" s="85">
        <f t="shared" ca="1" si="288"/>
        <v>645.27934831816333</v>
      </c>
      <c r="CU149" s="85">
        <f t="shared" ca="1" si="289"/>
        <v>852.76068691449439</v>
      </c>
      <c r="CV149" s="85">
        <f t="shared" ca="1" si="290"/>
        <v>638.79394114496665</v>
      </c>
      <c r="CW149" s="85">
        <f t="shared" ca="1" si="291"/>
        <v>624.29875650954887</v>
      </c>
    </row>
    <row r="150" spans="1:101" x14ac:dyDescent="0.2">
      <c r="A150" s="115">
        <v>147</v>
      </c>
      <c r="B150" s="85">
        <f t="shared" ca="1" si="202"/>
        <v>565.53901818929501</v>
      </c>
      <c r="C150" s="85">
        <f t="shared" ca="1" si="204"/>
        <v>702.87373470806779</v>
      </c>
      <c r="D150" s="85">
        <f t="shared" ca="1" si="205"/>
        <v>664.5180576598741</v>
      </c>
      <c r="E150" s="85">
        <f t="shared" ca="1" si="206"/>
        <v>615.84553643865604</v>
      </c>
      <c r="F150" s="85">
        <f t="shared" ca="1" si="207"/>
        <v>634.47511459982172</v>
      </c>
      <c r="G150" s="85">
        <f t="shared" ca="1" si="208"/>
        <v>682.21946762643381</v>
      </c>
      <c r="H150" s="85">
        <f t="shared" ca="1" si="209"/>
        <v>676.28267895462614</v>
      </c>
      <c r="I150" s="85">
        <f t="shared" ca="1" si="210"/>
        <v>749.73460342880196</v>
      </c>
      <c r="J150" s="85">
        <f t="shared" ca="1" si="211"/>
        <v>662.43974115271055</v>
      </c>
      <c r="K150" s="85">
        <f t="shared" ca="1" si="212"/>
        <v>736.79709156951947</v>
      </c>
      <c r="L150" s="85">
        <f t="shared" ca="1" si="213"/>
        <v>732.44357818360925</v>
      </c>
      <c r="M150" s="85">
        <f t="shared" ca="1" si="214"/>
        <v>543.10171518340974</v>
      </c>
      <c r="N150" s="85">
        <f t="shared" ca="1" si="215"/>
        <v>662.86641072400664</v>
      </c>
      <c r="O150" s="85">
        <f t="shared" ca="1" si="216"/>
        <v>658.61474789320175</v>
      </c>
      <c r="P150" s="85">
        <f t="shared" ca="1" si="217"/>
        <v>689.39019910342336</v>
      </c>
      <c r="Q150" s="85">
        <f t="shared" ca="1" si="218"/>
        <v>741.38012017639835</v>
      </c>
      <c r="R150" s="85">
        <f t="shared" ca="1" si="219"/>
        <v>645.81091068894125</v>
      </c>
      <c r="S150" s="85">
        <f t="shared" ca="1" si="220"/>
        <v>725.74631112615555</v>
      </c>
      <c r="T150" s="85">
        <f t="shared" ca="1" si="221"/>
        <v>696.79424691266513</v>
      </c>
      <c r="U150" s="85">
        <f t="shared" ca="1" si="222"/>
        <v>644.06529637938183</v>
      </c>
      <c r="V150" s="85">
        <f t="shared" ca="1" si="223"/>
        <v>743.87530163837994</v>
      </c>
      <c r="W150" s="85">
        <f t="shared" ca="1" si="224"/>
        <v>684.68669309481504</v>
      </c>
      <c r="X150" s="85">
        <f t="shared" ca="1" si="225"/>
        <v>729.5687422683468</v>
      </c>
      <c r="Y150" s="85">
        <f t="shared" ca="1" si="226"/>
        <v>604.91608144017368</v>
      </c>
      <c r="Z150" s="85">
        <f t="shared" ca="1" si="227"/>
        <v>709.50210185989522</v>
      </c>
      <c r="AA150" s="85">
        <f t="shared" ca="1" si="228"/>
        <v>619.03075746933098</v>
      </c>
      <c r="AB150" s="85">
        <f t="shared" ca="1" si="229"/>
        <v>782.77434241918093</v>
      </c>
      <c r="AC150" s="85">
        <f t="shared" ca="1" si="230"/>
        <v>703.09344861421926</v>
      </c>
      <c r="AD150" s="85">
        <f t="shared" ca="1" si="231"/>
        <v>774.24384182878623</v>
      </c>
      <c r="AE150" s="85">
        <f t="shared" ca="1" si="232"/>
        <v>928.13196947645918</v>
      </c>
      <c r="AF150" s="85">
        <f t="shared" ca="1" si="233"/>
        <v>627.96778115343727</v>
      </c>
      <c r="AG150" s="85">
        <f t="shared" ca="1" si="234"/>
        <v>738.17686637827717</v>
      </c>
      <c r="AH150" s="85">
        <f t="shared" ca="1" si="235"/>
        <v>616.1912627993371</v>
      </c>
      <c r="AI150" s="85">
        <f t="shared" ca="1" si="236"/>
        <v>737.89667731000293</v>
      </c>
      <c r="AJ150" s="85">
        <f t="shared" ca="1" si="237"/>
        <v>772.4350562397351</v>
      </c>
      <c r="AK150" s="85">
        <f t="shared" ca="1" si="238"/>
        <v>668.16865240751645</v>
      </c>
      <c r="AL150" s="85">
        <f t="shared" ca="1" si="239"/>
        <v>730.97099119881636</v>
      </c>
      <c r="AM150" s="85">
        <f t="shared" ca="1" si="240"/>
        <v>641.14317815036782</v>
      </c>
      <c r="AN150" s="85">
        <f t="shared" ca="1" si="241"/>
        <v>706.82382308665137</v>
      </c>
      <c r="AO150" s="85">
        <f t="shared" ca="1" si="242"/>
        <v>811.40655562603274</v>
      </c>
      <c r="AP150" s="85">
        <f t="shared" ca="1" si="243"/>
        <v>763.50830534095996</v>
      </c>
      <c r="AQ150" s="85">
        <f t="shared" ca="1" si="244"/>
        <v>658.48202892048369</v>
      </c>
      <c r="AR150" s="85">
        <f t="shared" ca="1" si="245"/>
        <v>723.98990828424076</v>
      </c>
      <c r="AS150" s="85">
        <f t="shared" ca="1" si="246"/>
        <v>605.48035931503546</v>
      </c>
      <c r="AT150" s="85">
        <f t="shared" ca="1" si="247"/>
        <v>689.32063797919579</v>
      </c>
      <c r="AU150" s="85">
        <f t="shared" ca="1" si="248"/>
        <v>749.33301551230772</v>
      </c>
      <c r="AV150" s="85">
        <f t="shared" ca="1" si="249"/>
        <v>724.26288884760299</v>
      </c>
      <c r="AW150" s="85">
        <f t="shared" ca="1" si="250"/>
        <v>704.27168864064765</v>
      </c>
      <c r="AX150" s="85">
        <f t="shared" ca="1" si="251"/>
        <v>803.04550769915602</v>
      </c>
      <c r="AY150" s="85">
        <f t="shared" ca="1" si="252"/>
        <v>739.5191976888708</v>
      </c>
      <c r="AZ150" s="85">
        <f t="shared" ca="1" si="253"/>
        <v>724.00616862144182</v>
      </c>
      <c r="BA150" s="85">
        <f t="shared" ca="1" si="254"/>
        <v>756.21385490828607</v>
      </c>
      <c r="BB150" s="85">
        <f t="shared" ca="1" si="255"/>
        <v>638.51771066566982</v>
      </c>
      <c r="BC150" s="85">
        <f t="shared" ca="1" si="256"/>
        <v>695.51652498274314</v>
      </c>
      <c r="BD150" s="85">
        <f t="shared" ca="1" si="257"/>
        <v>718.63878734887658</v>
      </c>
      <c r="BE150" s="85">
        <f t="shared" ca="1" si="258"/>
        <v>639.13790669694401</v>
      </c>
      <c r="BF150" s="85">
        <f t="shared" ca="1" si="259"/>
        <v>697.57213530824765</v>
      </c>
      <c r="BG150" s="85">
        <f t="shared" ca="1" si="260"/>
        <v>631.92519739112549</v>
      </c>
      <c r="BH150" s="85">
        <f t="shared" ca="1" si="261"/>
        <v>755.57408177467948</v>
      </c>
      <c r="BI150" s="85">
        <f t="shared" ca="1" si="262"/>
        <v>650.41951658383402</v>
      </c>
      <c r="BJ150" s="85">
        <f t="shared" ca="1" si="263"/>
        <v>717.59830048654749</v>
      </c>
      <c r="BK150" s="85">
        <f t="shared" ca="1" si="264"/>
        <v>682.75265405212485</v>
      </c>
      <c r="BL150" s="85">
        <f t="shared" ca="1" si="265"/>
        <v>642.53261829345684</v>
      </c>
      <c r="BM150" s="85">
        <f t="shared" ca="1" si="266"/>
        <v>631.82885621571825</v>
      </c>
      <c r="BN150" s="85">
        <f t="shared" ca="1" si="203"/>
        <v>807.69802593543659</v>
      </c>
      <c r="BO150" s="85">
        <f t="shared" ca="1" si="292"/>
        <v>810.20567583854688</v>
      </c>
      <c r="BP150" s="85">
        <f t="shared" ca="1" si="293"/>
        <v>589.22489565099727</v>
      </c>
      <c r="BQ150" s="85">
        <f t="shared" ca="1" si="294"/>
        <v>693.5530463044422</v>
      </c>
      <c r="BR150" s="85">
        <f t="shared" ca="1" si="295"/>
        <v>641.2388617002257</v>
      </c>
      <c r="BS150" s="85">
        <f t="shared" ca="1" si="296"/>
        <v>735.77236734396854</v>
      </c>
      <c r="BT150" s="85">
        <f t="shared" ca="1" si="297"/>
        <v>752.56748526454339</v>
      </c>
      <c r="BU150" s="85">
        <f t="shared" ca="1" si="298"/>
        <v>716.19309925581547</v>
      </c>
      <c r="BV150" s="85">
        <f t="shared" ca="1" si="299"/>
        <v>670.24331449968861</v>
      </c>
      <c r="BW150" s="85">
        <f t="shared" ca="1" si="300"/>
        <v>755.22109088112666</v>
      </c>
      <c r="BX150" s="85">
        <f t="shared" ca="1" si="301"/>
        <v>758.54554832496069</v>
      </c>
      <c r="BY150" s="85">
        <f t="shared" ca="1" si="267"/>
        <v>672.88382578369146</v>
      </c>
      <c r="BZ150" s="85">
        <f t="shared" ca="1" si="268"/>
        <v>680.37442476595561</v>
      </c>
      <c r="CA150" s="85">
        <f t="shared" ca="1" si="269"/>
        <v>681.69155313972044</v>
      </c>
      <c r="CB150" s="85">
        <f t="shared" ca="1" si="270"/>
        <v>634.43338022130195</v>
      </c>
      <c r="CC150" s="85">
        <f t="shared" ca="1" si="271"/>
        <v>761.62620869653654</v>
      </c>
      <c r="CD150" s="85">
        <f t="shared" ca="1" si="272"/>
        <v>828.00003343730998</v>
      </c>
      <c r="CE150" s="85">
        <f t="shared" ca="1" si="273"/>
        <v>645.38526077786025</v>
      </c>
      <c r="CF150" s="85">
        <f t="shared" ca="1" si="274"/>
        <v>771.89373598689417</v>
      </c>
      <c r="CG150" s="85">
        <f t="shared" ca="1" si="275"/>
        <v>637.57536166379828</v>
      </c>
      <c r="CH150" s="85">
        <f t="shared" ca="1" si="276"/>
        <v>717.51844803317192</v>
      </c>
      <c r="CI150" s="85">
        <f t="shared" ca="1" si="277"/>
        <v>674.94039122496088</v>
      </c>
      <c r="CJ150" s="85">
        <f t="shared" ca="1" si="278"/>
        <v>638.42993209164251</v>
      </c>
      <c r="CK150" s="85">
        <f t="shared" ca="1" si="279"/>
        <v>680.8707508047446</v>
      </c>
      <c r="CL150" s="85">
        <f t="shared" ca="1" si="280"/>
        <v>638.19246492935019</v>
      </c>
      <c r="CM150" s="85">
        <f t="shared" ca="1" si="281"/>
        <v>759.47125109482772</v>
      </c>
      <c r="CN150" s="85">
        <f t="shared" ca="1" si="282"/>
        <v>605.50018961132901</v>
      </c>
      <c r="CO150" s="85">
        <f t="shared" ca="1" si="283"/>
        <v>624.79120827541999</v>
      </c>
      <c r="CP150" s="85">
        <f t="shared" ca="1" si="284"/>
        <v>775.73173639822505</v>
      </c>
      <c r="CQ150" s="85">
        <f t="shared" ca="1" si="285"/>
        <v>660.09166294204226</v>
      </c>
      <c r="CR150" s="85">
        <f t="shared" ca="1" si="286"/>
        <v>720.39990064322876</v>
      </c>
      <c r="CS150" s="85">
        <f t="shared" ca="1" si="287"/>
        <v>624.20283685053766</v>
      </c>
      <c r="CT150" s="85">
        <f t="shared" ca="1" si="288"/>
        <v>652.48882379850488</v>
      </c>
      <c r="CU150" s="85">
        <f t="shared" ca="1" si="289"/>
        <v>861.92070345555612</v>
      </c>
      <c r="CV150" s="85">
        <f t="shared" ca="1" si="290"/>
        <v>647.10734990775177</v>
      </c>
      <c r="CW150" s="85">
        <f t="shared" ca="1" si="291"/>
        <v>636.09954440336764</v>
      </c>
    </row>
    <row r="151" spans="1:101" x14ac:dyDescent="0.2">
      <c r="A151" s="115">
        <v>148</v>
      </c>
      <c r="B151" s="85">
        <f t="shared" ca="1" si="202"/>
        <v>569.94018142895948</v>
      </c>
      <c r="C151" s="85">
        <f t="shared" ca="1" si="204"/>
        <v>712.20689172372784</v>
      </c>
      <c r="D151" s="85">
        <f t="shared" ca="1" si="205"/>
        <v>672.06073135136421</v>
      </c>
      <c r="E151" s="85">
        <f t="shared" ca="1" si="206"/>
        <v>622.48392211396003</v>
      </c>
      <c r="F151" s="85">
        <f t="shared" ca="1" si="207"/>
        <v>645.80914097299296</v>
      </c>
      <c r="G151" s="85">
        <f t="shared" ca="1" si="208"/>
        <v>692.51410360965008</v>
      </c>
      <c r="H151" s="85">
        <f t="shared" ca="1" si="209"/>
        <v>692.01668715957703</v>
      </c>
      <c r="I151" s="85">
        <f t="shared" ca="1" si="210"/>
        <v>754.45113689209666</v>
      </c>
      <c r="J151" s="85">
        <f t="shared" ca="1" si="211"/>
        <v>679.30091823915063</v>
      </c>
      <c r="K151" s="85">
        <f t="shared" ca="1" si="212"/>
        <v>739.70732758362408</v>
      </c>
      <c r="L151" s="85">
        <f t="shared" ca="1" si="213"/>
        <v>740.53134597601468</v>
      </c>
      <c r="M151" s="85">
        <f t="shared" ca="1" si="214"/>
        <v>555.81305118331954</v>
      </c>
      <c r="N151" s="85">
        <f t="shared" ca="1" si="215"/>
        <v>664.85578031941634</v>
      </c>
      <c r="O151" s="85">
        <f t="shared" ca="1" si="216"/>
        <v>671.72373969468902</v>
      </c>
      <c r="P151" s="85">
        <f t="shared" ca="1" si="217"/>
        <v>701.57501052608472</v>
      </c>
      <c r="Q151" s="85">
        <f t="shared" ca="1" si="218"/>
        <v>753.33094572057962</v>
      </c>
      <c r="R151" s="85">
        <f t="shared" ca="1" si="219"/>
        <v>660.43071850593799</v>
      </c>
      <c r="S151" s="85">
        <f t="shared" ca="1" si="220"/>
        <v>734.34952827956556</v>
      </c>
      <c r="T151" s="85">
        <f t="shared" ca="1" si="221"/>
        <v>702.81930126968541</v>
      </c>
      <c r="U151" s="85">
        <f t="shared" ca="1" si="222"/>
        <v>657.54693253022845</v>
      </c>
      <c r="V151" s="85">
        <f t="shared" ca="1" si="223"/>
        <v>757.70861073195977</v>
      </c>
      <c r="W151" s="85">
        <f t="shared" ca="1" si="224"/>
        <v>686.88850718197989</v>
      </c>
      <c r="X151" s="85">
        <f t="shared" ca="1" si="225"/>
        <v>729.63676289885916</v>
      </c>
      <c r="Y151" s="85">
        <f t="shared" ca="1" si="226"/>
        <v>614.98618055448492</v>
      </c>
      <c r="Z151" s="85">
        <f t="shared" ca="1" si="227"/>
        <v>725.49632046185434</v>
      </c>
      <c r="AA151" s="85">
        <f t="shared" ca="1" si="228"/>
        <v>628.48174781114187</v>
      </c>
      <c r="AB151" s="85">
        <f t="shared" ca="1" si="229"/>
        <v>780.02713791143265</v>
      </c>
      <c r="AC151" s="85">
        <f t="shared" ca="1" si="230"/>
        <v>713.70872021579237</v>
      </c>
      <c r="AD151" s="85">
        <f t="shared" ca="1" si="231"/>
        <v>786.89209749848942</v>
      </c>
      <c r="AE151" s="85">
        <f t="shared" ca="1" si="232"/>
        <v>938.3043047557087</v>
      </c>
      <c r="AF151" s="85">
        <f t="shared" ca="1" si="233"/>
        <v>642.58176151118209</v>
      </c>
      <c r="AG151" s="85">
        <f t="shared" ca="1" si="234"/>
        <v>752.05997538647205</v>
      </c>
      <c r="AH151" s="85">
        <f t="shared" ca="1" si="235"/>
        <v>617.1952826330886</v>
      </c>
      <c r="AI151" s="85">
        <f t="shared" ca="1" si="236"/>
        <v>750.84440603377993</v>
      </c>
      <c r="AJ151" s="85">
        <f t="shared" ca="1" si="237"/>
        <v>789.06929287467665</v>
      </c>
      <c r="AK151" s="85">
        <f t="shared" ca="1" si="238"/>
        <v>680.74177773951737</v>
      </c>
      <c r="AL151" s="85">
        <f t="shared" ca="1" si="239"/>
        <v>735.18690212010722</v>
      </c>
      <c r="AM151" s="85">
        <f t="shared" ca="1" si="240"/>
        <v>645.05195712149214</v>
      </c>
      <c r="AN151" s="85">
        <f t="shared" ca="1" si="241"/>
        <v>711.57773454064591</v>
      </c>
      <c r="AO151" s="85">
        <f t="shared" ca="1" si="242"/>
        <v>826.22804654527533</v>
      </c>
      <c r="AP151" s="85">
        <f t="shared" ca="1" si="243"/>
        <v>767.0573424529498</v>
      </c>
      <c r="AQ151" s="85">
        <f t="shared" ca="1" si="244"/>
        <v>664.09501974246768</v>
      </c>
      <c r="AR151" s="85">
        <f t="shared" ca="1" si="245"/>
        <v>729.86059567355676</v>
      </c>
      <c r="AS151" s="85">
        <f t="shared" ca="1" si="246"/>
        <v>615.280992263249</v>
      </c>
      <c r="AT151" s="85">
        <f t="shared" ca="1" si="247"/>
        <v>704.77629997405825</v>
      </c>
      <c r="AU151" s="85">
        <f t="shared" ca="1" si="248"/>
        <v>751.73377430620167</v>
      </c>
      <c r="AV151" s="85">
        <f t="shared" ca="1" si="249"/>
        <v>738.77971356560931</v>
      </c>
      <c r="AW151" s="85">
        <f t="shared" ca="1" si="250"/>
        <v>710.75458794209101</v>
      </c>
      <c r="AX151" s="85">
        <f t="shared" ca="1" si="251"/>
        <v>817.45217614874309</v>
      </c>
      <c r="AY151" s="85">
        <f t="shared" ca="1" si="252"/>
        <v>756.54717133450004</v>
      </c>
      <c r="AZ151" s="85">
        <f t="shared" ca="1" si="253"/>
        <v>731.143080603969</v>
      </c>
      <c r="BA151" s="85">
        <f t="shared" ca="1" si="254"/>
        <v>761.50493414360483</v>
      </c>
      <c r="BB151" s="85">
        <f t="shared" ca="1" si="255"/>
        <v>648.38873618362084</v>
      </c>
      <c r="BC151" s="85">
        <f t="shared" ca="1" si="256"/>
        <v>711.88509252939309</v>
      </c>
      <c r="BD151" s="85">
        <f t="shared" ca="1" si="257"/>
        <v>720.676608062176</v>
      </c>
      <c r="BE151" s="85">
        <f t="shared" ca="1" si="258"/>
        <v>654.90303308636112</v>
      </c>
      <c r="BF151" s="85">
        <f t="shared" ca="1" si="259"/>
        <v>701.72547890773387</v>
      </c>
      <c r="BG151" s="85">
        <f t="shared" ca="1" si="260"/>
        <v>640.4399404003243</v>
      </c>
      <c r="BH151" s="85">
        <f t="shared" ca="1" si="261"/>
        <v>766.1958194496118</v>
      </c>
      <c r="BI151" s="85">
        <f t="shared" ca="1" si="262"/>
        <v>657.16042383598551</v>
      </c>
      <c r="BJ151" s="85">
        <f t="shared" ca="1" si="263"/>
        <v>721.07843108406576</v>
      </c>
      <c r="BK151" s="85">
        <f t="shared" ca="1" si="264"/>
        <v>693.17589189739545</v>
      </c>
      <c r="BL151" s="85">
        <f t="shared" ca="1" si="265"/>
        <v>647.42569204773622</v>
      </c>
      <c r="BM151" s="85">
        <f t="shared" ca="1" si="266"/>
        <v>648.41724634915545</v>
      </c>
      <c r="BN151" s="85">
        <f t="shared" ca="1" si="203"/>
        <v>815.43963216676275</v>
      </c>
      <c r="BO151" s="85">
        <f t="shared" ca="1" si="292"/>
        <v>826.45823220624891</v>
      </c>
      <c r="BP151" s="85">
        <f t="shared" ca="1" si="293"/>
        <v>598.20927382661648</v>
      </c>
      <c r="BQ151" s="85">
        <f t="shared" ca="1" si="294"/>
        <v>698.63461839494778</v>
      </c>
      <c r="BR151" s="85">
        <f t="shared" ca="1" si="295"/>
        <v>648.08804310871585</v>
      </c>
      <c r="BS151" s="85">
        <f t="shared" ca="1" si="296"/>
        <v>743.91680042900987</v>
      </c>
      <c r="BT151" s="85">
        <f t="shared" ca="1" si="297"/>
        <v>770.11361239591042</v>
      </c>
      <c r="BU151" s="85">
        <f t="shared" ca="1" si="298"/>
        <v>725.97853586846929</v>
      </c>
      <c r="BV151" s="85">
        <f t="shared" ca="1" si="299"/>
        <v>678.2388676700881</v>
      </c>
      <c r="BW151" s="85">
        <f t="shared" ca="1" si="300"/>
        <v>767.34219639067214</v>
      </c>
      <c r="BX151" s="85">
        <f t="shared" ca="1" si="301"/>
        <v>774.69018253309093</v>
      </c>
      <c r="BY151" s="85">
        <f t="shared" ca="1" si="267"/>
        <v>678.79869121367472</v>
      </c>
      <c r="BZ151" s="85">
        <f t="shared" ca="1" si="268"/>
        <v>683.08533932283501</v>
      </c>
      <c r="CA151" s="85">
        <f t="shared" ca="1" si="269"/>
        <v>695.60234643585943</v>
      </c>
      <c r="CB151" s="85">
        <f t="shared" ca="1" si="270"/>
        <v>647.18649240750426</v>
      </c>
      <c r="CC151" s="85">
        <f t="shared" ca="1" si="271"/>
        <v>772.00604316082229</v>
      </c>
      <c r="CD151" s="85">
        <f t="shared" ca="1" si="272"/>
        <v>836.36435171856476</v>
      </c>
      <c r="CE151" s="85">
        <f t="shared" ca="1" si="273"/>
        <v>653.36630467076418</v>
      </c>
      <c r="CF151" s="85">
        <f t="shared" ca="1" si="274"/>
        <v>786.94388033890709</v>
      </c>
      <c r="CG151" s="85">
        <f t="shared" ca="1" si="275"/>
        <v>647.58957638759659</v>
      </c>
      <c r="CH151" s="85">
        <f t="shared" ca="1" si="276"/>
        <v>724.40264899978922</v>
      </c>
      <c r="CI151" s="85">
        <f t="shared" ca="1" si="277"/>
        <v>679.84101963126523</v>
      </c>
      <c r="CJ151" s="85">
        <f t="shared" ca="1" si="278"/>
        <v>653.79401518124337</v>
      </c>
      <c r="CK151" s="85">
        <f t="shared" ca="1" si="279"/>
        <v>685.80940048078287</v>
      </c>
      <c r="CL151" s="85">
        <f t="shared" ca="1" si="280"/>
        <v>651.3239432145898</v>
      </c>
      <c r="CM151" s="85">
        <f t="shared" ca="1" si="281"/>
        <v>765.5531105569014</v>
      </c>
      <c r="CN151" s="85">
        <f t="shared" ca="1" si="282"/>
        <v>610.23778380570684</v>
      </c>
      <c r="CO151" s="85">
        <f t="shared" ca="1" si="283"/>
        <v>633.78852456144364</v>
      </c>
      <c r="CP151" s="85">
        <f t="shared" ca="1" si="284"/>
        <v>792.56952560230536</v>
      </c>
      <c r="CQ151" s="85">
        <f t="shared" ca="1" si="285"/>
        <v>676.11929754806317</v>
      </c>
      <c r="CR151" s="85">
        <f t="shared" ca="1" si="286"/>
        <v>721.62233706600421</v>
      </c>
      <c r="CS151" s="85">
        <f t="shared" ca="1" si="287"/>
        <v>627.46060706781054</v>
      </c>
      <c r="CT151" s="85">
        <f t="shared" ca="1" si="288"/>
        <v>666.2487561857929</v>
      </c>
      <c r="CU151" s="85">
        <f t="shared" ca="1" si="289"/>
        <v>872.56492478827738</v>
      </c>
      <c r="CV151" s="85">
        <f t="shared" ca="1" si="290"/>
        <v>649.55982708918475</v>
      </c>
      <c r="CW151" s="85">
        <f t="shared" ca="1" si="291"/>
        <v>634.44844607616153</v>
      </c>
    </row>
    <row r="152" spans="1:101" x14ac:dyDescent="0.2">
      <c r="A152" s="115">
        <v>149</v>
      </c>
      <c r="B152" s="85">
        <f t="shared" ca="1" si="202"/>
        <v>580.64342417517685</v>
      </c>
      <c r="C152" s="85">
        <f t="shared" ca="1" si="204"/>
        <v>726.09798875058937</v>
      </c>
      <c r="D152" s="85">
        <f t="shared" ca="1" si="205"/>
        <v>686.58016682058121</v>
      </c>
      <c r="E152" s="85">
        <f t="shared" ca="1" si="206"/>
        <v>623.93983462500591</v>
      </c>
      <c r="F152" s="85">
        <f t="shared" ca="1" si="207"/>
        <v>652.2262036183306</v>
      </c>
      <c r="G152" s="85">
        <f t="shared" ca="1" si="208"/>
        <v>701.72324317673429</v>
      </c>
      <c r="H152" s="85">
        <f t="shared" ca="1" si="209"/>
        <v>700.47052177753233</v>
      </c>
      <c r="I152" s="85">
        <f t="shared" ca="1" si="210"/>
        <v>765.31763922302389</v>
      </c>
      <c r="J152" s="85">
        <f t="shared" ca="1" si="211"/>
        <v>694.40947201599727</v>
      </c>
      <c r="K152" s="85">
        <f t="shared" ca="1" si="212"/>
        <v>742.89417547571134</v>
      </c>
      <c r="L152" s="85">
        <f t="shared" ca="1" si="213"/>
        <v>751.23361678195886</v>
      </c>
      <c r="M152" s="85">
        <f t="shared" ca="1" si="214"/>
        <v>560.47852766547612</v>
      </c>
      <c r="N152" s="85">
        <f t="shared" ca="1" si="215"/>
        <v>669.30698942770846</v>
      </c>
      <c r="O152" s="85">
        <f t="shared" ca="1" si="216"/>
        <v>679.9504402576548</v>
      </c>
      <c r="P152" s="85">
        <f t="shared" ca="1" si="217"/>
        <v>715.3725558513072</v>
      </c>
      <c r="Q152" s="85">
        <f t="shared" ca="1" si="218"/>
        <v>747.95863106457512</v>
      </c>
      <c r="R152" s="85">
        <f t="shared" ca="1" si="219"/>
        <v>673.50650163098715</v>
      </c>
      <c r="S152" s="85">
        <f t="shared" ca="1" si="220"/>
        <v>737.5385580421846</v>
      </c>
      <c r="T152" s="85">
        <f t="shared" ca="1" si="221"/>
        <v>710.86258881059007</v>
      </c>
      <c r="U152" s="85">
        <f t="shared" ca="1" si="222"/>
        <v>667.90183010359954</v>
      </c>
      <c r="V152" s="85">
        <f t="shared" ca="1" si="223"/>
        <v>774.48416623195135</v>
      </c>
      <c r="W152" s="85">
        <f t="shared" ca="1" si="224"/>
        <v>697.8517004179015</v>
      </c>
      <c r="X152" s="85">
        <f t="shared" ca="1" si="225"/>
        <v>730.3052216392939</v>
      </c>
      <c r="Y152" s="85">
        <f t="shared" ca="1" si="226"/>
        <v>623.91302029608698</v>
      </c>
      <c r="Z152" s="85">
        <f t="shared" ca="1" si="227"/>
        <v>733.23449374207053</v>
      </c>
      <c r="AA152" s="85">
        <f t="shared" ca="1" si="228"/>
        <v>636.49557816590743</v>
      </c>
      <c r="AB152" s="85">
        <f t="shared" ca="1" si="229"/>
        <v>794.08944895371178</v>
      </c>
      <c r="AC152" s="85">
        <f t="shared" ca="1" si="230"/>
        <v>719.31654607702058</v>
      </c>
      <c r="AD152" s="85">
        <f t="shared" ca="1" si="231"/>
        <v>794.32970844675071</v>
      </c>
      <c r="AE152" s="85">
        <f t="shared" ca="1" si="232"/>
        <v>944.76022821443496</v>
      </c>
      <c r="AF152" s="85">
        <f t="shared" ca="1" si="233"/>
        <v>649.68899544759597</v>
      </c>
      <c r="AG152" s="85">
        <f t="shared" ca="1" si="234"/>
        <v>760.02691133419466</v>
      </c>
      <c r="AH152" s="85">
        <f t="shared" ca="1" si="235"/>
        <v>628.13118303828867</v>
      </c>
      <c r="AI152" s="85">
        <f t="shared" ca="1" si="236"/>
        <v>759.23426001799055</v>
      </c>
      <c r="AJ152" s="85">
        <f t="shared" ca="1" si="237"/>
        <v>803.23876034869249</v>
      </c>
      <c r="AK152" s="85">
        <f t="shared" ca="1" si="238"/>
        <v>690.02026667517191</v>
      </c>
      <c r="AL152" s="85">
        <f t="shared" ca="1" si="239"/>
        <v>746.54539539140342</v>
      </c>
      <c r="AM152" s="85">
        <f t="shared" ca="1" si="240"/>
        <v>648.23879514649479</v>
      </c>
      <c r="AN152" s="85">
        <f t="shared" ca="1" si="241"/>
        <v>714.50322088364487</v>
      </c>
      <c r="AO152" s="85">
        <f t="shared" ca="1" si="242"/>
        <v>848.69092646365993</v>
      </c>
      <c r="AP152" s="85">
        <f t="shared" ca="1" si="243"/>
        <v>778.10019255111001</v>
      </c>
      <c r="AQ152" s="85">
        <f t="shared" ca="1" si="244"/>
        <v>669.54185587358052</v>
      </c>
      <c r="AR152" s="85">
        <f t="shared" ca="1" si="245"/>
        <v>742.84837095446255</v>
      </c>
      <c r="AS152" s="85">
        <f t="shared" ca="1" si="246"/>
        <v>622.79226227078482</v>
      </c>
      <c r="AT152" s="85">
        <f t="shared" ca="1" si="247"/>
        <v>712.95608804977246</v>
      </c>
      <c r="AU152" s="85">
        <f t="shared" ca="1" si="248"/>
        <v>758.64610329480138</v>
      </c>
      <c r="AV152" s="85">
        <f t="shared" ca="1" si="249"/>
        <v>753.0347007602918</v>
      </c>
      <c r="AW152" s="85">
        <f t="shared" ca="1" si="250"/>
        <v>718.24880328318966</v>
      </c>
      <c r="AX152" s="85">
        <f t="shared" ca="1" si="251"/>
        <v>823.31343726753335</v>
      </c>
      <c r="AY152" s="85">
        <f t="shared" ca="1" si="252"/>
        <v>773.09617112495505</v>
      </c>
      <c r="AZ152" s="85">
        <f t="shared" ca="1" si="253"/>
        <v>746.3088016875281</v>
      </c>
      <c r="BA152" s="85">
        <f t="shared" ca="1" si="254"/>
        <v>774.42719109012364</v>
      </c>
      <c r="BB152" s="85">
        <f t="shared" ca="1" si="255"/>
        <v>661.41441105202034</v>
      </c>
      <c r="BC152" s="85">
        <f t="shared" ca="1" si="256"/>
        <v>719.31834625219813</v>
      </c>
      <c r="BD152" s="85">
        <f t="shared" ca="1" si="257"/>
        <v>727.48016025876984</v>
      </c>
      <c r="BE152" s="85">
        <f t="shared" ca="1" si="258"/>
        <v>663.49731165812796</v>
      </c>
      <c r="BF152" s="85">
        <f t="shared" ca="1" si="259"/>
        <v>713.88869194712549</v>
      </c>
      <c r="BG152" s="85">
        <f t="shared" ca="1" si="260"/>
        <v>664.42857358608683</v>
      </c>
      <c r="BH152" s="85">
        <f t="shared" ca="1" si="261"/>
        <v>784.85783901557863</v>
      </c>
      <c r="BI152" s="85">
        <f t="shared" ca="1" si="262"/>
        <v>667.02173539665</v>
      </c>
      <c r="BJ152" s="85">
        <f t="shared" ca="1" si="263"/>
        <v>734.02542367763374</v>
      </c>
      <c r="BK152" s="85">
        <f t="shared" ca="1" si="264"/>
        <v>688.76599378053265</v>
      </c>
      <c r="BL152" s="85">
        <f t="shared" ca="1" si="265"/>
        <v>657.70167514653826</v>
      </c>
      <c r="BM152" s="85">
        <f t="shared" ca="1" si="266"/>
        <v>649.68960316924642</v>
      </c>
      <c r="BN152" s="85">
        <f t="shared" ca="1" si="203"/>
        <v>817.31554069933838</v>
      </c>
      <c r="BO152" s="85">
        <f t="shared" ca="1" si="292"/>
        <v>853.35807456627094</v>
      </c>
      <c r="BP152" s="85">
        <f t="shared" ca="1" si="293"/>
        <v>604.5830684577387</v>
      </c>
      <c r="BQ152" s="85">
        <f t="shared" ca="1" si="294"/>
        <v>713.62512793288772</v>
      </c>
      <c r="BR152" s="85">
        <f t="shared" ca="1" si="295"/>
        <v>652.3669514168414</v>
      </c>
      <c r="BS152" s="85">
        <f t="shared" ca="1" si="296"/>
        <v>755.14497856491619</v>
      </c>
      <c r="BT152" s="85">
        <f t="shared" ca="1" si="297"/>
        <v>789.73821995116566</v>
      </c>
      <c r="BU152" s="85">
        <f t="shared" ca="1" si="298"/>
        <v>732.34732276595548</v>
      </c>
      <c r="BV152" s="85">
        <f t="shared" ca="1" si="299"/>
        <v>692.30182357219485</v>
      </c>
      <c r="BW152" s="85">
        <f t="shared" ca="1" si="300"/>
        <v>770.9665783317372</v>
      </c>
      <c r="BX152" s="85">
        <f t="shared" ca="1" si="301"/>
        <v>787.30128071849731</v>
      </c>
      <c r="BY152" s="85">
        <f t="shared" ca="1" si="267"/>
        <v>689.80329364412091</v>
      </c>
      <c r="BZ152" s="85">
        <f t="shared" ca="1" si="268"/>
        <v>690.35281891667773</v>
      </c>
      <c r="CA152" s="85">
        <f t="shared" ca="1" si="269"/>
        <v>698.44672642024352</v>
      </c>
      <c r="CB152" s="85">
        <f t="shared" ca="1" si="270"/>
        <v>651.73226663068181</v>
      </c>
      <c r="CC152" s="85">
        <f t="shared" ca="1" si="271"/>
        <v>784.8604813792175</v>
      </c>
      <c r="CD152" s="85">
        <f t="shared" ca="1" si="272"/>
        <v>846.23879802262729</v>
      </c>
      <c r="CE152" s="85">
        <f t="shared" ca="1" si="273"/>
        <v>659.70545687957667</v>
      </c>
      <c r="CF152" s="85">
        <f t="shared" ca="1" si="274"/>
        <v>803.41410476098645</v>
      </c>
      <c r="CG152" s="85">
        <f t="shared" ca="1" si="275"/>
        <v>659.98947369894938</v>
      </c>
      <c r="CH152" s="85">
        <f t="shared" ca="1" si="276"/>
        <v>742.05677302169067</v>
      </c>
      <c r="CI152" s="85">
        <f t="shared" ca="1" si="277"/>
        <v>682.98293987968566</v>
      </c>
      <c r="CJ152" s="85">
        <f t="shared" ca="1" si="278"/>
        <v>658.98891134682583</v>
      </c>
      <c r="CK152" s="85">
        <f t="shared" ca="1" si="279"/>
        <v>696.14432641273675</v>
      </c>
      <c r="CL152" s="85">
        <f t="shared" ca="1" si="280"/>
        <v>659.8756261102061</v>
      </c>
      <c r="CM152" s="85">
        <f t="shared" ca="1" si="281"/>
        <v>769.23098487256971</v>
      </c>
      <c r="CN152" s="85">
        <f t="shared" ca="1" si="282"/>
        <v>620.62578330733186</v>
      </c>
      <c r="CO152" s="85">
        <f t="shared" ca="1" si="283"/>
        <v>645.05525774359762</v>
      </c>
      <c r="CP152" s="85">
        <f t="shared" ca="1" si="284"/>
        <v>802.78373051233336</v>
      </c>
      <c r="CQ152" s="85">
        <f t="shared" ca="1" si="285"/>
        <v>684.22301734720054</v>
      </c>
      <c r="CR152" s="85">
        <f t="shared" ca="1" si="286"/>
        <v>734.02258307251304</v>
      </c>
      <c r="CS152" s="85">
        <f t="shared" ca="1" si="287"/>
        <v>635.46450394089709</v>
      </c>
      <c r="CT152" s="85">
        <f t="shared" ca="1" si="288"/>
        <v>668.89723812642865</v>
      </c>
      <c r="CU152" s="85">
        <f t="shared" ca="1" si="289"/>
        <v>888.84330771258783</v>
      </c>
      <c r="CV152" s="85">
        <f t="shared" ca="1" si="290"/>
        <v>648.24826720227099</v>
      </c>
      <c r="CW152" s="85">
        <f t="shared" ca="1" si="291"/>
        <v>640.0146230927644</v>
      </c>
    </row>
    <row r="153" spans="1:101" x14ac:dyDescent="0.2">
      <c r="A153" s="115">
        <v>150</v>
      </c>
      <c r="B153" s="85">
        <f t="shared" ca="1" si="202"/>
        <v>586.32797070733557</v>
      </c>
      <c r="C153" s="85">
        <f t="shared" ca="1" si="204"/>
        <v>736.3281552655676</v>
      </c>
      <c r="D153" s="85">
        <f t="shared" ca="1" si="205"/>
        <v>687.04178152219947</v>
      </c>
      <c r="E153" s="85">
        <f t="shared" ca="1" si="206"/>
        <v>631.3755995043706</v>
      </c>
      <c r="F153" s="85">
        <f t="shared" ca="1" si="207"/>
        <v>661.19826457974875</v>
      </c>
      <c r="G153" s="85">
        <f t="shared" ca="1" si="208"/>
        <v>709.25351112694159</v>
      </c>
      <c r="H153" s="85">
        <f t="shared" ca="1" si="209"/>
        <v>708.97978907728213</v>
      </c>
      <c r="I153" s="85">
        <f t="shared" ca="1" si="210"/>
        <v>778.07230334964095</v>
      </c>
      <c r="J153" s="85">
        <f t="shared" ca="1" si="211"/>
        <v>711.089394633187</v>
      </c>
      <c r="K153" s="85">
        <f t="shared" ca="1" si="212"/>
        <v>755.32217842995237</v>
      </c>
      <c r="L153" s="85">
        <f t="shared" ca="1" si="213"/>
        <v>766.94945835536498</v>
      </c>
      <c r="M153" s="85">
        <f t="shared" ca="1" si="214"/>
        <v>570.52972489979174</v>
      </c>
      <c r="N153" s="85">
        <f t="shared" ca="1" si="215"/>
        <v>680.87371223066043</v>
      </c>
      <c r="O153" s="85">
        <f t="shared" ca="1" si="216"/>
        <v>686.0078956565219</v>
      </c>
      <c r="P153" s="85">
        <f t="shared" ca="1" si="217"/>
        <v>726.15236199777223</v>
      </c>
      <c r="Q153" s="85">
        <f t="shared" ca="1" si="218"/>
        <v>754.76660581076931</v>
      </c>
      <c r="R153" s="85">
        <f t="shared" ca="1" si="219"/>
        <v>682.00038822628653</v>
      </c>
      <c r="S153" s="85">
        <f t="shared" ca="1" si="220"/>
        <v>752.74315782867711</v>
      </c>
      <c r="T153" s="85">
        <f t="shared" ca="1" si="221"/>
        <v>720.12115025093851</v>
      </c>
      <c r="U153" s="85">
        <f t="shared" ca="1" si="222"/>
        <v>677.65490353784946</v>
      </c>
      <c r="V153" s="85">
        <f t="shared" ca="1" si="223"/>
        <v>776.33261721291694</v>
      </c>
      <c r="W153" s="85">
        <f t="shared" ca="1" si="224"/>
        <v>709.07257892836992</v>
      </c>
      <c r="X153" s="85">
        <f t="shared" ca="1" si="225"/>
        <v>739.17067341414941</v>
      </c>
      <c r="Y153" s="85">
        <f t="shared" ca="1" si="226"/>
        <v>631.12436718327001</v>
      </c>
      <c r="Z153" s="85">
        <f t="shared" ca="1" si="227"/>
        <v>736.37499994561267</v>
      </c>
      <c r="AA153" s="85">
        <f t="shared" ca="1" si="228"/>
        <v>642.14236602229857</v>
      </c>
      <c r="AB153" s="85">
        <f t="shared" ca="1" si="229"/>
        <v>808.92473691455882</v>
      </c>
      <c r="AC153" s="85">
        <f t="shared" ca="1" si="230"/>
        <v>735.78309380509995</v>
      </c>
      <c r="AD153" s="85">
        <f t="shared" ca="1" si="231"/>
        <v>815.16762378020371</v>
      </c>
      <c r="AE153" s="85">
        <f t="shared" ca="1" si="232"/>
        <v>952.46128269369513</v>
      </c>
      <c r="AF153" s="85">
        <f t="shared" ca="1" si="233"/>
        <v>660.99101762164901</v>
      </c>
      <c r="AG153" s="85">
        <f t="shared" ca="1" si="234"/>
        <v>766.50514827086204</v>
      </c>
      <c r="AH153" s="85">
        <f t="shared" ca="1" si="235"/>
        <v>640.39938328637515</v>
      </c>
      <c r="AI153" s="85">
        <f t="shared" ca="1" si="236"/>
        <v>769.64724133406412</v>
      </c>
      <c r="AJ153" s="85">
        <f t="shared" ca="1" si="237"/>
        <v>804.49646411989693</v>
      </c>
      <c r="AK153" s="85">
        <f t="shared" ca="1" si="238"/>
        <v>709.82114536608026</v>
      </c>
      <c r="AL153" s="85">
        <f t="shared" ca="1" si="239"/>
        <v>757.9363772901512</v>
      </c>
      <c r="AM153" s="85">
        <f t="shared" ca="1" si="240"/>
        <v>652.73814767349234</v>
      </c>
      <c r="AN153" s="85">
        <f t="shared" ca="1" si="241"/>
        <v>732.25451489288366</v>
      </c>
      <c r="AO153" s="85">
        <f t="shared" ca="1" si="242"/>
        <v>854.72477339193699</v>
      </c>
      <c r="AP153" s="85">
        <f t="shared" ca="1" si="243"/>
        <v>789.61082236779191</v>
      </c>
      <c r="AQ153" s="85">
        <f t="shared" ca="1" si="244"/>
        <v>671.10954464953477</v>
      </c>
      <c r="AR153" s="85">
        <f t="shared" ca="1" si="245"/>
        <v>750.0762280656927</v>
      </c>
      <c r="AS153" s="85">
        <f t="shared" ca="1" si="246"/>
        <v>634.80298095681007</v>
      </c>
      <c r="AT153" s="85">
        <f t="shared" ca="1" si="247"/>
        <v>718.91781376480901</v>
      </c>
      <c r="AU153" s="85">
        <f t="shared" ca="1" si="248"/>
        <v>781.40365872479265</v>
      </c>
      <c r="AV153" s="85">
        <f t="shared" ca="1" si="249"/>
        <v>758.69318415893474</v>
      </c>
      <c r="AW153" s="85">
        <f t="shared" ca="1" si="250"/>
        <v>729.29821733085623</v>
      </c>
      <c r="AX153" s="85">
        <f t="shared" ca="1" si="251"/>
        <v>833.7933663410596</v>
      </c>
      <c r="AY153" s="85">
        <f t="shared" ca="1" si="252"/>
        <v>782.05883166638989</v>
      </c>
      <c r="AZ153" s="85">
        <f t="shared" ca="1" si="253"/>
        <v>753.76878242278417</v>
      </c>
      <c r="BA153" s="85">
        <f t="shared" ca="1" si="254"/>
        <v>787.02421100871857</v>
      </c>
      <c r="BB153" s="85">
        <f t="shared" ca="1" si="255"/>
        <v>670.71468863003611</v>
      </c>
      <c r="BC153" s="85">
        <f t="shared" ca="1" si="256"/>
        <v>721.03050972907033</v>
      </c>
      <c r="BD153" s="85">
        <f t="shared" ca="1" si="257"/>
        <v>741.38861115381167</v>
      </c>
      <c r="BE153" s="85">
        <f t="shared" ca="1" si="258"/>
        <v>671.42931847194745</v>
      </c>
      <c r="BF153" s="85">
        <f t="shared" ca="1" si="259"/>
        <v>718.91909437213997</v>
      </c>
      <c r="BG153" s="85">
        <f t="shared" ca="1" si="260"/>
        <v>665.99084470619016</v>
      </c>
      <c r="BH153" s="85">
        <f t="shared" ca="1" si="261"/>
        <v>798.28561256840123</v>
      </c>
      <c r="BI153" s="85">
        <f t="shared" ca="1" si="262"/>
        <v>675.06153302423502</v>
      </c>
      <c r="BJ153" s="85">
        <f t="shared" ca="1" si="263"/>
        <v>732.99578224898653</v>
      </c>
      <c r="BK153" s="85">
        <f t="shared" ca="1" si="264"/>
        <v>701.28612375459193</v>
      </c>
      <c r="BL153" s="85">
        <f t="shared" ca="1" si="265"/>
        <v>663.50313494123543</v>
      </c>
      <c r="BM153" s="85">
        <f t="shared" ca="1" si="266"/>
        <v>663.5626297181874</v>
      </c>
      <c r="BN153" s="85">
        <f t="shared" ca="1" si="203"/>
        <v>836.27601309701322</v>
      </c>
      <c r="BO153" s="85">
        <f t="shared" ca="1" si="292"/>
        <v>852.6563461176778</v>
      </c>
      <c r="BP153" s="85">
        <f t="shared" ca="1" si="293"/>
        <v>613.27044390703804</v>
      </c>
      <c r="BQ153" s="85">
        <f t="shared" ca="1" si="294"/>
        <v>725.70151658549628</v>
      </c>
      <c r="BR153" s="85">
        <f t="shared" ca="1" si="295"/>
        <v>660.3231401173407</v>
      </c>
      <c r="BS153" s="85">
        <f t="shared" ca="1" si="296"/>
        <v>765.40650171608672</v>
      </c>
      <c r="BT153" s="85">
        <f t="shared" ca="1" si="297"/>
        <v>791.64896050816537</v>
      </c>
      <c r="BU153" s="85">
        <f t="shared" ca="1" si="298"/>
        <v>740.80415308289469</v>
      </c>
      <c r="BV153" s="85">
        <f t="shared" ca="1" si="299"/>
        <v>703.53740636197995</v>
      </c>
      <c r="BW153" s="85">
        <f t="shared" ca="1" si="300"/>
        <v>775.62094279674136</v>
      </c>
      <c r="BX153" s="85">
        <f t="shared" ca="1" si="301"/>
        <v>792.85485803597828</v>
      </c>
      <c r="BY153" s="85">
        <f t="shared" ca="1" si="267"/>
        <v>699.41078777281837</v>
      </c>
      <c r="BZ153" s="85">
        <f t="shared" ca="1" si="268"/>
        <v>699.170294767222</v>
      </c>
      <c r="CA153" s="85">
        <f t="shared" ca="1" si="269"/>
        <v>713.88589301677996</v>
      </c>
      <c r="CB153" s="85">
        <f t="shared" ca="1" si="270"/>
        <v>660.33511518313617</v>
      </c>
      <c r="CC153" s="85">
        <f t="shared" ca="1" si="271"/>
        <v>785.51063722543859</v>
      </c>
      <c r="CD153" s="85">
        <f t="shared" ca="1" si="272"/>
        <v>855.19006976700791</v>
      </c>
      <c r="CE153" s="85">
        <f t="shared" ca="1" si="273"/>
        <v>668.8160445213498</v>
      </c>
      <c r="CF153" s="85">
        <f t="shared" ca="1" si="274"/>
        <v>814.3670163096441</v>
      </c>
      <c r="CG153" s="85">
        <f t="shared" ca="1" si="275"/>
        <v>665.82250727536291</v>
      </c>
      <c r="CH153" s="85">
        <f t="shared" ca="1" si="276"/>
        <v>751.8212189040986</v>
      </c>
      <c r="CI153" s="85">
        <f t="shared" ca="1" si="277"/>
        <v>686.01558474931539</v>
      </c>
      <c r="CJ153" s="85">
        <f t="shared" ca="1" si="278"/>
        <v>670.52970744959407</v>
      </c>
      <c r="CK153" s="85">
        <f t="shared" ca="1" si="279"/>
        <v>706.3649410918747</v>
      </c>
      <c r="CL153" s="85">
        <f t="shared" ca="1" si="280"/>
        <v>670.1459465342291</v>
      </c>
      <c r="CM153" s="85">
        <f t="shared" ca="1" si="281"/>
        <v>784.75170489926109</v>
      </c>
      <c r="CN153" s="85">
        <f t="shared" ca="1" si="282"/>
        <v>630.81188332073168</v>
      </c>
      <c r="CO153" s="85">
        <f t="shared" ca="1" si="283"/>
        <v>652.67988959509933</v>
      </c>
      <c r="CP153" s="85">
        <f t="shared" ca="1" si="284"/>
        <v>809.24658780615255</v>
      </c>
      <c r="CQ153" s="85">
        <f t="shared" ca="1" si="285"/>
        <v>697.01110947302459</v>
      </c>
      <c r="CR153" s="85">
        <f t="shared" ca="1" si="286"/>
        <v>746.87548324648822</v>
      </c>
      <c r="CS153" s="85">
        <f t="shared" ca="1" si="287"/>
        <v>639.50447160966121</v>
      </c>
      <c r="CT153" s="85">
        <f t="shared" ca="1" si="288"/>
        <v>676.40834518294218</v>
      </c>
      <c r="CU153" s="85">
        <f t="shared" ca="1" si="289"/>
        <v>899.62992291741978</v>
      </c>
      <c r="CV153" s="85">
        <f t="shared" ca="1" si="290"/>
        <v>654.81034379640721</v>
      </c>
      <c r="CW153" s="85">
        <f t="shared" ca="1" si="291"/>
        <v>650.6444436653569</v>
      </c>
    </row>
    <row r="154" spans="1:101" x14ac:dyDescent="0.2">
      <c r="A154" s="115">
        <v>151</v>
      </c>
      <c r="B154" s="85">
        <f t="shared" ca="1" si="202"/>
        <v>599.01237525616182</v>
      </c>
      <c r="C154" s="85">
        <f t="shared" ca="1" si="204"/>
        <v>750.97991534422727</v>
      </c>
      <c r="D154" s="85">
        <f t="shared" ca="1" si="205"/>
        <v>696.07781581645906</v>
      </c>
      <c r="E154" s="85">
        <f t="shared" ca="1" si="206"/>
        <v>633.99400557852971</v>
      </c>
      <c r="F154" s="85">
        <f t="shared" ca="1" si="207"/>
        <v>663.42547480911003</v>
      </c>
      <c r="G154" s="85">
        <f t="shared" ca="1" si="208"/>
        <v>714.42295532671471</v>
      </c>
      <c r="H154" s="85">
        <f t="shared" ca="1" si="209"/>
        <v>721.1853423267238</v>
      </c>
      <c r="I154" s="85">
        <f t="shared" ca="1" si="210"/>
        <v>787.87364871166847</v>
      </c>
      <c r="J154" s="85">
        <f t="shared" ca="1" si="211"/>
        <v>720.69705355040583</v>
      </c>
      <c r="K154" s="85">
        <f t="shared" ca="1" si="212"/>
        <v>762.65702794107301</v>
      </c>
      <c r="L154" s="85">
        <f t="shared" ca="1" si="213"/>
        <v>773.99807426186203</v>
      </c>
      <c r="M154" s="85">
        <f t="shared" ca="1" si="214"/>
        <v>582.74431567029967</v>
      </c>
      <c r="N154" s="85">
        <f t="shared" ca="1" si="215"/>
        <v>689.73889928910967</v>
      </c>
      <c r="O154" s="85">
        <f t="shared" ca="1" si="216"/>
        <v>697.75679889308321</v>
      </c>
      <c r="P154" s="85">
        <f t="shared" ca="1" si="217"/>
        <v>736.61046818326611</v>
      </c>
      <c r="Q154" s="85">
        <f t="shared" ca="1" si="218"/>
        <v>758.21862124706377</v>
      </c>
      <c r="R154" s="85">
        <f t="shared" ca="1" si="219"/>
        <v>693.19934599268754</v>
      </c>
      <c r="S154" s="85">
        <f t="shared" ca="1" si="220"/>
        <v>757.78946637896809</v>
      </c>
      <c r="T154" s="85">
        <f t="shared" ca="1" si="221"/>
        <v>728.75236741029187</v>
      </c>
      <c r="U154" s="85">
        <f t="shared" ca="1" si="222"/>
        <v>685.41836599746227</v>
      </c>
      <c r="V154" s="85">
        <f t="shared" ca="1" si="223"/>
        <v>784.52301696048846</v>
      </c>
      <c r="W154" s="85">
        <f t="shared" ca="1" si="224"/>
        <v>719.79728787816794</v>
      </c>
      <c r="X154" s="85">
        <f t="shared" ca="1" si="225"/>
        <v>754.32382896478657</v>
      </c>
      <c r="Y154" s="85">
        <f t="shared" ca="1" si="226"/>
        <v>639.64593718657397</v>
      </c>
      <c r="Z154" s="85">
        <f t="shared" ca="1" si="227"/>
        <v>749.80196355469377</v>
      </c>
      <c r="AA154" s="85">
        <f t="shared" ca="1" si="228"/>
        <v>654.64445419844674</v>
      </c>
      <c r="AB154" s="85">
        <f t="shared" ca="1" si="229"/>
        <v>814.24424305157027</v>
      </c>
      <c r="AC154" s="85">
        <f t="shared" ca="1" si="230"/>
        <v>735.42446860706639</v>
      </c>
      <c r="AD154" s="85">
        <f t="shared" ca="1" si="231"/>
        <v>820.63340342826405</v>
      </c>
      <c r="AE154" s="85">
        <f t="shared" ca="1" si="232"/>
        <v>965.42902331965706</v>
      </c>
      <c r="AF154" s="85">
        <f t="shared" ca="1" si="233"/>
        <v>665.788055632225</v>
      </c>
      <c r="AG154" s="85">
        <f t="shared" ca="1" si="234"/>
        <v>769.73318111821686</v>
      </c>
      <c r="AH154" s="85">
        <f t="shared" ca="1" si="235"/>
        <v>652.01922563153084</v>
      </c>
      <c r="AI154" s="85">
        <f t="shared" ca="1" si="236"/>
        <v>776.24040314611705</v>
      </c>
      <c r="AJ154" s="85">
        <f t="shared" ca="1" si="237"/>
        <v>815.27883856708831</v>
      </c>
      <c r="AK154" s="85">
        <f t="shared" ca="1" si="238"/>
        <v>723.80514750928148</v>
      </c>
      <c r="AL154" s="85">
        <f t="shared" ca="1" si="239"/>
        <v>772.37532877215165</v>
      </c>
      <c r="AM154" s="85">
        <f t="shared" ca="1" si="240"/>
        <v>667.40348941451487</v>
      </c>
      <c r="AN154" s="85">
        <f t="shared" ca="1" si="241"/>
        <v>755.33182433075694</v>
      </c>
      <c r="AO154" s="85">
        <f t="shared" ca="1" si="242"/>
        <v>878.10379108000586</v>
      </c>
      <c r="AP154" s="85">
        <f t="shared" ca="1" si="243"/>
        <v>807.2167598869562</v>
      </c>
      <c r="AQ154" s="85">
        <f t="shared" ca="1" si="244"/>
        <v>682.50546293499758</v>
      </c>
      <c r="AR154" s="85">
        <f t="shared" ca="1" si="245"/>
        <v>759.17375726549608</v>
      </c>
      <c r="AS154" s="85">
        <f t="shared" ca="1" si="246"/>
        <v>652.25879228342376</v>
      </c>
      <c r="AT154" s="85">
        <f t="shared" ca="1" si="247"/>
        <v>726.03641063767714</v>
      </c>
      <c r="AU154" s="85">
        <f t="shared" ca="1" si="248"/>
        <v>792.04507701093223</v>
      </c>
      <c r="AV154" s="85">
        <f t="shared" ca="1" si="249"/>
        <v>763.70872869000448</v>
      </c>
      <c r="AW154" s="85">
        <f t="shared" ca="1" si="250"/>
        <v>743.05757577211284</v>
      </c>
      <c r="AX154" s="85">
        <f t="shared" ca="1" si="251"/>
        <v>843.51338108681773</v>
      </c>
      <c r="AY154" s="85">
        <f t="shared" ca="1" si="252"/>
        <v>793.1094975563044</v>
      </c>
      <c r="AZ154" s="85">
        <f t="shared" ca="1" si="253"/>
        <v>765.27705289883966</v>
      </c>
      <c r="BA154" s="85">
        <f t="shared" ca="1" si="254"/>
        <v>798.860621416443</v>
      </c>
      <c r="BB154" s="85">
        <f t="shared" ca="1" si="255"/>
        <v>674.62123562416821</v>
      </c>
      <c r="BC154" s="85">
        <f t="shared" ca="1" si="256"/>
        <v>722.90790784872172</v>
      </c>
      <c r="BD154" s="85">
        <f t="shared" ca="1" si="257"/>
        <v>749.5130350446708</v>
      </c>
      <c r="BE154" s="85">
        <f t="shared" ca="1" si="258"/>
        <v>674.22228394311526</v>
      </c>
      <c r="BF154" s="85">
        <f t="shared" ca="1" si="259"/>
        <v>733.08976996675665</v>
      </c>
      <c r="BG154" s="85">
        <f t="shared" ca="1" si="260"/>
        <v>676.11747474857589</v>
      </c>
      <c r="BH154" s="85">
        <f t="shared" ca="1" si="261"/>
        <v>813.23535756723913</v>
      </c>
      <c r="BI154" s="85">
        <f t="shared" ca="1" si="262"/>
        <v>690.17074477912161</v>
      </c>
      <c r="BJ154" s="85">
        <f t="shared" ca="1" si="263"/>
        <v>742.03618795337377</v>
      </c>
      <c r="BK154" s="85">
        <f t="shared" ca="1" si="264"/>
        <v>713.79129096527015</v>
      </c>
      <c r="BL154" s="85">
        <f t="shared" ca="1" si="265"/>
        <v>675.52986069303881</v>
      </c>
      <c r="BM154" s="85">
        <f t="shared" ca="1" si="266"/>
        <v>665.40110236179078</v>
      </c>
      <c r="BN154" s="85">
        <f t="shared" ca="1" si="203"/>
        <v>838.99592031115242</v>
      </c>
      <c r="BO154" s="85">
        <f t="shared" ca="1" si="292"/>
        <v>856.49584494541421</v>
      </c>
      <c r="BP154" s="85">
        <f t="shared" ca="1" si="293"/>
        <v>623.14274199355157</v>
      </c>
      <c r="BQ154" s="85">
        <f t="shared" ca="1" si="294"/>
        <v>734.13368468361568</v>
      </c>
      <c r="BR154" s="85">
        <f t="shared" ca="1" si="295"/>
        <v>666.77653697206802</v>
      </c>
      <c r="BS154" s="85">
        <f t="shared" ca="1" si="296"/>
        <v>769.40879069379491</v>
      </c>
      <c r="BT154" s="85">
        <f t="shared" ca="1" si="297"/>
        <v>797.37697983520604</v>
      </c>
      <c r="BU154" s="85">
        <f t="shared" ca="1" si="298"/>
        <v>747.63822369570573</v>
      </c>
      <c r="BV154" s="85">
        <f t="shared" ca="1" si="299"/>
        <v>722.70782547495264</v>
      </c>
      <c r="BW154" s="85">
        <f t="shared" ca="1" si="300"/>
        <v>788.61807259270563</v>
      </c>
      <c r="BX154" s="85">
        <f t="shared" ca="1" si="301"/>
        <v>789.37607133979463</v>
      </c>
      <c r="BY154" s="85">
        <f t="shared" ca="1" si="267"/>
        <v>713.38801741314364</v>
      </c>
      <c r="BZ154" s="85">
        <f t="shared" ca="1" si="268"/>
        <v>709.75220975476066</v>
      </c>
      <c r="CA154" s="85">
        <f t="shared" ca="1" si="269"/>
        <v>725.88190189020304</v>
      </c>
      <c r="CB154" s="85">
        <f t="shared" ca="1" si="270"/>
        <v>662.55227394794599</v>
      </c>
      <c r="CC154" s="85">
        <f t="shared" ca="1" si="271"/>
        <v>798.59104585248542</v>
      </c>
      <c r="CD154" s="85">
        <f t="shared" ca="1" si="272"/>
        <v>866.18743783102013</v>
      </c>
      <c r="CE154" s="85">
        <f t="shared" ca="1" si="273"/>
        <v>675.26923843507893</v>
      </c>
      <c r="CF154" s="85">
        <f t="shared" ca="1" si="274"/>
        <v>820.61098494991563</v>
      </c>
      <c r="CG154" s="85">
        <f t="shared" ca="1" si="275"/>
        <v>671.22979913270729</v>
      </c>
      <c r="CH154" s="85">
        <f t="shared" ca="1" si="276"/>
        <v>762.3314424888373</v>
      </c>
      <c r="CI154" s="85">
        <f t="shared" ca="1" si="277"/>
        <v>691.90131511291622</v>
      </c>
      <c r="CJ154" s="85">
        <f t="shared" ca="1" si="278"/>
        <v>676.93532195598846</v>
      </c>
      <c r="CK154" s="85">
        <f t="shared" ca="1" si="279"/>
        <v>717.78305438113625</v>
      </c>
      <c r="CL154" s="85">
        <f t="shared" ca="1" si="280"/>
        <v>682.44637797780467</v>
      </c>
      <c r="CM154" s="85">
        <f t="shared" ca="1" si="281"/>
        <v>799.11897823602965</v>
      </c>
      <c r="CN154" s="85">
        <f t="shared" ca="1" si="282"/>
        <v>636.94475932628472</v>
      </c>
      <c r="CO154" s="85">
        <f t="shared" ca="1" si="283"/>
        <v>662.20810528867423</v>
      </c>
      <c r="CP154" s="85">
        <f t="shared" ca="1" si="284"/>
        <v>813.19899968976813</v>
      </c>
      <c r="CQ154" s="85">
        <f t="shared" ca="1" si="285"/>
        <v>705.39699943060361</v>
      </c>
      <c r="CR154" s="85">
        <f t="shared" ca="1" si="286"/>
        <v>765.14307328375537</v>
      </c>
      <c r="CS154" s="85">
        <f t="shared" ca="1" si="287"/>
        <v>650.73988934253964</v>
      </c>
      <c r="CT154" s="85">
        <f t="shared" ca="1" si="288"/>
        <v>686.23443146939439</v>
      </c>
      <c r="CU154" s="85">
        <f t="shared" ca="1" si="289"/>
        <v>912.42844539450414</v>
      </c>
      <c r="CV154" s="85">
        <f t="shared" ca="1" si="290"/>
        <v>660.68609988615924</v>
      </c>
      <c r="CW154" s="85">
        <f t="shared" ca="1" si="291"/>
        <v>667.80969735221731</v>
      </c>
    </row>
    <row r="155" spans="1:101" x14ac:dyDescent="0.2">
      <c r="A155" s="115">
        <v>152</v>
      </c>
      <c r="B155" s="85">
        <f t="shared" ca="1" si="202"/>
        <v>604.88274283218448</v>
      </c>
      <c r="C155" s="85">
        <f t="shared" ca="1" si="204"/>
        <v>763.49482293503763</v>
      </c>
      <c r="D155" s="85">
        <f t="shared" ca="1" si="205"/>
        <v>699.30779806255657</v>
      </c>
      <c r="E155" s="85">
        <f t="shared" ca="1" si="206"/>
        <v>651.46962931472262</v>
      </c>
      <c r="F155" s="85">
        <f t="shared" ca="1" si="207"/>
        <v>681.31136623902671</v>
      </c>
      <c r="G155" s="85">
        <f t="shared" ca="1" si="208"/>
        <v>725.90150730730807</v>
      </c>
      <c r="H155" s="85">
        <f t="shared" ca="1" si="209"/>
        <v>737.90599159306646</v>
      </c>
      <c r="I155" s="85">
        <f t="shared" ca="1" si="210"/>
        <v>803.3647880833588</v>
      </c>
      <c r="J155" s="85">
        <f t="shared" ca="1" si="211"/>
        <v>734.43716917650158</v>
      </c>
      <c r="K155" s="85">
        <f t="shared" ca="1" si="212"/>
        <v>773.45093684019855</v>
      </c>
      <c r="L155" s="85">
        <f t="shared" ca="1" si="213"/>
        <v>783.26993854733894</v>
      </c>
      <c r="M155" s="85">
        <f t="shared" ca="1" si="214"/>
        <v>590.41063186456756</v>
      </c>
      <c r="N155" s="85">
        <f t="shared" ca="1" si="215"/>
        <v>709.07178573722808</v>
      </c>
      <c r="O155" s="85">
        <f t="shared" ca="1" si="216"/>
        <v>704.04869612991934</v>
      </c>
      <c r="P155" s="85">
        <f t="shared" ca="1" si="217"/>
        <v>740.97801019876704</v>
      </c>
      <c r="Q155" s="85">
        <f t="shared" ca="1" si="218"/>
        <v>771.0439530917057</v>
      </c>
      <c r="R155" s="85">
        <f t="shared" ca="1" si="219"/>
        <v>697.75551562999465</v>
      </c>
      <c r="S155" s="85">
        <f t="shared" ca="1" si="220"/>
        <v>762.97010355377893</v>
      </c>
      <c r="T155" s="85">
        <f t="shared" ca="1" si="221"/>
        <v>737.61360381861084</v>
      </c>
      <c r="U155" s="85">
        <f t="shared" ca="1" si="222"/>
        <v>694.48867870156027</v>
      </c>
      <c r="V155" s="85">
        <f t="shared" ca="1" si="223"/>
        <v>794.5444306691528</v>
      </c>
      <c r="W155" s="85">
        <f t="shared" ca="1" si="224"/>
        <v>732.58103022186242</v>
      </c>
      <c r="X155" s="85">
        <f t="shared" ca="1" si="225"/>
        <v>759.38082500186135</v>
      </c>
      <c r="Y155" s="85">
        <f t="shared" ca="1" si="226"/>
        <v>656.17876209231304</v>
      </c>
      <c r="Z155" s="85">
        <f t="shared" ca="1" si="227"/>
        <v>750.95565458263434</v>
      </c>
      <c r="AA155" s="85">
        <f t="shared" ca="1" si="228"/>
        <v>660.34642446915052</v>
      </c>
      <c r="AB155" s="85">
        <f t="shared" ca="1" si="229"/>
        <v>827.35103609630767</v>
      </c>
      <c r="AC155" s="85">
        <f t="shared" ca="1" si="230"/>
        <v>739.49246833495476</v>
      </c>
      <c r="AD155" s="85">
        <f t="shared" ca="1" si="231"/>
        <v>826.80743608601597</v>
      </c>
      <c r="AE155" s="85">
        <f t="shared" ca="1" si="232"/>
        <v>983.48341518590473</v>
      </c>
      <c r="AF155" s="85">
        <f t="shared" ca="1" si="233"/>
        <v>667.90930915147214</v>
      </c>
      <c r="AG155" s="85">
        <f t="shared" ca="1" si="234"/>
        <v>793.95300778817364</v>
      </c>
      <c r="AH155" s="85">
        <f t="shared" ca="1" si="235"/>
        <v>658.04853465030419</v>
      </c>
      <c r="AI155" s="85">
        <f t="shared" ca="1" si="236"/>
        <v>788.69042484299996</v>
      </c>
      <c r="AJ155" s="85">
        <f t="shared" ca="1" si="237"/>
        <v>825.69331098250632</v>
      </c>
      <c r="AK155" s="85">
        <f t="shared" ca="1" si="238"/>
        <v>729.55737927670032</v>
      </c>
      <c r="AL155" s="85">
        <f t="shared" ca="1" si="239"/>
        <v>789.23559719955483</v>
      </c>
      <c r="AM155" s="85">
        <f t="shared" ca="1" si="240"/>
        <v>673.91298827802802</v>
      </c>
      <c r="AN155" s="85">
        <f t="shared" ca="1" si="241"/>
        <v>775.53313336926476</v>
      </c>
      <c r="AO155" s="85">
        <f t="shared" ca="1" si="242"/>
        <v>883.27280307123328</v>
      </c>
      <c r="AP155" s="85">
        <f t="shared" ca="1" si="243"/>
        <v>811.7753178674518</v>
      </c>
      <c r="AQ155" s="85">
        <f t="shared" ca="1" si="244"/>
        <v>694.60686394003812</v>
      </c>
      <c r="AR155" s="85">
        <f t="shared" ca="1" si="245"/>
        <v>760.01916249619126</v>
      </c>
      <c r="AS155" s="85">
        <f t="shared" ca="1" si="246"/>
        <v>669.25915974622808</v>
      </c>
      <c r="AT155" s="85">
        <f t="shared" ca="1" si="247"/>
        <v>736.52301074668992</v>
      </c>
      <c r="AU155" s="85">
        <f t="shared" ca="1" si="248"/>
        <v>800.26889068395337</v>
      </c>
      <c r="AV155" s="85">
        <f t="shared" ca="1" si="249"/>
        <v>776.97521176249006</v>
      </c>
      <c r="AW155" s="85">
        <f t="shared" ca="1" si="250"/>
        <v>756.66216713124174</v>
      </c>
      <c r="AX155" s="85">
        <f t="shared" ca="1" si="251"/>
        <v>860.93173534544087</v>
      </c>
      <c r="AY155" s="85">
        <f t="shared" ca="1" si="252"/>
        <v>804.82672093197471</v>
      </c>
      <c r="AZ155" s="85">
        <f t="shared" ca="1" si="253"/>
        <v>767.21334889165132</v>
      </c>
      <c r="BA155" s="85">
        <f t="shared" ca="1" si="254"/>
        <v>819.83532289463358</v>
      </c>
      <c r="BB155" s="85">
        <f t="shared" ca="1" si="255"/>
        <v>676.74023082127417</v>
      </c>
      <c r="BC155" s="85">
        <f t="shared" ca="1" si="256"/>
        <v>741.95742438522109</v>
      </c>
      <c r="BD155" s="85">
        <f t="shared" ca="1" si="257"/>
        <v>759.58781321909578</v>
      </c>
      <c r="BE155" s="85">
        <f t="shared" ca="1" si="258"/>
        <v>680.60752494109704</v>
      </c>
      <c r="BF155" s="85">
        <f t="shared" ca="1" si="259"/>
        <v>743.53087144923609</v>
      </c>
      <c r="BG155" s="85">
        <f t="shared" ca="1" si="260"/>
        <v>683.57190268257318</v>
      </c>
      <c r="BH155" s="85">
        <f t="shared" ca="1" si="261"/>
        <v>830.90956257500727</v>
      </c>
      <c r="BI155" s="85">
        <f t="shared" ca="1" si="262"/>
        <v>697.55217087518827</v>
      </c>
      <c r="BJ155" s="85">
        <f t="shared" ca="1" si="263"/>
        <v>748.82401245622066</v>
      </c>
      <c r="BK155" s="85">
        <f t="shared" ca="1" si="264"/>
        <v>719.10508559965206</v>
      </c>
      <c r="BL155" s="85">
        <f t="shared" ca="1" si="265"/>
        <v>685.71159266520976</v>
      </c>
      <c r="BM155" s="85">
        <f t="shared" ca="1" si="266"/>
        <v>671.71001850346227</v>
      </c>
      <c r="BN155" s="85">
        <f t="shared" ca="1" si="203"/>
        <v>849.5030985535908</v>
      </c>
      <c r="BO155" s="85">
        <f t="shared" ca="1" si="292"/>
        <v>865.15454170145506</v>
      </c>
      <c r="BP155" s="85">
        <f t="shared" ca="1" si="293"/>
        <v>623.1676025317754</v>
      </c>
      <c r="BQ155" s="85">
        <f t="shared" ca="1" si="294"/>
        <v>742.61972599910894</v>
      </c>
      <c r="BR155" s="85">
        <f t="shared" ca="1" si="295"/>
        <v>669.13265259333923</v>
      </c>
      <c r="BS155" s="85">
        <f t="shared" ca="1" si="296"/>
        <v>789.0107801271671</v>
      </c>
      <c r="BT155" s="85">
        <f t="shared" ca="1" si="297"/>
        <v>810.35477294078169</v>
      </c>
      <c r="BU155" s="85">
        <f t="shared" ca="1" si="298"/>
        <v>754.45010367095779</v>
      </c>
      <c r="BV155" s="85">
        <f t="shared" ca="1" si="299"/>
        <v>730.85855362819996</v>
      </c>
      <c r="BW155" s="85">
        <f t="shared" ca="1" si="300"/>
        <v>802.96047189671594</v>
      </c>
      <c r="BX155" s="85">
        <f t="shared" ca="1" si="301"/>
        <v>799.91867328306023</v>
      </c>
      <c r="BY155" s="85">
        <f t="shared" ca="1" si="267"/>
        <v>712.75012046404072</v>
      </c>
      <c r="BZ155" s="85">
        <f t="shared" ca="1" si="268"/>
        <v>726.50585088625974</v>
      </c>
      <c r="CA155" s="85">
        <f t="shared" ca="1" si="269"/>
        <v>734.80994453142671</v>
      </c>
      <c r="CB155" s="85">
        <f t="shared" ca="1" si="270"/>
        <v>668.90165892096525</v>
      </c>
      <c r="CC155" s="85">
        <f t="shared" ca="1" si="271"/>
        <v>813.84407211366818</v>
      </c>
      <c r="CD155" s="85">
        <f t="shared" ca="1" si="272"/>
        <v>884.20591655451983</v>
      </c>
      <c r="CE155" s="85">
        <f t="shared" ca="1" si="273"/>
        <v>689.26281180937406</v>
      </c>
      <c r="CF155" s="85">
        <f t="shared" ca="1" si="274"/>
        <v>823.6635922425221</v>
      </c>
      <c r="CG155" s="85">
        <f t="shared" ca="1" si="275"/>
        <v>677.15757061621377</v>
      </c>
      <c r="CH155" s="85">
        <f t="shared" ca="1" si="276"/>
        <v>783.70450436204555</v>
      </c>
      <c r="CI155" s="85">
        <f t="shared" ca="1" si="277"/>
        <v>712.02172072981443</v>
      </c>
      <c r="CJ155" s="85">
        <f t="shared" ca="1" si="278"/>
        <v>688.74287213706032</v>
      </c>
      <c r="CK155" s="85">
        <f t="shared" ca="1" si="279"/>
        <v>721.8495306767428</v>
      </c>
      <c r="CL155" s="85">
        <f t="shared" ca="1" si="280"/>
        <v>685.22960694955543</v>
      </c>
      <c r="CM155" s="85">
        <f t="shared" ca="1" si="281"/>
        <v>809.47233123503008</v>
      </c>
      <c r="CN155" s="85">
        <f t="shared" ca="1" si="282"/>
        <v>639.88869525827386</v>
      </c>
      <c r="CO155" s="85">
        <f t="shared" ca="1" si="283"/>
        <v>678.57568941018303</v>
      </c>
      <c r="CP155" s="85">
        <f t="shared" ca="1" si="284"/>
        <v>818.89632211003368</v>
      </c>
      <c r="CQ155" s="85">
        <f t="shared" ca="1" si="285"/>
        <v>714.31354940777999</v>
      </c>
      <c r="CR155" s="85">
        <f t="shared" ca="1" si="286"/>
        <v>779.24831061253349</v>
      </c>
      <c r="CS155" s="85">
        <f t="shared" ca="1" si="287"/>
        <v>657.17554943174923</v>
      </c>
      <c r="CT155" s="85">
        <f t="shared" ca="1" si="288"/>
        <v>694.19670680330046</v>
      </c>
      <c r="CU155" s="85">
        <f t="shared" ca="1" si="289"/>
        <v>935.41025156887429</v>
      </c>
      <c r="CV155" s="85">
        <f t="shared" ca="1" si="290"/>
        <v>670.98882824512111</v>
      </c>
      <c r="CW155" s="85">
        <f t="shared" ca="1" si="291"/>
        <v>673.2862499542947</v>
      </c>
    </row>
    <row r="156" spans="1:101" x14ac:dyDescent="0.2">
      <c r="A156" s="115">
        <v>153</v>
      </c>
      <c r="B156" s="85">
        <f t="shared" ca="1" si="202"/>
        <v>614.27943275645646</v>
      </c>
      <c r="C156" s="85">
        <f t="shared" ca="1" si="204"/>
        <v>768.14378819577553</v>
      </c>
      <c r="D156" s="85">
        <f t="shared" ca="1" si="205"/>
        <v>715.72354341696052</v>
      </c>
      <c r="E156" s="85">
        <f t="shared" ca="1" si="206"/>
        <v>655.76313715322601</v>
      </c>
      <c r="F156" s="85">
        <f t="shared" ca="1" si="207"/>
        <v>688.46312202834122</v>
      </c>
      <c r="G156" s="85">
        <f t="shared" ca="1" si="208"/>
        <v>739.0670217580622</v>
      </c>
      <c r="H156" s="85">
        <f t="shared" ca="1" si="209"/>
        <v>749.98702950001143</v>
      </c>
      <c r="I156" s="85">
        <f t="shared" ca="1" si="210"/>
        <v>823.80649793808857</v>
      </c>
      <c r="J156" s="85">
        <f t="shared" ca="1" si="211"/>
        <v>753.1841810499136</v>
      </c>
      <c r="K156" s="85">
        <f t="shared" ca="1" si="212"/>
        <v>788.17524743057334</v>
      </c>
      <c r="L156" s="85">
        <f t="shared" ca="1" si="213"/>
        <v>786.95639324095021</v>
      </c>
      <c r="M156" s="85">
        <f t="shared" ca="1" si="214"/>
        <v>595.76884364939372</v>
      </c>
      <c r="N156" s="85">
        <f t="shared" ca="1" si="215"/>
        <v>722.81280180407873</v>
      </c>
      <c r="O156" s="85">
        <f t="shared" ca="1" si="216"/>
        <v>713.89635875346846</v>
      </c>
      <c r="P156" s="85">
        <f t="shared" ca="1" si="217"/>
        <v>755.46012365109596</v>
      </c>
      <c r="Q156" s="85">
        <f t="shared" ca="1" si="218"/>
        <v>783.57782898176777</v>
      </c>
      <c r="R156" s="85">
        <f t="shared" ca="1" si="219"/>
        <v>706.08028430913464</v>
      </c>
      <c r="S156" s="85">
        <f t="shared" ca="1" si="220"/>
        <v>766.22595829539443</v>
      </c>
      <c r="T156" s="85">
        <f t="shared" ca="1" si="221"/>
        <v>746.3534794444455</v>
      </c>
      <c r="U156" s="85">
        <f t="shared" ca="1" si="222"/>
        <v>699.88323842557588</v>
      </c>
      <c r="V156" s="85">
        <f t="shared" ca="1" si="223"/>
        <v>808.54436056033069</v>
      </c>
      <c r="W156" s="85">
        <f t="shared" ca="1" si="224"/>
        <v>735.57364627328377</v>
      </c>
      <c r="X156" s="85">
        <f t="shared" ca="1" si="225"/>
        <v>771.557103575273</v>
      </c>
      <c r="Y156" s="85">
        <f t="shared" ca="1" si="226"/>
        <v>669.3225146940523</v>
      </c>
      <c r="Z156" s="85">
        <f t="shared" ca="1" si="227"/>
        <v>760.62581937052869</v>
      </c>
      <c r="AA156" s="85">
        <f t="shared" ca="1" si="228"/>
        <v>664.8136732770231</v>
      </c>
      <c r="AB156" s="85">
        <f t="shared" ca="1" si="229"/>
        <v>831.89102702989533</v>
      </c>
      <c r="AC156" s="85">
        <f t="shared" ca="1" si="230"/>
        <v>750.73324096269812</v>
      </c>
      <c r="AD156" s="85">
        <f t="shared" ca="1" si="231"/>
        <v>838.27073965282295</v>
      </c>
      <c r="AE156" s="85">
        <f t="shared" ca="1" si="232"/>
        <v>997.43766085069319</v>
      </c>
      <c r="AF156" s="85">
        <f t="shared" ca="1" si="233"/>
        <v>674.74643063522183</v>
      </c>
      <c r="AG156" s="85">
        <f t="shared" ca="1" si="234"/>
        <v>803.81285113250908</v>
      </c>
      <c r="AH156" s="85">
        <f t="shared" ca="1" si="235"/>
        <v>663.73943129882707</v>
      </c>
      <c r="AI156" s="85">
        <f t="shared" ca="1" si="236"/>
        <v>792.82771003432129</v>
      </c>
      <c r="AJ156" s="85">
        <f t="shared" ca="1" si="237"/>
        <v>826.96531903114317</v>
      </c>
      <c r="AK156" s="85">
        <f t="shared" ca="1" si="238"/>
        <v>733.25512210024363</v>
      </c>
      <c r="AL156" s="85">
        <f t="shared" ca="1" si="239"/>
        <v>793.22387734070571</v>
      </c>
      <c r="AM156" s="85">
        <f t="shared" ca="1" si="240"/>
        <v>683.03417517351943</v>
      </c>
      <c r="AN156" s="85">
        <f t="shared" ca="1" si="241"/>
        <v>797.09574895562866</v>
      </c>
      <c r="AO156" s="85">
        <f t="shared" ca="1" si="242"/>
        <v>898.70871969765517</v>
      </c>
      <c r="AP156" s="85">
        <f t="shared" ca="1" si="243"/>
        <v>821.72778024267632</v>
      </c>
      <c r="AQ156" s="85">
        <f t="shared" ca="1" si="244"/>
        <v>702.26217153329492</v>
      </c>
      <c r="AR156" s="85">
        <f t="shared" ca="1" si="245"/>
        <v>772.73325611222663</v>
      </c>
      <c r="AS156" s="85">
        <f t="shared" ca="1" si="246"/>
        <v>678.40265983970676</v>
      </c>
      <c r="AT156" s="85">
        <f t="shared" ca="1" si="247"/>
        <v>737.58095577632241</v>
      </c>
      <c r="AU156" s="85">
        <f t="shared" ca="1" si="248"/>
        <v>802.41995811396487</v>
      </c>
      <c r="AV156" s="85">
        <f t="shared" ca="1" si="249"/>
        <v>795.14623811616934</v>
      </c>
      <c r="AW156" s="85">
        <f t="shared" ca="1" si="250"/>
        <v>774.15400656879854</v>
      </c>
      <c r="AX156" s="85">
        <f t="shared" ca="1" si="251"/>
        <v>862.51527707934656</v>
      </c>
      <c r="AY156" s="85">
        <f t="shared" ca="1" si="252"/>
        <v>821.29896477519935</v>
      </c>
      <c r="AZ156" s="85">
        <f t="shared" ca="1" si="253"/>
        <v>781.26427710883422</v>
      </c>
      <c r="BA156" s="85">
        <f t="shared" ca="1" si="254"/>
        <v>834.62775282667485</v>
      </c>
      <c r="BB156" s="85">
        <f t="shared" ca="1" si="255"/>
        <v>693.10944039098911</v>
      </c>
      <c r="BC156" s="85">
        <f t="shared" ca="1" si="256"/>
        <v>751.71076640093145</v>
      </c>
      <c r="BD156" s="85">
        <f t="shared" ca="1" si="257"/>
        <v>771.70590463985877</v>
      </c>
      <c r="BE156" s="85">
        <f t="shared" ca="1" si="258"/>
        <v>689.9551627921727</v>
      </c>
      <c r="BF156" s="85">
        <f t="shared" ca="1" si="259"/>
        <v>738.56919029983317</v>
      </c>
      <c r="BG156" s="85">
        <f t="shared" ca="1" si="260"/>
        <v>692.33654152924873</v>
      </c>
      <c r="BH156" s="85">
        <f t="shared" ca="1" si="261"/>
        <v>841.44496126844808</v>
      </c>
      <c r="BI156" s="85">
        <f t="shared" ca="1" si="262"/>
        <v>703.58298114006311</v>
      </c>
      <c r="BJ156" s="85">
        <f t="shared" ca="1" si="263"/>
        <v>755.64356700992619</v>
      </c>
      <c r="BK156" s="85">
        <f t="shared" ca="1" si="264"/>
        <v>730.07126539395142</v>
      </c>
      <c r="BL156" s="85">
        <f t="shared" ca="1" si="265"/>
        <v>685.60949263617727</v>
      </c>
      <c r="BM156" s="85">
        <f t="shared" ca="1" si="266"/>
        <v>688.86973137691371</v>
      </c>
      <c r="BN156" s="85">
        <f t="shared" ca="1" si="203"/>
        <v>855.43507116976127</v>
      </c>
      <c r="BO156" s="85">
        <f t="shared" ca="1" si="292"/>
        <v>883.09422939322405</v>
      </c>
      <c r="BP156" s="85">
        <f t="shared" ca="1" si="293"/>
        <v>628.76192277067184</v>
      </c>
      <c r="BQ156" s="85">
        <f t="shared" ca="1" si="294"/>
        <v>755.95553524834804</v>
      </c>
      <c r="BR156" s="85">
        <f t="shared" ca="1" si="295"/>
        <v>671.2778730734957</v>
      </c>
      <c r="BS156" s="85">
        <f t="shared" ca="1" si="296"/>
        <v>790.57217728092894</v>
      </c>
      <c r="BT156" s="85">
        <f t="shared" ca="1" si="297"/>
        <v>822.98039500233801</v>
      </c>
      <c r="BU156" s="85">
        <f t="shared" ca="1" si="298"/>
        <v>774.73972516019728</v>
      </c>
      <c r="BV156" s="85">
        <f t="shared" ca="1" si="299"/>
        <v>743.13130836397681</v>
      </c>
      <c r="BW156" s="85">
        <f t="shared" ca="1" si="300"/>
        <v>816.24649474417811</v>
      </c>
      <c r="BX156" s="85">
        <f t="shared" ca="1" si="301"/>
        <v>802.7115835132962</v>
      </c>
      <c r="BY156" s="85">
        <f t="shared" ca="1" si="267"/>
        <v>716.63153469159272</v>
      </c>
      <c r="BZ156" s="85">
        <f t="shared" ca="1" si="268"/>
        <v>730.47534201924134</v>
      </c>
      <c r="CA156" s="85">
        <f t="shared" ca="1" si="269"/>
        <v>751.69345207413994</v>
      </c>
      <c r="CB156" s="85">
        <f t="shared" ca="1" si="270"/>
        <v>684.69523233685743</v>
      </c>
      <c r="CC156" s="85">
        <f t="shared" ca="1" si="271"/>
        <v>825.76333719117531</v>
      </c>
      <c r="CD156" s="85">
        <f t="shared" ca="1" si="272"/>
        <v>902.88161392858842</v>
      </c>
      <c r="CE156" s="85">
        <f t="shared" ca="1" si="273"/>
        <v>697.68025374953368</v>
      </c>
      <c r="CF156" s="85">
        <f t="shared" ca="1" si="274"/>
        <v>832.6582685348568</v>
      </c>
      <c r="CG156" s="85">
        <f t="shared" ca="1" si="275"/>
        <v>693.51362389029509</v>
      </c>
      <c r="CH156" s="85">
        <f t="shared" ca="1" si="276"/>
        <v>788.70128003123455</v>
      </c>
      <c r="CI156" s="85">
        <f t="shared" ca="1" si="277"/>
        <v>721.77492809597345</v>
      </c>
      <c r="CJ156" s="85">
        <f t="shared" ca="1" si="278"/>
        <v>691.98125387450079</v>
      </c>
      <c r="CK156" s="85">
        <f t="shared" ca="1" si="279"/>
        <v>725.41045247268426</v>
      </c>
      <c r="CL156" s="85">
        <f t="shared" ca="1" si="280"/>
        <v>696.84467916953372</v>
      </c>
      <c r="CM156" s="85">
        <f t="shared" ca="1" si="281"/>
        <v>827.80444659623015</v>
      </c>
      <c r="CN156" s="85">
        <f t="shared" ca="1" si="282"/>
        <v>648.91164232534686</v>
      </c>
      <c r="CO156" s="85">
        <f t="shared" ca="1" si="283"/>
        <v>692.77113384575659</v>
      </c>
      <c r="CP156" s="85">
        <f t="shared" ca="1" si="284"/>
        <v>822.22509529911144</v>
      </c>
      <c r="CQ156" s="85">
        <f t="shared" ca="1" si="285"/>
        <v>727.09366734675461</v>
      </c>
      <c r="CR156" s="85">
        <f t="shared" ca="1" si="286"/>
        <v>794.06399052394568</v>
      </c>
      <c r="CS156" s="85">
        <f t="shared" ca="1" si="287"/>
        <v>663.73652188164999</v>
      </c>
      <c r="CT156" s="85">
        <f t="shared" ca="1" si="288"/>
        <v>697.91578333147459</v>
      </c>
      <c r="CU156" s="85">
        <f t="shared" ca="1" si="289"/>
        <v>949.67386306458741</v>
      </c>
      <c r="CV156" s="85">
        <f t="shared" ca="1" si="290"/>
        <v>680.14896452459948</v>
      </c>
      <c r="CW156" s="85">
        <f t="shared" ca="1" si="291"/>
        <v>682.22799635057163</v>
      </c>
    </row>
    <row r="157" spans="1:101" x14ac:dyDescent="0.2">
      <c r="A157" s="115">
        <v>154</v>
      </c>
      <c r="B157" s="85">
        <f t="shared" ca="1" si="202"/>
        <v>619.7023599094108</v>
      </c>
      <c r="C157" s="85">
        <f t="shared" ca="1" si="204"/>
        <v>769.34371080787764</v>
      </c>
      <c r="D157" s="85">
        <f t="shared" ca="1" si="205"/>
        <v>718.23701335579005</v>
      </c>
      <c r="E157" s="85">
        <f t="shared" ca="1" si="206"/>
        <v>663.38222735317311</v>
      </c>
      <c r="F157" s="85">
        <f t="shared" ca="1" si="207"/>
        <v>701.34229263934742</v>
      </c>
      <c r="G157" s="85">
        <f t="shared" ca="1" si="208"/>
        <v>753.08441627844707</v>
      </c>
      <c r="H157" s="85">
        <f t="shared" ca="1" si="209"/>
        <v>751.47211479998975</v>
      </c>
      <c r="I157" s="85">
        <f t="shared" ca="1" si="210"/>
        <v>837.75090477041226</v>
      </c>
      <c r="J157" s="85">
        <f t="shared" ca="1" si="211"/>
        <v>754.28012856290889</v>
      </c>
      <c r="K157" s="85">
        <f t="shared" ca="1" si="212"/>
        <v>809.22543102739121</v>
      </c>
      <c r="L157" s="85">
        <f t="shared" ca="1" si="213"/>
        <v>795.95372678221077</v>
      </c>
      <c r="M157" s="85">
        <f t="shared" ca="1" si="214"/>
        <v>597.9121570788235</v>
      </c>
      <c r="N157" s="85">
        <f t="shared" ca="1" si="215"/>
        <v>735.40377377329685</v>
      </c>
      <c r="O157" s="85">
        <f t="shared" ca="1" si="216"/>
        <v>726.31226435081987</v>
      </c>
      <c r="P157" s="85">
        <f t="shared" ca="1" si="217"/>
        <v>764.3284565321909</v>
      </c>
      <c r="Q157" s="85">
        <f t="shared" ca="1" si="218"/>
        <v>791.2370299338711</v>
      </c>
      <c r="R157" s="85">
        <f t="shared" ca="1" si="219"/>
        <v>724.64676124253072</v>
      </c>
      <c r="S157" s="85">
        <f t="shared" ca="1" si="220"/>
        <v>773.67214328967509</v>
      </c>
      <c r="T157" s="85">
        <f t="shared" ca="1" si="221"/>
        <v>747.73670235960105</v>
      </c>
      <c r="U157" s="85">
        <f t="shared" ca="1" si="222"/>
        <v>705.19838717092455</v>
      </c>
      <c r="V157" s="85">
        <f t="shared" ca="1" si="223"/>
        <v>822.83745401194346</v>
      </c>
      <c r="W157" s="85">
        <f t="shared" ca="1" si="224"/>
        <v>749.48865499856288</v>
      </c>
      <c r="X157" s="85">
        <f t="shared" ca="1" si="225"/>
        <v>777.80100628614014</v>
      </c>
      <c r="Y157" s="85">
        <f t="shared" ca="1" si="226"/>
        <v>675.84460100691581</v>
      </c>
      <c r="Z157" s="85">
        <f t="shared" ca="1" si="227"/>
        <v>765.11069733348654</v>
      </c>
      <c r="AA157" s="85">
        <f t="shared" ca="1" si="228"/>
        <v>674.74084869243745</v>
      </c>
      <c r="AB157" s="85">
        <f t="shared" ca="1" si="229"/>
        <v>850.86430405621741</v>
      </c>
      <c r="AC157" s="85">
        <f t="shared" ca="1" si="230"/>
        <v>758.13672308664377</v>
      </c>
      <c r="AD157" s="85">
        <f t="shared" ca="1" si="231"/>
        <v>856.73822505711951</v>
      </c>
      <c r="AE157" s="85">
        <f t="shared" ca="1" si="232"/>
        <v>1011.0139231731953</v>
      </c>
      <c r="AF157" s="85">
        <f t="shared" ca="1" si="233"/>
        <v>688.94036497497291</v>
      </c>
      <c r="AG157" s="85">
        <f t="shared" ca="1" si="234"/>
        <v>817.13355030885236</v>
      </c>
      <c r="AH157" s="85">
        <f t="shared" ca="1" si="235"/>
        <v>673.03669277270399</v>
      </c>
      <c r="AI157" s="85">
        <f t="shared" ca="1" si="236"/>
        <v>812.91776133524888</v>
      </c>
      <c r="AJ157" s="85">
        <f t="shared" ca="1" si="237"/>
        <v>839.58793387855212</v>
      </c>
      <c r="AK157" s="85">
        <f t="shared" ca="1" si="238"/>
        <v>741.59874980755376</v>
      </c>
      <c r="AL157" s="85">
        <f t="shared" ca="1" si="239"/>
        <v>799.26675977717161</v>
      </c>
      <c r="AM157" s="85">
        <f t="shared" ca="1" si="240"/>
        <v>690.0611602776645</v>
      </c>
      <c r="AN157" s="85">
        <f t="shared" ca="1" si="241"/>
        <v>799.77232116801417</v>
      </c>
      <c r="AO157" s="85">
        <f t="shared" ca="1" si="242"/>
        <v>920.76014518065324</v>
      </c>
      <c r="AP157" s="85">
        <f t="shared" ca="1" si="243"/>
        <v>843.93368803991177</v>
      </c>
      <c r="AQ157" s="85">
        <f t="shared" ca="1" si="244"/>
        <v>711.7788100665482</v>
      </c>
      <c r="AR157" s="85">
        <f t="shared" ca="1" si="245"/>
        <v>787.13844535996236</v>
      </c>
      <c r="AS157" s="85">
        <f t="shared" ca="1" si="246"/>
        <v>687.12039474994174</v>
      </c>
      <c r="AT157" s="85">
        <f t="shared" ca="1" si="247"/>
        <v>744.95573278524682</v>
      </c>
      <c r="AU157" s="85">
        <f t="shared" ca="1" si="248"/>
        <v>810.59933821528136</v>
      </c>
      <c r="AV157" s="85">
        <f t="shared" ca="1" si="249"/>
        <v>797.81638161071703</v>
      </c>
      <c r="AW157" s="85">
        <f t="shared" ca="1" si="250"/>
        <v>780.86325227620091</v>
      </c>
      <c r="AX157" s="85">
        <f t="shared" ca="1" si="251"/>
        <v>882.69236034265236</v>
      </c>
      <c r="AY157" s="85">
        <f t="shared" ca="1" si="252"/>
        <v>834.37585533442848</v>
      </c>
      <c r="AZ157" s="85">
        <f t="shared" ca="1" si="253"/>
        <v>793.95902775584318</v>
      </c>
      <c r="BA157" s="85">
        <f t="shared" ca="1" si="254"/>
        <v>838.71515998274492</v>
      </c>
      <c r="BB157" s="85">
        <f t="shared" ca="1" si="255"/>
        <v>707.75922995982808</v>
      </c>
      <c r="BC157" s="85">
        <f t="shared" ca="1" si="256"/>
        <v>763.80915298491698</v>
      </c>
      <c r="BD157" s="85">
        <f t="shared" ca="1" si="257"/>
        <v>783.93639111724133</v>
      </c>
      <c r="BE157" s="85">
        <f t="shared" ca="1" si="258"/>
        <v>695.48678352308684</v>
      </c>
      <c r="BF157" s="85">
        <f t="shared" ca="1" si="259"/>
        <v>736.60433303986986</v>
      </c>
      <c r="BG157" s="85">
        <f t="shared" ca="1" si="260"/>
        <v>706.39918651427604</v>
      </c>
      <c r="BH157" s="85">
        <f t="shared" ca="1" si="261"/>
        <v>852.99515191545106</v>
      </c>
      <c r="BI157" s="85">
        <f t="shared" ca="1" si="262"/>
        <v>715.58524935272158</v>
      </c>
      <c r="BJ157" s="85">
        <f t="shared" ca="1" si="263"/>
        <v>761.79034231449145</v>
      </c>
      <c r="BK157" s="85">
        <f t="shared" ca="1" si="264"/>
        <v>733.01933647319629</v>
      </c>
      <c r="BL157" s="85">
        <f t="shared" ca="1" si="265"/>
        <v>689.40490913296242</v>
      </c>
      <c r="BM157" s="85">
        <f t="shared" ca="1" si="266"/>
        <v>698.75399197737659</v>
      </c>
      <c r="BN157" s="85">
        <f t="shared" ca="1" si="203"/>
        <v>867.88250777336077</v>
      </c>
      <c r="BO157" s="85">
        <f t="shared" ca="1" si="292"/>
        <v>903.67211956319306</v>
      </c>
      <c r="BP157" s="85">
        <f t="shared" ca="1" si="293"/>
        <v>641.90923284812573</v>
      </c>
      <c r="BQ157" s="85">
        <f t="shared" ca="1" si="294"/>
        <v>764.72323992531983</v>
      </c>
      <c r="BR157" s="85">
        <f t="shared" ca="1" si="295"/>
        <v>689.28066477664345</v>
      </c>
      <c r="BS157" s="85">
        <f t="shared" ca="1" si="296"/>
        <v>807.09715159352129</v>
      </c>
      <c r="BT157" s="85">
        <f t="shared" ca="1" si="297"/>
        <v>840.20781634662478</v>
      </c>
      <c r="BU157" s="85">
        <f t="shared" ca="1" si="298"/>
        <v>781.57713842701321</v>
      </c>
      <c r="BV157" s="85">
        <f t="shared" ca="1" si="299"/>
        <v>753.49147508187457</v>
      </c>
      <c r="BW157" s="85">
        <f t="shared" ca="1" si="300"/>
        <v>824.7324888536856</v>
      </c>
      <c r="BX157" s="85">
        <f t="shared" ca="1" si="301"/>
        <v>808.38651033256008</v>
      </c>
      <c r="BY157" s="85">
        <f t="shared" ca="1" si="267"/>
        <v>723.52769703774209</v>
      </c>
      <c r="BZ157" s="85">
        <f t="shared" ca="1" si="268"/>
        <v>731.37986871647706</v>
      </c>
      <c r="CA157" s="85">
        <f t="shared" ca="1" si="269"/>
        <v>753.87144212594467</v>
      </c>
      <c r="CB157" s="85">
        <f t="shared" ca="1" si="270"/>
        <v>696.74894803790028</v>
      </c>
      <c r="CC157" s="85">
        <f t="shared" ca="1" si="271"/>
        <v>837.49839300551389</v>
      </c>
      <c r="CD157" s="85">
        <f t="shared" ca="1" si="272"/>
        <v>927.61727317451823</v>
      </c>
      <c r="CE157" s="85">
        <f t="shared" ca="1" si="273"/>
        <v>713.15802289500266</v>
      </c>
      <c r="CF157" s="85">
        <f t="shared" ca="1" si="274"/>
        <v>835.79194748811915</v>
      </c>
      <c r="CG157" s="85">
        <f t="shared" ca="1" si="275"/>
        <v>696.85263973114922</v>
      </c>
      <c r="CH157" s="85">
        <f t="shared" ca="1" si="276"/>
        <v>790.92717939500108</v>
      </c>
      <c r="CI157" s="85">
        <f t="shared" ca="1" si="277"/>
        <v>731.72546368726728</v>
      </c>
      <c r="CJ157" s="85">
        <f t="shared" ca="1" si="278"/>
        <v>702.00278007553015</v>
      </c>
      <c r="CK157" s="85">
        <f t="shared" ca="1" si="279"/>
        <v>732.55128031840547</v>
      </c>
      <c r="CL157" s="85">
        <f t="shared" ca="1" si="280"/>
        <v>704.84187023364552</v>
      </c>
      <c r="CM157" s="85">
        <f t="shared" ca="1" si="281"/>
        <v>846.00768928369882</v>
      </c>
      <c r="CN157" s="85">
        <f t="shared" ca="1" si="282"/>
        <v>649.63706518947765</v>
      </c>
      <c r="CO157" s="85">
        <f t="shared" ca="1" si="283"/>
        <v>707.823578776099</v>
      </c>
      <c r="CP157" s="85">
        <f t="shared" ca="1" si="284"/>
        <v>827.086876286245</v>
      </c>
      <c r="CQ157" s="85">
        <f t="shared" ca="1" si="285"/>
        <v>738.44203159619883</v>
      </c>
      <c r="CR157" s="85">
        <f t="shared" ca="1" si="286"/>
        <v>793.62103087475862</v>
      </c>
      <c r="CS157" s="85">
        <f t="shared" ca="1" si="287"/>
        <v>669.67873285769292</v>
      </c>
      <c r="CT157" s="85">
        <f t="shared" ca="1" si="288"/>
        <v>704.19880240012753</v>
      </c>
      <c r="CU157" s="85">
        <f t="shared" ca="1" si="289"/>
        <v>969.14507758290176</v>
      </c>
      <c r="CV157" s="85">
        <f t="shared" ca="1" si="290"/>
        <v>685.18673852527479</v>
      </c>
      <c r="CW157" s="85">
        <f t="shared" ca="1" si="291"/>
        <v>693.60253617371609</v>
      </c>
    </row>
    <row r="158" spans="1:101" x14ac:dyDescent="0.2">
      <c r="A158" s="115">
        <v>155</v>
      </c>
      <c r="B158" s="85">
        <f t="shared" ca="1" si="202"/>
        <v>629.89211748648711</v>
      </c>
      <c r="C158" s="85">
        <f t="shared" ca="1" si="204"/>
        <v>782.37023401007855</v>
      </c>
      <c r="D158" s="85">
        <f t="shared" ca="1" si="205"/>
        <v>719.4353055342782</v>
      </c>
      <c r="E158" s="85">
        <f t="shared" ca="1" si="206"/>
        <v>670.54643782724122</v>
      </c>
      <c r="F158" s="85">
        <f t="shared" ca="1" si="207"/>
        <v>709.36925691172132</v>
      </c>
      <c r="G158" s="85">
        <f t="shared" ca="1" si="208"/>
        <v>763.01258690732686</v>
      </c>
      <c r="H158" s="85">
        <f t="shared" ca="1" si="209"/>
        <v>754.96276051992959</v>
      </c>
      <c r="I158" s="85">
        <f t="shared" ca="1" si="210"/>
        <v>846.02908142059994</v>
      </c>
      <c r="J158" s="85">
        <f t="shared" ca="1" si="211"/>
        <v>756.4799986854473</v>
      </c>
      <c r="K158" s="85">
        <f t="shared" ca="1" si="212"/>
        <v>822.63465452627668</v>
      </c>
      <c r="L158" s="85">
        <f t="shared" ca="1" si="213"/>
        <v>804.30326340494798</v>
      </c>
      <c r="M158" s="85">
        <f t="shared" ca="1" si="214"/>
        <v>607.24649124080463</v>
      </c>
      <c r="N158" s="85">
        <f t="shared" ca="1" si="215"/>
        <v>738.36860301110914</v>
      </c>
      <c r="O158" s="85">
        <f t="shared" ca="1" si="216"/>
        <v>731.44901275049494</v>
      </c>
      <c r="P158" s="85">
        <f t="shared" ca="1" si="217"/>
        <v>775.87186288429177</v>
      </c>
      <c r="Q158" s="85">
        <f t="shared" ca="1" si="218"/>
        <v>804.88569436332875</v>
      </c>
      <c r="R158" s="85">
        <f t="shared" ca="1" si="219"/>
        <v>736.79802774401219</v>
      </c>
      <c r="S158" s="85">
        <f t="shared" ca="1" si="220"/>
        <v>791.58409740206366</v>
      </c>
      <c r="T158" s="85">
        <f t="shared" ca="1" si="221"/>
        <v>758.79409194847983</v>
      </c>
      <c r="U158" s="85">
        <f t="shared" ca="1" si="222"/>
        <v>709.47434146035812</v>
      </c>
      <c r="V158" s="85">
        <f t="shared" ca="1" si="223"/>
        <v>836.14750841367584</v>
      </c>
      <c r="W158" s="85">
        <f t="shared" ca="1" si="224"/>
        <v>759.25706208171027</v>
      </c>
      <c r="X158" s="85">
        <f t="shared" ca="1" si="225"/>
        <v>785.96325960764784</v>
      </c>
      <c r="Y158" s="85">
        <f t="shared" ca="1" si="226"/>
        <v>684.78239414895336</v>
      </c>
      <c r="Z158" s="85">
        <f t="shared" ca="1" si="227"/>
        <v>780.74349458418521</v>
      </c>
      <c r="AA158" s="85">
        <f t="shared" ca="1" si="228"/>
        <v>692.70085612522962</v>
      </c>
      <c r="AB158" s="85">
        <f t="shared" ca="1" si="229"/>
        <v>862.22441341236708</v>
      </c>
      <c r="AC158" s="85">
        <f t="shared" ca="1" si="230"/>
        <v>780.03950410062009</v>
      </c>
      <c r="AD158" s="85">
        <f t="shared" ca="1" si="231"/>
        <v>876.09070677800833</v>
      </c>
      <c r="AE158" s="85">
        <f t="shared" ca="1" si="232"/>
        <v>1022.9837442095594</v>
      </c>
      <c r="AF158" s="85">
        <f t="shared" ca="1" si="233"/>
        <v>705.87269243963874</v>
      </c>
      <c r="AG158" s="85">
        <f t="shared" ca="1" si="234"/>
        <v>832.13063936687172</v>
      </c>
      <c r="AH158" s="85">
        <f t="shared" ca="1" si="235"/>
        <v>686.57998622927789</v>
      </c>
      <c r="AI158" s="85">
        <f t="shared" ca="1" si="236"/>
        <v>820.07423025571302</v>
      </c>
      <c r="AJ158" s="85">
        <f t="shared" ca="1" si="237"/>
        <v>854.22560418530998</v>
      </c>
      <c r="AK158" s="85">
        <f t="shared" ca="1" si="238"/>
        <v>751.66343171604888</v>
      </c>
      <c r="AL158" s="85">
        <f t="shared" ca="1" si="239"/>
        <v>804.25959095924577</v>
      </c>
      <c r="AM158" s="85">
        <f t="shared" ca="1" si="240"/>
        <v>703.2277555506613</v>
      </c>
      <c r="AN158" s="85">
        <f t="shared" ca="1" si="241"/>
        <v>816.34811137325289</v>
      </c>
      <c r="AO158" s="85">
        <f t="shared" ca="1" si="242"/>
        <v>934.06234486516007</v>
      </c>
      <c r="AP158" s="85">
        <f t="shared" ca="1" si="243"/>
        <v>855.74138328089771</v>
      </c>
      <c r="AQ158" s="85">
        <f t="shared" ca="1" si="244"/>
        <v>725.77081588031865</v>
      </c>
      <c r="AR158" s="85">
        <f t="shared" ca="1" si="245"/>
        <v>791.98471090541364</v>
      </c>
      <c r="AS158" s="85">
        <f t="shared" ca="1" si="246"/>
        <v>697.0912404361377</v>
      </c>
      <c r="AT158" s="85">
        <f t="shared" ca="1" si="247"/>
        <v>753.06654942597413</v>
      </c>
      <c r="AU158" s="85">
        <f t="shared" ca="1" si="248"/>
        <v>813.54102183848681</v>
      </c>
      <c r="AV158" s="85">
        <f t="shared" ca="1" si="249"/>
        <v>806.93761535255453</v>
      </c>
      <c r="AW158" s="85">
        <f t="shared" ca="1" si="250"/>
        <v>789.73690889428769</v>
      </c>
      <c r="AX158" s="85">
        <f t="shared" ca="1" si="251"/>
        <v>891.61202931543687</v>
      </c>
      <c r="AY158" s="85">
        <f t="shared" ca="1" si="252"/>
        <v>855.71045598155195</v>
      </c>
      <c r="AZ158" s="85">
        <f t="shared" ca="1" si="253"/>
        <v>800.95078034581309</v>
      </c>
      <c r="BA158" s="85">
        <f t="shared" ca="1" si="254"/>
        <v>842.1709529782338</v>
      </c>
      <c r="BB158" s="85">
        <f t="shared" ca="1" si="255"/>
        <v>724.78812188037421</v>
      </c>
      <c r="BC158" s="85">
        <f t="shared" ca="1" si="256"/>
        <v>778.12795020318003</v>
      </c>
      <c r="BD158" s="85">
        <f t="shared" ca="1" si="257"/>
        <v>792.86395088586346</v>
      </c>
      <c r="BE158" s="85">
        <f t="shared" ca="1" si="258"/>
        <v>706.19858721222056</v>
      </c>
      <c r="BF158" s="85">
        <f t="shared" ca="1" si="259"/>
        <v>746.11455757880537</v>
      </c>
      <c r="BG158" s="85">
        <f t="shared" ca="1" si="260"/>
        <v>716.04609046537269</v>
      </c>
      <c r="BH158" s="85">
        <f t="shared" ca="1" si="261"/>
        <v>856.03683570626231</v>
      </c>
      <c r="BI158" s="85">
        <f t="shared" ca="1" si="262"/>
        <v>718.72927360235064</v>
      </c>
      <c r="BJ158" s="85">
        <f t="shared" ca="1" si="263"/>
        <v>773.9311032849854</v>
      </c>
      <c r="BK158" s="85">
        <f t="shared" ca="1" si="264"/>
        <v>747.76676307477453</v>
      </c>
      <c r="BL158" s="85">
        <f t="shared" ca="1" si="265"/>
        <v>700.41865666954595</v>
      </c>
      <c r="BM158" s="85">
        <f t="shared" ca="1" si="266"/>
        <v>707.11446014050023</v>
      </c>
      <c r="BN158" s="85">
        <f t="shared" ca="1" si="203"/>
        <v>880.38422851719156</v>
      </c>
      <c r="BO158" s="85">
        <f t="shared" ca="1" si="292"/>
        <v>921.0259309089638</v>
      </c>
      <c r="BP158" s="85">
        <f t="shared" ca="1" si="293"/>
        <v>642.30379545067944</v>
      </c>
      <c r="BQ158" s="85">
        <f t="shared" ca="1" si="294"/>
        <v>770.85302548544405</v>
      </c>
      <c r="BR158" s="85">
        <f t="shared" ca="1" si="295"/>
        <v>699.96696330958707</v>
      </c>
      <c r="BS158" s="85">
        <f t="shared" ca="1" si="296"/>
        <v>813.70334181355327</v>
      </c>
      <c r="BT158" s="85">
        <f t="shared" ca="1" si="297"/>
        <v>852.94819285057838</v>
      </c>
      <c r="BU158" s="85">
        <f t="shared" ca="1" si="298"/>
        <v>794.3611251784281</v>
      </c>
      <c r="BV158" s="85">
        <f t="shared" ca="1" si="299"/>
        <v>761.40065825919305</v>
      </c>
      <c r="BW158" s="85">
        <f t="shared" ca="1" si="300"/>
        <v>827.50906541728148</v>
      </c>
      <c r="BX158" s="85">
        <f t="shared" ca="1" si="301"/>
        <v>806.31893255408886</v>
      </c>
      <c r="BY158" s="85">
        <f t="shared" ca="1" si="267"/>
        <v>736.16665130602257</v>
      </c>
      <c r="BZ158" s="85">
        <f t="shared" ca="1" si="268"/>
        <v>737.08884188176012</v>
      </c>
      <c r="CA158" s="85">
        <f t="shared" ca="1" si="269"/>
        <v>758.38964656967937</v>
      </c>
      <c r="CB158" s="85">
        <f t="shared" ca="1" si="270"/>
        <v>701.13095377302147</v>
      </c>
      <c r="CC158" s="85">
        <f t="shared" ca="1" si="271"/>
        <v>850.45419371905382</v>
      </c>
      <c r="CD158" s="85">
        <f t="shared" ca="1" si="272"/>
        <v>931.5699344153162</v>
      </c>
      <c r="CE158" s="85">
        <f t="shared" ca="1" si="273"/>
        <v>714.99108512961129</v>
      </c>
      <c r="CF158" s="85">
        <f t="shared" ca="1" si="274"/>
        <v>854.98155625813104</v>
      </c>
      <c r="CG158" s="85">
        <f t="shared" ca="1" si="275"/>
        <v>707.16365904609256</v>
      </c>
      <c r="CH158" s="85">
        <f t="shared" ca="1" si="276"/>
        <v>805.28046032147995</v>
      </c>
      <c r="CI158" s="85">
        <f t="shared" ca="1" si="277"/>
        <v>739.00965698670723</v>
      </c>
      <c r="CJ158" s="85">
        <f t="shared" ca="1" si="278"/>
        <v>700.97575664057888</v>
      </c>
      <c r="CK158" s="85">
        <f t="shared" ca="1" si="279"/>
        <v>749.97260744714231</v>
      </c>
      <c r="CL158" s="85">
        <f t="shared" ca="1" si="280"/>
        <v>714.18245011119518</v>
      </c>
      <c r="CM158" s="85">
        <f t="shared" ca="1" si="281"/>
        <v>851.84030939595448</v>
      </c>
      <c r="CN158" s="85">
        <f t="shared" ca="1" si="282"/>
        <v>659.45828935318468</v>
      </c>
      <c r="CO158" s="85">
        <f t="shared" ca="1" si="283"/>
        <v>710.28281287192749</v>
      </c>
      <c r="CP158" s="85">
        <f t="shared" ca="1" si="284"/>
        <v>837.59426563114448</v>
      </c>
      <c r="CQ158" s="85">
        <f t="shared" ca="1" si="285"/>
        <v>748.72578788116277</v>
      </c>
      <c r="CR158" s="85">
        <f t="shared" ca="1" si="286"/>
        <v>805.20252581799753</v>
      </c>
      <c r="CS158" s="85">
        <f t="shared" ca="1" si="287"/>
        <v>681.92663018750636</v>
      </c>
      <c r="CT158" s="85">
        <f t="shared" ca="1" si="288"/>
        <v>713.93882891558894</v>
      </c>
      <c r="CU158" s="85">
        <f t="shared" ca="1" si="289"/>
        <v>991.53170158050091</v>
      </c>
      <c r="CV158" s="85">
        <f t="shared" ca="1" si="290"/>
        <v>701.27116417680293</v>
      </c>
      <c r="CW158" s="85">
        <f t="shared" ca="1" si="291"/>
        <v>709.52732209310091</v>
      </c>
    </row>
    <row r="159" spans="1:101" x14ac:dyDescent="0.2">
      <c r="A159" s="115">
        <v>156</v>
      </c>
      <c r="B159" s="85">
        <f t="shared" ca="1" si="202"/>
        <v>631.57553294086028</v>
      </c>
      <c r="C159" s="85">
        <f t="shared" ca="1" si="204"/>
        <v>789.54639872621374</v>
      </c>
      <c r="D159" s="85">
        <f t="shared" ca="1" si="205"/>
        <v>741.15484047466509</v>
      </c>
      <c r="E159" s="85">
        <f t="shared" ca="1" si="206"/>
        <v>678.3246108769373</v>
      </c>
      <c r="F159" s="85">
        <f t="shared" ca="1" si="207"/>
        <v>716.72376191736805</v>
      </c>
      <c r="G159" s="85">
        <f t="shared" ca="1" si="208"/>
        <v>771.2861499645993</v>
      </c>
      <c r="H159" s="85">
        <f t="shared" ca="1" si="209"/>
        <v>764.98361446027309</v>
      </c>
      <c r="I159" s="85">
        <f t="shared" ca="1" si="210"/>
        <v>860.67424659473909</v>
      </c>
      <c r="J159" s="85">
        <f t="shared" ca="1" si="211"/>
        <v>761.75136632232511</v>
      </c>
      <c r="K159" s="85">
        <f t="shared" ca="1" si="212"/>
        <v>822.08630539715909</v>
      </c>
      <c r="L159" s="85">
        <f t="shared" ca="1" si="213"/>
        <v>819.90184196823475</v>
      </c>
      <c r="M159" s="85">
        <f t="shared" ca="1" si="214"/>
        <v>611.50147513805211</v>
      </c>
      <c r="N159" s="85">
        <f t="shared" ca="1" si="215"/>
        <v>744.41602460461138</v>
      </c>
      <c r="O159" s="85">
        <f t="shared" ca="1" si="216"/>
        <v>747.01404525417445</v>
      </c>
      <c r="P159" s="85">
        <f t="shared" ca="1" si="217"/>
        <v>782.38051655442848</v>
      </c>
      <c r="Q159" s="85">
        <f t="shared" ca="1" si="218"/>
        <v>815.30234799779043</v>
      </c>
      <c r="R159" s="85">
        <f t="shared" ca="1" si="219"/>
        <v>744.58119210368147</v>
      </c>
      <c r="S159" s="85">
        <f t="shared" ca="1" si="220"/>
        <v>803.00718338363777</v>
      </c>
      <c r="T159" s="85">
        <f t="shared" ca="1" si="221"/>
        <v>766.98711158783294</v>
      </c>
      <c r="U159" s="85">
        <f t="shared" ca="1" si="222"/>
        <v>715.62238003573248</v>
      </c>
      <c r="V159" s="85">
        <f t="shared" ca="1" si="223"/>
        <v>851.68341136746142</v>
      </c>
      <c r="W159" s="85">
        <f t="shared" ca="1" si="224"/>
        <v>776.64896782151141</v>
      </c>
      <c r="X159" s="85">
        <f t="shared" ca="1" si="225"/>
        <v>801.05557012918666</v>
      </c>
      <c r="Y159" s="85">
        <f t="shared" ca="1" si="226"/>
        <v>702.39081565827303</v>
      </c>
      <c r="Z159" s="85">
        <f t="shared" ca="1" si="227"/>
        <v>792.27691145731319</v>
      </c>
      <c r="AA159" s="85">
        <f t="shared" ca="1" si="228"/>
        <v>706.2904999173287</v>
      </c>
      <c r="AB159" s="85">
        <f t="shared" ca="1" si="229"/>
        <v>876.34513930959326</v>
      </c>
      <c r="AC159" s="85">
        <f t="shared" ca="1" si="230"/>
        <v>782.21325340058502</v>
      </c>
      <c r="AD159" s="85">
        <f t="shared" ca="1" si="231"/>
        <v>888.25309917785739</v>
      </c>
      <c r="AE159" s="85">
        <f t="shared" ca="1" si="232"/>
        <v>1040.0489847400374</v>
      </c>
      <c r="AF159" s="85">
        <f t="shared" ca="1" si="233"/>
        <v>719.02340946348374</v>
      </c>
      <c r="AG159" s="85">
        <f t="shared" ca="1" si="234"/>
        <v>854.55600070835283</v>
      </c>
      <c r="AH159" s="85">
        <f t="shared" ca="1" si="235"/>
        <v>697.77798723611772</v>
      </c>
      <c r="AI159" s="85">
        <f t="shared" ca="1" si="236"/>
        <v>825.478553904774</v>
      </c>
      <c r="AJ159" s="85">
        <f t="shared" ca="1" si="237"/>
        <v>867.47707217002539</v>
      </c>
      <c r="AK159" s="85">
        <f t="shared" ca="1" si="238"/>
        <v>751.94353334511038</v>
      </c>
      <c r="AL159" s="85">
        <f t="shared" ca="1" si="239"/>
        <v>809.7387591065642</v>
      </c>
      <c r="AM159" s="85">
        <f t="shared" ca="1" si="240"/>
        <v>713.986771793657</v>
      </c>
      <c r="AN159" s="85">
        <f t="shared" ca="1" si="241"/>
        <v>829.74172525982976</v>
      </c>
      <c r="AO159" s="85">
        <f t="shared" ca="1" si="242"/>
        <v>957.87218207621311</v>
      </c>
      <c r="AP159" s="85">
        <f t="shared" ca="1" si="243"/>
        <v>867.16510950113059</v>
      </c>
      <c r="AQ159" s="85">
        <f t="shared" ca="1" si="244"/>
        <v>730.08388768688383</v>
      </c>
      <c r="AR159" s="85">
        <f t="shared" ca="1" si="245"/>
        <v>811.94586466278543</v>
      </c>
      <c r="AS159" s="85">
        <f t="shared" ca="1" si="246"/>
        <v>710.27301374582134</v>
      </c>
      <c r="AT159" s="85">
        <f t="shared" ca="1" si="247"/>
        <v>761.00296883859289</v>
      </c>
      <c r="AU159" s="85">
        <f t="shared" ca="1" si="248"/>
        <v>829.7528148014685</v>
      </c>
      <c r="AV159" s="85">
        <f t="shared" ca="1" si="249"/>
        <v>818.49304094078866</v>
      </c>
      <c r="AW159" s="85">
        <f t="shared" ca="1" si="250"/>
        <v>803.54514047941734</v>
      </c>
      <c r="AX159" s="85">
        <f t="shared" ca="1" si="251"/>
        <v>899.93214085455941</v>
      </c>
      <c r="AY159" s="85">
        <f t="shared" ca="1" si="252"/>
        <v>874.57973845664378</v>
      </c>
      <c r="AZ159" s="85">
        <f t="shared" ca="1" si="253"/>
        <v>808.79449556874658</v>
      </c>
      <c r="BA159" s="85">
        <f t="shared" ca="1" si="254"/>
        <v>842.03367873218269</v>
      </c>
      <c r="BB159" s="85">
        <f t="shared" ca="1" si="255"/>
        <v>730.89192781174154</v>
      </c>
      <c r="BC159" s="85">
        <f t="shared" ca="1" si="256"/>
        <v>800.39650644652068</v>
      </c>
      <c r="BD159" s="85">
        <f t="shared" ca="1" si="257"/>
        <v>805.10332840038313</v>
      </c>
      <c r="BE159" s="85">
        <f t="shared" ca="1" si="258"/>
        <v>717.49989297386173</v>
      </c>
      <c r="BF159" s="85">
        <f t="shared" ca="1" si="259"/>
        <v>759.40575019418634</v>
      </c>
      <c r="BG159" s="85">
        <f t="shared" ca="1" si="260"/>
        <v>718.94560950869425</v>
      </c>
      <c r="BH159" s="85">
        <f t="shared" ca="1" si="261"/>
        <v>861.27257663422995</v>
      </c>
      <c r="BI159" s="85">
        <f t="shared" ca="1" si="262"/>
        <v>728.99036435540347</v>
      </c>
      <c r="BJ159" s="85">
        <f t="shared" ca="1" si="263"/>
        <v>792.122917929854</v>
      </c>
      <c r="BK159" s="85">
        <f t="shared" ca="1" si="264"/>
        <v>753.47028474354181</v>
      </c>
      <c r="BL159" s="85">
        <f t="shared" ca="1" si="265"/>
        <v>712.23777556530615</v>
      </c>
      <c r="BM159" s="85">
        <f t="shared" ca="1" si="266"/>
        <v>721.66080197914062</v>
      </c>
      <c r="BN159" s="85">
        <f t="shared" ca="1" si="203"/>
        <v>887.06120932789258</v>
      </c>
      <c r="BO159" s="85">
        <f t="shared" ca="1" si="292"/>
        <v>925.97130798817739</v>
      </c>
      <c r="BP159" s="85">
        <f t="shared" ca="1" si="293"/>
        <v>654.97315416984986</v>
      </c>
      <c r="BQ159" s="85">
        <f t="shared" ca="1" si="294"/>
        <v>781.48520003478188</v>
      </c>
      <c r="BR159" s="85">
        <f t="shared" ca="1" si="295"/>
        <v>711.85051493913045</v>
      </c>
      <c r="BS159" s="85">
        <f t="shared" ca="1" si="296"/>
        <v>822.90953980820882</v>
      </c>
      <c r="BT159" s="85">
        <f t="shared" ca="1" si="297"/>
        <v>872.28863217216883</v>
      </c>
      <c r="BU159" s="85">
        <f t="shared" ca="1" si="298"/>
        <v>800.22547389654653</v>
      </c>
      <c r="BV159" s="85">
        <f t="shared" ca="1" si="299"/>
        <v>757.31391905456496</v>
      </c>
      <c r="BW159" s="85">
        <f t="shared" ca="1" si="300"/>
        <v>840.01588732960886</v>
      </c>
      <c r="BX159" s="85">
        <f t="shared" ca="1" si="301"/>
        <v>815.51962477153518</v>
      </c>
      <c r="BY159" s="85">
        <f t="shared" ca="1" si="267"/>
        <v>745.25319136148175</v>
      </c>
      <c r="BZ159" s="85">
        <f t="shared" ca="1" si="268"/>
        <v>749.3285418566802</v>
      </c>
      <c r="CA159" s="85">
        <f t="shared" ca="1" si="269"/>
        <v>775.64812387130053</v>
      </c>
      <c r="CB159" s="85">
        <f t="shared" ca="1" si="270"/>
        <v>709.4506321362885</v>
      </c>
      <c r="CC159" s="85">
        <f t="shared" ca="1" si="271"/>
        <v>854.2477115972207</v>
      </c>
      <c r="CD159" s="85">
        <f t="shared" ca="1" si="272"/>
        <v>941.574388282065</v>
      </c>
      <c r="CE159" s="85">
        <f t="shared" ca="1" si="273"/>
        <v>723.50941637847257</v>
      </c>
      <c r="CF159" s="85">
        <f t="shared" ca="1" si="274"/>
        <v>868.99578405368436</v>
      </c>
      <c r="CG159" s="85">
        <f t="shared" ca="1" si="275"/>
        <v>714.63157993133325</v>
      </c>
      <c r="CH159" s="85">
        <f t="shared" ca="1" si="276"/>
        <v>812.26858767159297</v>
      </c>
      <c r="CI159" s="85">
        <f t="shared" ca="1" si="277"/>
        <v>751.86355405908603</v>
      </c>
      <c r="CJ159" s="85">
        <f t="shared" ca="1" si="278"/>
        <v>709.2648225677043</v>
      </c>
      <c r="CK159" s="85">
        <f t="shared" ca="1" si="279"/>
        <v>759.62295462448617</v>
      </c>
      <c r="CL159" s="85">
        <f t="shared" ca="1" si="280"/>
        <v>728.26712426991401</v>
      </c>
      <c r="CM159" s="85">
        <f t="shared" ca="1" si="281"/>
        <v>858.26079082170418</v>
      </c>
      <c r="CN159" s="85">
        <f t="shared" ca="1" si="282"/>
        <v>667.10968563449455</v>
      </c>
      <c r="CO159" s="85">
        <f t="shared" ca="1" si="283"/>
        <v>716.47782167262994</v>
      </c>
      <c r="CP159" s="85">
        <f t="shared" ca="1" si="284"/>
        <v>842.01727565848796</v>
      </c>
      <c r="CQ159" s="85">
        <f t="shared" ca="1" si="285"/>
        <v>752.58681068516307</v>
      </c>
      <c r="CR159" s="85">
        <f t="shared" ca="1" si="286"/>
        <v>815.26965259480392</v>
      </c>
      <c r="CS159" s="85">
        <f t="shared" ca="1" si="287"/>
        <v>697.88704598095626</v>
      </c>
      <c r="CT159" s="85">
        <f t="shared" ca="1" si="288"/>
        <v>719.27141778110422</v>
      </c>
      <c r="CU159" s="85">
        <f t="shared" ca="1" si="289"/>
        <v>1010.283128950353</v>
      </c>
      <c r="CV159" s="85">
        <f t="shared" ca="1" si="290"/>
        <v>707.2958928416889</v>
      </c>
      <c r="CW159" s="85">
        <f t="shared" ca="1" si="291"/>
        <v>720.84386784754895</v>
      </c>
    </row>
    <row r="160" spans="1:101" x14ac:dyDescent="0.2">
      <c r="A160" s="115">
        <v>157</v>
      </c>
      <c r="B160" s="85">
        <f t="shared" ca="1" si="202"/>
        <v>634.76171448799357</v>
      </c>
      <c r="C160" s="85">
        <f t="shared" ca="1" si="204"/>
        <v>793.38242461484708</v>
      </c>
      <c r="D160" s="85">
        <f t="shared" ca="1" si="205"/>
        <v>751.87156598266711</v>
      </c>
      <c r="E160" s="85">
        <f t="shared" ca="1" si="206"/>
        <v>686.75095063451863</v>
      </c>
      <c r="F160" s="85">
        <f t="shared" ca="1" si="207"/>
        <v>721.09578540639893</v>
      </c>
      <c r="G160" s="85">
        <f t="shared" ca="1" si="208"/>
        <v>794.31184532874522</v>
      </c>
      <c r="H160" s="85">
        <f t="shared" ca="1" si="209"/>
        <v>772.50900910770542</v>
      </c>
      <c r="I160" s="85">
        <f t="shared" ca="1" si="210"/>
        <v>873.14658191081844</v>
      </c>
      <c r="J160" s="85">
        <f t="shared" ca="1" si="211"/>
        <v>767.23230089544813</v>
      </c>
      <c r="K160" s="85">
        <f t="shared" ca="1" si="212"/>
        <v>839.21146677410491</v>
      </c>
      <c r="L160" s="85">
        <f t="shared" ca="1" si="213"/>
        <v>826.54833894832143</v>
      </c>
      <c r="M160" s="85">
        <f t="shared" ca="1" si="214"/>
        <v>621.93783658149596</v>
      </c>
      <c r="N160" s="85">
        <f t="shared" ca="1" si="215"/>
        <v>758.45857751090546</v>
      </c>
      <c r="O160" s="85">
        <f t="shared" ca="1" si="216"/>
        <v>753.32266825771444</v>
      </c>
      <c r="P160" s="85">
        <f t="shared" ca="1" si="217"/>
        <v>803.437394723024</v>
      </c>
      <c r="Q160" s="85">
        <f t="shared" ca="1" si="218"/>
        <v>827.97511679656714</v>
      </c>
      <c r="R160" s="85">
        <f t="shared" ca="1" si="219"/>
        <v>759.17278430369129</v>
      </c>
      <c r="S160" s="85">
        <f t="shared" ca="1" si="220"/>
        <v>804.32390297653046</v>
      </c>
      <c r="T160" s="85">
        <f t="shared" ca="1" si="221"/>
        <v>778.4510039532023</v>
      </c>
      <c r="U160" s="85">
        <f t="shared" ca="1" si="222"/>
        <v>722.42977292716978</v>
      </c>
      <c r="V160" s="85">
        <f t="shared" ca="1" si="223"/>
        <v>858.68475491434765</v>
      </c>
      <c r="W160" s="85">
        <f t="shared" ca="1" si="224"/>
        <v>784.14734732807869</v>
      </c>
      <c r="X160" s="85">
        <f t="shared" ca="1" si="225"/>
        <v>810.82721327444733</v>
      </c>
      <c r="Y160" s="85">
        <f t="shared" ca="1" si="226"/>
        <v>716.57313081679774</v>
      </c>
      <c r="Z160" s="85">
        <f t="shared" ca="1" si="227"/>
        <v>798.21651560691521</v>
      </c>
      <c r="AA160" s="85">
        <f t="shared" ca="1" si="228"/>
        <v>714.73816833252124</v>
      </c>
      <c r="AB160" s="85">
        <f t="shared" ca="1" si="229"/>
        <v>892.74587592285161</v>
      </c>
      <c r="AC160" s="85">
        <f t="shared" ca="1" si="230"/>
        <v>789.44357910568158</v>
      </c>
      <c r="AD160" s="85">
        <f t="shared" ca="1" si="231"/>
        <v>896.77951319944634</v>
      </c>
      <c r="AE160" s="85">
        <f t="shared" ca="1" si="232"/>
        <v>1067.7010161365906</v>
      </c>
      <c r="AF160" s="85">
        <f t="shared" ca="1" si="233"/>
        <v>726.20174251928302</v>
      </c>
      <c r="AG160" s="85">
        <f t="shared" ca="1" si="234"/>
        <v>868.44621703849282</v>
      </c>
      <c r="AH160" s="85">
        <f t="shared" ca="1" si="235"/>
        <v>701.41441952185949</v>
      </c>
      <c r="AI160" s="85">
        <f t="shared" ca="1" si="236"/>
        <v>840.90624921801691</v>
      </c>
      <c r="AJ160" s="85">
        <f t="shared" ca="1" si="237"/>
        <v>876.92244433211897</v>
      </c>
      <c r="AK160" s="85">
        <f t="shared" ca="1" si="238"/>
        <v>769.2804291959161</v>
      </c>
      <c r="AL160" s="85">
        <f t="shared" ca="1" si="239"/>
        <v>822.16623593915153</v>
      </c>
      <c r="AM160" s="85">
        <f t="shared" ca="1" si="240"/>
        <v>726.02901239208177</v>
      </c>
      <c r="AN160" s="85">
        <f t="shared" ca="1" si="241"/>
        <v>843.08554743790694</v>
      </c>
      <c r="AO160" s="85">
        <f t="shared" ca="1" si="242"/>
        <v>975.36341683830574</v>
      </c>
      <c r="AP160" s="85">
        <f t="shared" ca="1" si="243"/>
        <v>876.12837803617538</v>
      </c>
      <c r="AQ160" s="85">
        <f t="shared" ca="1" si="244"/>
        <v>739.47400507906571</v>
      </c>
      <c r="AR160" s="85">
        <f t="shared" ca="1" si="245"/>
        <v>815.86166293140025</v>
      </c>
      <c r="AS160" s="85">
        <f t="shared" ca="1" si="246"/>
        <v>716.21058693869713</v>
      </c>
      <c r="AT160" s="85">
        <f t="shared" ca="1" si="247"/>
        <v>766.01448884772026</v>
      </c>
      <c r="AU160" s="85">
        <f t="shared" ca="1" si="248"/>
        <v>847.85665920594988</v>
      </c>
      <c r="AV160" s="85">
        <f t="shared" ca="1" si="249"/>
        <v>831.05422016135208</v>
      </c>
      <c r="AW160" s="85">
        <f t="shared" ca="1" si="250"/>
        <v>814.0584592345192</v>
      </c>
      <c r="AX160" s="85">
        <f t="shared" ca="1" si="251"/>
        <v>909.13282707035819</v>
      </c>
      <c r="AY160" s="85">
        <f t="shared" ca="1" si="252"/>
        <v>885.5349687008229</v>
      </c>
      <c r="AZ160" s="85">
        <f t="shared" ca="1" si="253"/>
        <v>820.93403528678084</v>
      </c>
      <c r="BA160" s="85">
        <f t="shared" ca="1" si="254"/>
        <v>853.21230195804912</v>
      </c>
      <c r="BB160" s="85">
        <f t="shared" ca="1" si="255"/>
        <v>742.7997518396113</v>
      </c>
      <c r="BC160" s="85">
        <f t="shared" ca="1" si="256"/>
        <v>823.44060180650536</v>
      </c>
      <c r="BD160" s="85">
        <f t="shared" ca="1" si="257"/>
        <v>823.09905161430527</v>
      </c>
      <c r="BE160" s="85">
        <f t="shared" ca="1" si="258"/>
        <v>726.47435245564282</v>
      </c>
      <c r="BF160" s="85">
        <f t="shared" ca="1" si="259"/>
        <v>765.39626012777489</v>
      </c>
      <c r="BG160" s="85">
        <f t="shared" ca="1" si="260"/>
        <v>725.01035190803839</v>
      </c>
      <c r="BH160" s="85">
        <f t="shared" ca="1" si="261"/>
        <v>869.52514104239299</v>
      </c>
      <c r="BI160" s="85">
        <f t="shared" ca="1" si="262"/>
        <v>739.76421032800624</v>
      </c>
      <c r="BJ160" s="85">
        <f t="shared" ca="1" si="263"/>
        <v>812.40120995164841</v>
      </c>
      <c r="BK160" s="85">
        <f t="shared" ca="1" si="264"/>
        <v>766.59740563665332</v>
      </c>
      <c r="BL160" s="85">
        <f t="shared" ca="1" si="265"/>
        <v>724.13709192042143</v>
      </c>
      <c r="BM160" s="85">
        <f t="shared" ca="1" si="266"/>
        <v>733.28872597491511</v>
      </c>
      <c r="BN160" s="85">
        <f t="shared" ca="1" si="203"/>
        <v>902.97601345161547</v>
      </c>
      <c r="BO160" s="85">
        <f t="shared" ca="1" si="292"/>
        <v>949.72120847892631</v>
      </c>
      <c r="BP160" s="85">
        <f t="shared" ca="1" si="293"/>
        <v>656.76414813338465</v>
      </c>
      <c r="BQ160" s="85">
        <f t="shared" ca="1" si="294"/>
        <v>798.60012487104086</v>
      </c>
      <c r="BR160" s="85">
        <f t="shared" ca="1" si="295"/>
        <v>720.3925416819385</v>
      </c>
      <c r="BS160" s="85">
        <f t="shared" ca="1" si="296"/>
        <v>830.73843314712951</v>
      </c>
      <c r="BT160" s="85">
        <f t="shared" ca="1" si="297"/>
        <v>884.82359559545455</v>
      </c>
      <c r="BU160" s="85">
        <f t="shared" ca="1" si="298"/>
        <v>805.22926573667633</v>
      </c>
      <c r="BV160" s="85">
        <f t="shared" ca="1" si="299"/>
        <v>764.14970006429132</v>
      </c>
      <c r="BW160" s="85">
        <f t="shared" ca="1" si="300"/>
        <v>838.67846481903462</v>
      </c>
      <c r="BX160" s="85">
        <f t="shared" ca="1" si="301"/>
        <v>827.11442942273663</v>
      </c>
      <c r="BY160" s="85">
        <f t="shared" ca="1" si="267"/>
        <v>747.02734001818499</v>
      </c>
      <c r="BZ160" s="85">
        <f t="shared" ca="1" si="268"/>
        <v>745.96609026498595</v>
      </c>
      <c r="CA160" s="85">
        <f t="shared" ca="1" si="269"/>
        <v>786.15622919751991</v>
      </c>
      <c r="CB160" s="85">
        <f t="shared" ca="1" si="270"/>
        <v>716.24277096937726</v>
      </c>
      <c r="CC160" s="85">
        <f t="shared" ca="1" si="271"/>
        <v>863.22607527195817</v>
      </c>
      <c r="CD160" s="85">
        <f t="shared" ca="1" si="272"/>
        <v>946.97218685002838</v>
      </c>
      <c r="CE160" s="85">
        <f t="shared" ca="1" si="273"/>
        <v>719.63949534202698</v>
      </c>
      <c r="CF160" s="85">
        <f t="shared" ca="1" si="274"/>
        <v>872.53714219274832</v>
      </c>
      <c r="CG160" s="85">
        <f t="shared" ca="1" si="275"/>
        <v>725.42346439328787</v>
      </c>
      <c r="CH160" s="85">
        <f t="shared" ca="1" si="276"/>
        <v>820.11014521920708</v>
      </c>
      <c r="CI160" s="85">
        <f t="shared" ca="1" si="277"/>
        <v>763.52521316042373</v>
      </c>
      <c r="CJ160" s="85">
        <f t="shared" ca="1" si="278"/>
        <v>716.75483439493769</v>
      </c>
      <c r="CK160" s="85">
        <f t="shared" ca="1" si="279"/>
        <v>764.22023735090102</v>
      </c>
      <c r="CL160" s="85">
        <f t="shared" ca="1" si="280"/>
        <v>735.77645539483115</v>
      </c>
      <c r="CM160" s="85">
        <f t="shared" ca="1" si="281"/>
        <v>866.861375570213</v>
      </c>
      <c r="CN160" s="85">
        <f t="shared" ca="1" si="282"/>
        <v>674.25165854469219</v>
      </c>
      <c r="CO160" s="85">
        <f t="shared" ca="1" si="283"/>
        <v>730.44049344144958</v>
      </c>
      <c r="CP160" s="85">
        <f t="shared" ca="1" si="284"/>
        <v>854.47980073209317</v>
      </c>
      <c r="CQ160" s="85">
        <f t="shared" ca="1" si="285"/>
        <v>752.74002679733712</v>
      </c>
      <c r="CR160" s="85">
        <f t="shared" ca="1" si="286"/>
        <v>822.65297032740455</v>
      </c>
      <c r="CS160" s="85">
        <f t="shared" ca="1" si="287"/>
        <v>707.32498823696642</v>
      </c>
      <c r="CT160" s="85">
        <f t="shared" ca="1" si="288"/>
        <v>724.08100771950728</v>
      </c>
      <c r="CU160" s="85">
        <f t="shared" ca="1" si="289"/>
        <v>1020.5798559472646</v>
      </c>
      <c r="CV160" s="85">
        <f t="shared" ca="1" si="290"/>
        <v>721.07165791113232</v>
      </c>
      <c r="CW160" s="85">
        <f t="shared" ca="1" si="291"/>
        <v>730.52651170200659</v>
      </c>
    </row>
    <row r="161" spans="1:101" x14ac:dyDescent="0.2">
      <c r="A161" s="115">
        <v>158</v>
      </c>
      <c r="B161" s="85">
        <f t="shared" ca="1" si="202"/>
        <v>644.82203788546394</v>
      </c>
      <c r="C161" s="85">
        <f t="shared" ca="1" si="204"/>
        <v>813.99089248136363</v>
      </c>
      <c r="D161" s="85">
        <f t="shared" ca="1" si="205"/>
        <v>764.32996772640934</v>
      </c>
      <c r="E161" s="85">
        <f t="shared" ca="1" si="206"/>
        <v>690.62847294653477</v>
      </c>
      <c r="F161" s="85">
        <f t="shared" ca="1" si="207"/>
        <v>731.65496163534385</v>
      </c>
      <c r="G161" s="85">
        <f t="shared" ca="1" si="208"/>
        <v>805.63631449447519</v>
      </c>
      <c r="H161" s="85">
        <f t="shared" ca="1" si="209"/>
        <v>791.90022151162884</v>
      </c>
      <c r="I161" s="85">
        <f t="shared" ca="1" si="210"/>
        <v>888.33534150114099</v>
      </c>
      <c r="J161" s="85">
        <f t="shared" ca="1" si="211"/>
        <v>777.99088540170487</v>
      </c>
      <c r="K161" s="85">
        <f t="shared" ca="1" si="212"/>
        <v>846.50693774255228</v>
      </c>
      <c r="L161" s="85">
        <f t="shared" ca="1" si="213"/>
        <v>845.76242788956722</v>
      </c>
      <c r="M161" s="85">
        <f t="shared" ca="1" si="214"/>
        <v>628.08489611101584</v>
      </c>
      <c r="N161" s="85">
        <f t="shared" ca="1" si="215"/>
        <v>771.33264864300099</v>
      </c>
      <c r="O161" s="85">
        <f t="shared" ca="1" si="216"/>
        <v>764.99693907804726</v>
      </c>
      <c r="P161" s="85">
        <f t="shared" ca="1" si="217"/>
        <v>817.37653193987728</v>
      </c>
      <c r="Q161" s="85">
        <f t="shared" ca="1" si="218"/>
        <v>834.8761720471673</v>
      </c>
      <c r="R161" s="85">
        <f t="shared" ca="1" si="219"/>
        <v>759.34061544189558</v>
      </c>
      <c r="S161" s="85">
        <f t="shared" ca="1" si="220"/>
        <v>812.39108167792472</v>
      </c>
      <c r="T161" s="85">
        <f t="shared" ca="1" si="221"/>
        <v>785.96017095204832</v>
      </c>
      <c r="U161" s="85">
        <f t="shared" ca="1" si="222"/>
        <v>725.69182392329162</v>
      </c>
      <c r="V161" s="85">
        <f t="shared" ca="1" si="223"/>
        <v>872.29412232937466</v>
      </c>
      <c r="W161" s="85">
        <f t="shared" ca="1" si="224"/>
        <v>800.97084176590658</v>
      </c>
      <c r="X161" s="85">
        <f t="shared" ca="1" si="225"/>
        <v>819.62432660817683</v>
      </c>
      <c r="Y161" s="85">
        <f t="shared" ca="1" si="226"/>
        <v>722.80920996820771</v>
      </c>
      <c r="Z161" s="85">
        <f t="shared" ca="1" si="227"/>
        <v>812.28907388504285</v>
      </c>
      <c r="AA161" s="85">
        <f t="shared" ca="1" si="228"/>
        <v>721.72898734324713</v>
      </c>
      <c r="AB161" s="85">
        <f t="shared" ca="1" si="229"/>
        <v>915.601793345445</v>
      </c>
      <c r="AC161" s="85">
        <f t="shared" ca="1" si="230"/>
        <v>802.20665249658691</v>
      </c>
      <c r="AD161" s="85">
        <f t="shared" ca="1" si="231"/>
        <v>919.88278388128538</v>
      </c>
      <c r="AE161" s="85">
        <f t="shared" ca="1" si="232"/>
        <v>1074.9490731510332</v>
      </c>
      <c r="AF161" s="85">
        <f t="shared" ca="1" si="233"/>
        <v>733.11519791792932</v>
      </c>
      <c r="AG161" s="85">
        <f t="shared" ca="1" si="234"/>
        <v>864.66397932026109</v>
      </c>
      <c r="AH161" s="85">
        <f t="shared" ca="1" si="235"/>
        <v>711.55039859503233</v>
      </c>
      <c r="AI161" s="85">
        <f t="shared" ca="1" si="236"/>
        <v>848.96076486297375</v>
      </c>
      <c r="AJ161" s="85">
        <f t="shared" ca="1" si="237"/>
        <v>895.4535096563045</v>
      </c>
      <c r="AK161" s="85">
        <f t="shared" ca="1" si="238"/>
        <v>778.40090917260795</v>
      </c>
      <c r="AL161" s="85">
        <f t="shared" ca="1" si="239"/>
        <v>845.73454324941667</v>
      </c>
      <c r="AM161" s="85">
        <f t="shared" ca="1" si="240"/>
        <v>729.81332165223978</v>
      </c>
      <c r="AN161" s="85">
        <f t="shared" ca="1" si="241"/>
        <v>855.41542006520569</v>
      </c>
      <c r="AO161" s="85">
        <f t="shared" ca="1" si="242"/>
        <v>998.98870470809663</v>
      </c>
      <c r="AP161" s="85">
        <f t="shared" ca="1" si="243"/>
        <v>886.5439222334013</v>
      </c>
      <c r="AQ161" s="85">
        <f t="shared" ca="1" si="244"/>
        <v>748.23318844098856</v>
      </c>
      <c r="AR161" s="85">
        <f t="shared" ca="1" si="245"/>
        <v>830.37280321970309</v>
      </c>
      <c r="AS161" s="85">
        <f t="shared" ca="1" si="246"/>
        <v>723.13541777632076</v>
      </c>
      <c r="AT161" s="85">
        <f t="shared" ca="1" si="247"/>
        <v>771.22109713500652</v>
      </c>
      <c r="AU161" s="85">
        <f t="shared" ca="1" si="248"/>
        <v>857.63428939942025</v>
      </c>
      <c r="AV161" s="85">
        <f t="shared" ca="1" si="249"/>
        <v>836.31206759637644</v>
      </c>
      <c r="AW161" s="85">
        <f t="shared" ca="1" si="250"/>
        <v>828.10756971646947</v>
      </c>
      <c r="AX161" s="85">
        <f t="shared" ca="1" si="251"/>
        <v>921.15179463502056</v>
      </c>
      <c r="AY161" s="85">
        <f t="shared" ca="1" si="252"/>
        <v>898.86083663863485</v>
      </c>
      <c r="AZ161" s="85">
        <f t="shared" ca="1" si="253"/>
        <v>842.20788740641194</v>
      </c>
      <c r="BA161" s="85">
        <f t="shared" ca="1" si="254"/>
        <v>863.37299175221506</v>
      </c>
      <c r="BB161" s="85">
        <f t="shared" ca="1" si="255"/>
        <v>747.18961018828429</v>
      </c>
      <c r="BC161" s="85">
        <f t="shared" ca="1" si="256"/>
        <v>841.73882232503945</v>
      </c>
      <c r="BD161" s="85">
        <f t="shared" ca="1" si="257"/>
        <v>839.86090097717681</v>
      </c>
      <c r="BE161" s="85">
        <f t="shared" ca="1" si="258"/>
        <v>741.83610859067801</v>
      </c>
      <c r="BF161" s="85">
        <f t="shared" ca="1" si="259"/>
        <v>774.52935308665974</v>
      </c>
      <c r="BG161" s="85">
        <f t="shared" ca="1" si="260"/>
        <v>734.50784443506586</v>
      </c>
      <c r="BH161" s="85">
        <f t="shared" ca="1" si="261"/>
        <v>877.24752184195609</v>
      </c>
      <c r="BI161" s="85">
        <f t="shared" ca="1" si="262"/>
        <v>745.86125955736372</v>
      </c>
      <c r="BJ161" s="85">
        <f t="shared" ca="1" si="263"/>
        <v>824.00048119690143</v>
      </c>
      <c r="BK161" s="85">
        <f t="shared" ca="1" si="264"/>
        <v>784.23792340291016</v>
      </c>
      <c r="BL161" s="85">
        <f t="shared" ca="1" si="265"/>
        <v>734.86033488620672</v>
      </c>
      <c r="BM161" s="85">
        <f t="shared" ca="1" si="266"/>
        <v>731.88138973658761</v>
      </c>
      <c r="BN161" s="85">
        <f t="shared" ca="1" si="203"/>
        <v>914.70227226460997</v>
      </c>
      <c r="BO161" s="85">
        <f t="shared" ca="1" si="292"/>
        <v>958.45534355744257</v>
      </c>
      <c r="BP161" s="85">
        <f t="shared" ca="1" si="293"/>
        <v>674.12938408042612</v>
      </c>
      <c r="BQ161" s="85">
        <f t="shared" ca="1" si="294"/>
        <v>811.52841299293959</v>
      </c>
      <c r="BR161" s="85">
        <f t="shared" ca="1" si="295"/>
        <v>722.89964195341702</v>
      </c>
      <c r="BS161" s="85">
        <f t="shared" ca="1" si="296"/>
        <v>836.17021929897851</v>
      </c>
      <c r="BT161" s="85">
        <f t="shared" ca="1" si="297"/>
        <v>896.47680938437531</v>
      </c>
      <c r="BU161" s="85">
        <f t="shared" ca="1" si="298"/>
        <v>814.78290934416862</v>
      </c>
      <c r="BV161" s="85">
        <f t="shared" ca="1" si="299"/>
        <v>778.71618790794184</v>
      </c>
      <c r="BW161" s="85">
        <f t="shared" ca="1" si="300"/>
        <v>851.54141301612674</v>
      </c>
      <c r="BX161" s="85">
        <f t="shared" ca="1" si="301"/>
        <v>834.12269373983258</v>
      </c>
      <c r="BY161" s="85">
        <f t="shared" ca="1" si="267"/>
        <v>762.96869181409522</v>
      </c>
      <c r="BZ161" s="85">
        <f t="shared" ca="1" si="268"/>
        <v>751.80853166512884</v>
      </c>
      <c r="CA161" s="85">
        <f t="shared" ca="1" si="269"/>
        <v>792.7015629826966</v>
      </c>
      <c r="CB161" s="85">
        <f t="shared" ca="1" si="270"/>
        <v>731.31875167559053</v>
      </c>
      <c r="CC161" s="85">
        <f t="shared" ca="1" si="271"/>
        <v>881.17329084904225</v>
      </c>
      <c r="CD161" s="85">
        <f t="shared" ca="1" si="272"/>
        <v>955.49419362262029</v>
      </c>
      <c r="CE161" s="85">
        <f t="shared" ca="1" si="273"/>
        <v>721.87097016544078</v>
      </c>
      <c r="CF161" s="85">
        <f t="shared" ca="1" si="274"/>
        <v>900.96655058864928</v>
      </c>
      <c r="CG161" s="85">
        <f t="shared" ca="1" si="275"/>
        <v>731.94269714605639</v>
      </c>
      <c r="CH161" s="85">
        <f t="shared" ca="1" si="276"/>
        <v>818.87094321520203</v>
      </c>
      <c r="CI161" s="85">
        <f t="shared" ca="1" si="277"/>
        <v>771.26249626198319</v>
      </c>
      <c r="CJ161" s="85">
        <f t="shared" ca="1" si="278"/>
        <v>724.68006141768456</v>
      </c>
      <c r="CK161" s="85">
        <f t="shared" ca="1" si="279"/>
        <v>777.77109723009278</v>
      </c>
      <c r="CL161" s="85">
        <f t="shared" ca="1" si="280"/>
        <v>749.76294106195508</v>
      </c>
      <c r="CM161" s="85">
        <f t="shared" ca="1" si="281"/>
        <v>875.74531735490405</v>
      </c>
      <c r="CN161" s="85">
        <f t="shared" ca="1" si="282"/>
        <v>685.12750235963631</v>
      </c>
      <c r="CO161" s="85">
        <f t="shared" ca="1" si="283"/>
        <v>737.05011378933591</v>
      </c>
      <c r="CP161" s="85">
        <f t="shared" ca="1" si="284"/>
        <v>871.14970577827864</v>
      </c>
      <c r="CQ161" s="85">
        <f t="shared" ca="1" si="285"/>
        <v>758.74234965180335</v>
      </c>
      <c r="CR161" s="85">
        <f t="shared" ca="1" si="286"/>
        <v>834.51978367005722</v>
      </c>
      <c r="CS161" s="85">
        <f t="shared" ca="1" si="287"/>
        <v>714.92933600404797</v>
      </c>
      <c r="CT161" s="85">
        <f t="shared" ca="1" si="288"/>
        <v>732.22348303306717</v>
      </c>
      <c r="CU161" s="85">
        <f t="shared" ca="1" si="289"/>
        <v>1029.0894685335036</v>
      </c>
      <c r="CV161" s="85">
        <f t="shared" ca="1" si="290"/>
        <v>721.46147433921124</v>
      </c>
      <c r="CW161" s="85">
        <f t="shared" ca="1" si="291"/>
        <v>743.41861587603921</v>
      </c>
    </row>
    <row r="162" spans="1:101" x14ac:dyDescent="0.2">
      <c r="A162" s="115">
        <v>159</v>
      </c>
      <c r="B162" s="85">
        <f t="shared" ca="1" si="202"/>
        <v>650.0017239370369</v>
      </c>
      <c r="C162" s="85">
        <f t="shared" ca="1" si="204"/>
        <v>833.61598038029615</v>
      </c>
      <c r="D162" s="85">
        <f t="shared" ca="1" si="205"/>
        <v>767.46625956724461</v>
      </c>
      <c r="E162" s="85">
        <f t="shared" ca="1" si="206"/>
        <v>704.47658361983088</v>
      </c>
      <c r="F162" s="85">
        <f t="shared" ca="1" si="207"/>
        <v>749.55623971874036</v>
      </c>
      <c r="G162" s="85">
        <f t="shared" ca="1" si="208"/>
        <v>813.12464601127238</v>
      </c>
      <c r="H162" s="85">
        <f t="shared" ca="1" si="209"/>
        <v>805.09173079030086</v>
      </c>
      <c r="I162" s="85">
        <f t="shared" ca="1" si="210"/>
        <v>890.7958060806136</v>
      </c>
      <c r="J162" s="85">
        <f t="shared" ca="1" si="211"/>
        <v>779.71632698033852</v>
      </c>
      <c r="K162" s="85">
        <f t="shared" ca="1" si="212"/>
        <v>857.5186913647193</v>
      </c>
      <c r="L162" s="85">
        <f t="shared" ca="1" si="213"/>
        <v>856.52195898488139</v>
      </c>
      <c r="M162" s="85">
        <f t="shared" ca="1" si="214"/>
        <v>628.75722222514662</v>
      </c>
      <c r="N162" s="85">
        <f t="shared" ca="1" si="215"/>
        <v>778.41545016858618</v>
      </c>
      <c r="O162" s="85">
        <f t="shared" ca="1" si="216"/>
        <v>782.16776536812824</v>
      </c>
      <c r="P162" s="85">
        <f t="shared" ca="1" si="217"/>
        <v>843.5587894778015</v>
      </c>
      <c r="Q162" s="85">
        <f t="shared" ca="1" si="218"/>
        <v>861.45817075411424</v>
      </c>
      <c r="R162" s="85">
        <f t="shared" ca="1" si="219"/>
        <v>772.65176467460435</v>
      </c>
      <c r="S162" s="85">
        <f t="shared" ca="1" si="220"/>
        <v>819.5129073769557</v>
      </c>
      <c r="T162" s="85">
        <f t="shared" ca="1" si="221"/>
        <v>793.24705699975573</v>
      </c>
      <c r="U162" s="85">
        <f t="shared" ca="1" si="222"/>
        <v>735.75123429461644</v>
      </c>
      <c r="V162" s="85">
        <f t="shared" ca="1" si="223"/>
        <v>890.27772991404265</v>
      </c>
      <c r="W162" s="85">
        <f t="shared" ca="1" si="224"/>
        <v>811.79546698699812</v>
      </c>
      <c r="X162" s="85">
        <f t="shared" ca="1" si="225"/>
        <v>831.15926311452756</v>
      </c>
      <c r="Y162" s="85">
        <f t="shared" ca="1" si="226"/>
        <v>736.19384997940517</v>
      </c>
      <c r="Z162" s="85">
        <f t="shared" ca="1" si="227"/>
        <v>820.69135844198547</v>
      </c>
      <c r="AA162" s="85">
        <f t="shared" ca="1" si="228"/>
        <v>732.81515674690115</v>
      </c>
      <c r="AB162" s="85">
        <f t="shared" ca="1" si="229"/>
        <v>933.34504749753944</v>
      </c>
      <c r="AC162" s="85">
        <f t="shared" ca="1" si="230"/>
        <v>816.92284139083029</v>
      </c>
      <c r="AD162" s="85">
        <f t="shared" ca="1" si="231"/>
        <v>933.29196003625304</v>
      </c>
      <c r="AE162" s="85">
        <f t="shared" ca="1" si="232"/>
        <v>1084.674730767339</v>
      </c>
      <c r="AF162" s="85">
        <f t="shared" ca="1" si="233"/>
        <v>743.63306563609308</v>
      </c>
      <c r="AG162" s="85">
        <f t="shared" ca="1" si="234"/>
        <v>862.80035352370658</v>
      </c>
      <c r="AH162" s="85">
        <f t="shared" ca="1" si="235"/>
        <v>725.95811493081783</v>
      </c>
      <c r="AI162" s="85">
        <f t="shared" ca="1" si="236"/>
        <v>873.27073564958528</v>
      </c>
      <c r="AJ162" s="85">
        <f t="shared" ca="1" si="237"/>
        <v>913.68797673969948</v>
      </c>
      <c r="AK162" s="85">
        <f t="shared" ca="1" si="238"/>
        <v>794.99127071748819</v>
      </c>
      <c r="AL162" s="85">
        <f t="shared" ca="1" si="239"/>
        <v>853.20450128802372</v>
      </c>
      <c r="AM162" s="85">
        <f t="shared" ca="1" si="240"/>
        <v>740.48547084164966</v>
      </c>
      <c r="AN162" s="85">
        <f t="shared" ca="1" si="241"/>
        <v>864.39639466901986</v>
      </c>
      <c r="AO162" s="85">
        <f t="shared" ca="1" si="242"/>
        <v>1012.0809498459637</v>
      </c>
      <c r="AP162" s="85">
        <f t="shared" ca="1" si="243"/>
        <v>900.54558175980958</v>
      </c>
      <c r="AQ162" s="85">
        <f t="shared" ca="1" si="244"/>
        <v>759.37338900087445</v>
      </c>
      <c r="AR162" s="85">
        <f t="shared" ca="1" si="245"/>
        <v>853.35708081068231</v>
      </c>
      <c r="AS162" s="85">
        <f t="shared" ca="1" si="246"/>
        <v>739.36209663025897</v>
      </c>
      <c r="AT162" s="85">
        <f t="shared" ca="1" si="247"/>
        <v>789.39643933277227</v>
      </c>
      <c r="AU162" s="85">
        <f t="shared" ca="1" si="248"/>
        <v>868.44078736009226</v>
      </c>
      <c r="AV162" s="85">
        <f t="shared" ca="1" si="249"/>
        <v>857.98056505849877</v>
      </c>
      <c r="AW162" s="85">
        <f t="shared" ca="1" si="250"/>
        <v>840.1562627353178</v>
      </c>
      <c r="AX162" s="85">
        <f t="shared" ca="1" si="251"/>
        <v>935.14692459087826</v>
      </c>
      <c r="AY162" s="85">
        <f t="shared" ca="1" si="252"/>
        <v>912.5134716705727</v>
      </c>
      <c r="AZ162" s="85">
        <f t="shared" ca="1" si="253"/>
        <v>851.2224660248944</v>
      </c>
      <c r="BA162" s="85">
        <f t="shared" ca="1" si="254"/>
        <v>871.36002755769937</v>
      </c>
      <c r="BB162" s="85">
        <f t="shared" ca="1" si="255"/>
        <v>760.81606774776321</v>
      </c>
      <c r="BC162" s="85">
        <f t="shared" ca="1" si="256"/>
        <v>852.79579435800474</v>
      </c>
      <c r="BD162" s="85">
        <f t="shared" ca="1" si="257"/>
        <v>850.02070566651378</v>
      </c>
      <c r="BE162" s="85">
        <f t="shared" ca="1" si="258"/>
        <v>746.5450845506266</v>
      </c>
      <c r="BF162" s="85">
        <f t="shared" ca="1" si="259"/>
        <v>783.10653181629391</v>
      </c>
      <c r="BG162" s="85">
        <f t="shared" ca="1" si="260"/>
        <v>747.82613940131637</v>
      </c>
      <c r="BH162" s="85">
        <f t="shared" ca="1" si="261"/>
        <v>887.51296525601765</v>
      </c>
      <c r="BI162" s="85">
        <f t="shared" ca="1" si="262"/>
        <v>759.27430296206558</v>
      </c>
      <c r="BJ162" s="85">
        <f t="shared" ca="1" si="263"/>
        <v>839.0183902314842</v>
      </c>
      <c r="BK162" s="85">
        <f t="shared" ca="1" si="264"/>
        <v>790.72225897820806</v>
      </c>
      <c r="BL162" s="85">
        <f t="shared" ca="1" si="265"/>
        <v>751.184245547861</v>
      </c>
      <c r="BM162" s="85">
        <f t="shared" ca="1" si="266"/>
        <v>736.30380118051858</v>
      </c>
      <c r="BN162" s="85">
        <f t="shared" ca="1" si="203"/>
        <v>916.59793346811307</v>
      </c>
      <c r="BO162" s="85">
        <f t="shared" ca="1" si="292"/>
        <v>958.80481827850133</v>
      </c>
      <c r="BP162" s="85">
        <f t="shared" ca="1" si="293"/>
        <v>684.21323889213033</v>
      </c>
      <c r="BQ162" s="85">
        <f t="shared" ca="1" si="294"/>
        <v>823.33434246642355</v>
      </c>
      <c r="BR162" s="85">
        <f t="shared" ca="1" si="295"/>
        <v>731.06989627333235</v>
      </c>
      <c r="BS162" s="85">
        <f t="shared" ca="1" si="296"/>
        <v>852.95975366670666</v>
      </c>
      <c r="BT162" s="85">
        <f t="shared" ca="1" si="297"/>
        <v>895.90343285455731</v>
      </c>
      <c r="BU162" s="85">
        <f t="shared" ca="1" si="298"/>
        <v>824.32742252923344</v>
      </c>
      <c r="BV162" s="85">
        <f t="shared" ca="1" si="299"/>
        <v>778.40534681037559</v>
      </c>
      <c r="BW162" s="85">
        <f t="shared" ca="1" si="300"/>
        <v>857.78544483846781</v>
      </c>
      <c r="BX162" s="85">
        <f t="shared" ca="1" si="301"/>
        <v>841.76744913376547</v>
      </c>
      <c r="BY162" s="85">
        <f t="shared" ca="1" si="267"/>
        <v>767.21219185279097</v>
      </c>
      <c r="BZ162" s="85">
        <f t="shared" ca="1" si="268"/>
        <v>764.18397032375731</v>
      </c>
      <c r="CA162" s="85">
        <f t="shared" ca="1" si="269"/>
        <v>806.72818928099218</v>
      </c>
      <c r="CB162" s="85">
        <f t="shared" ca="1" si="270"/>
        <v>741.62552530307141</v>
      </c>
      <c r="CC162" s="85">
        <f t="shared" ca="1" si="271"/>
        <v>904.40307183541495</v>
      </c>
      <c r="CD162" s="85">
        <f t="shared" ca="1" si="272"/>
        <v>964.72287449096746</v>
      </c>
      <c r="CE162" s="85">
        <f t="shared" ca="1" si="273"/>
        <v>726.24736892507076</v>
      </c>
      <c r="CF162" s="85">
        <f t="shared" ca="1" si="274"/>
        <v>918.73688102312792</v>
      </c>
      <c r="CG162" s="85">
        <f t="shared" ca="1" si="275"/>
        <v>737.69773673958832</v>
      </c>
      <c r="CH162" s="85">
        <f t="shared" ca="1" si="276"/>
        <v>833.20468232444739</v>
      </c>
      <c r="CI162" s="85">
        <f t="shared" ca="1" si="277"/>
        <v>779.90494686767954</v>
      </c>
      <c r="CJ162" s="85">
        <f t="shared" ca="1" si="278"/>
        <v>733.45038041709427</v>
      </c>
      <c r="CK162" s="85">
        <f t="shared" ca="1" si="279"/>
        <v>787.50677876746715</v>
      </c>
      <c r="CL162" s="85">
        <f t="shared" ca="1" si="280"/>
        <v>760.3534533512842</v>
      </c>
      <c r="CM162" s="85">
        <f t="shared" ca="1" si="281"/>
        <v>893.31539689384635</v>
      </c>
      <c r="CN162" s="85">
        <f t="shared" ca="1" si="282"/>
        <v>695.61350132862049</v>
      </c>
      <c r="CO162" s="85">
        <f t="shared" ca="1" si="283"/>
        <v>753.23703101147089</v>
      </c>
      <c r="CP162" s="85">
        <f t="shared" ca="1" si="284"/>
        <v>878.03542482636101</v>
      </c>
      <c r="CQ162" s="85">
        <f t="shared" ca="1" si="285"/>
        <v>778.54574990774665</v>
      </c>
      <c r="CR162" s="85">
        <f t="shared" ca="1" si="286"/>
        <v>842.24315536357096</v>
      </c>
      <c r="CS162" s="85">
        <f t="shared" ca="1" si="287"/>
        <v>723.05062044945657</v>
      </c>
      <c r="CT162" s="85">
        <f t="shared" ca="1" si="288"/>
        <v>741.63169792018607</v>
      </c>
      <c r="CU162" s="85">
        <f t="shared" ca="1" si="289"/>
        <v>1034.603532443226</v>
      </c>
      <c r="CV162" s="85">
        <f t="shared" ca="1" si="290"/>
        <v>736.83155593556569</v>
      </c>
      <c r="CW162" s="85">
        <f t="shared" ca="1" si="291"/>
        <v>753.86434870267738</v>
      </c>
    </row>
    <row r="163" spans="1:101" x14ac:dyDescent="0.2">
      <c r="A163" s="115">
        <v>160</v>
      </c>
      <c r="B163" s="85">
        <f t="shared" ca="1" si="202"/>
        <v>657.58883617574418</v>
      </c>
      <c r="C163" s="85">
        <f t="shared" ca="1" si="204"/>
        <v>841.49960983675476</v>
      </c>
      <c r="D163" s="85">
        <f t="shared" ca="1" si="205"/>
        <v>789.58621178781152</v>
      </c>
      <c r="E163" s="85">
        <f t="shared" ca="1" si="206"/>
        <v>711.61076097087891</v>
      </c>
      <c r="F163" s="85">
        <f t="shared" ca="1" si="207"/>
        <v>757.56442065723354</v>
      </c>
      <c r="G163" s="85">
        <f t="shared" ca="1" si="208"/>
        <v>826.14385666027954</v>
      </c>
      <c r="H163" s="85">
        <f t="shared" ca="1" si="209"/>
        <v>826.89712243908752</v>
      </c>
      <c r="I163" s="85">
        <f t="shared" ca="1" si="210"/>
        <v>906.24999721388201</v>
      </c>
      <c r="J163" s="85">
        <f t="shared" ca="1" si="211"/>
        <v>779.19223348826119</v>
      </c>
      <c r="K163" s="85">
        <f t="shared" ca="1" si="212"/>
        <v>863.99071858420916</v>
      </c>
      <c r="L163" s="85">
        <f t="shared" ca="1" si="213"/>
        <v>880.48718098328209</v>
      </c>
      <c r="M163" s="85">
        <f t="shared" ca="1" si="214"/>
        <v>641.08013024455829</v>
      </c>
      <c r="N163" s="85">
        <f t="shared" ca="1" si="215"/>
        <v>794.75502830070934</v>
      </c>
      <c r="O163" s="85">
        <f t="shared" ca="1" si="216"/>
        <v>780.16756883808603</v>
      </c>
      <c r="P163" s="85">
        <f t="shared" ca="1" si="217"/>
        <v>853.59106398486722</v>
      </c>
      <c r="Q163" s="85">
        <f t="shared" ca="1" si="218"/>
        <v>865.87422281187787</v>
      </c>
      <c r="R163" s="85">
        <f t="shared" ca="1" si="219"/>
        <v>792.88799957847459</v>
      </c>
      <c r="S163" s="85">
        <f t="shared" ca="1" si="220"/>
        <v>837.45555838336611</v>
      </c>
      <c r="T163" s="85">
        <f t="shared" ca="1" si="221"/>
        <v>807.75514619295132</v>
      </c>
      <c r="U163" s="85">
        <f t="shared" ca="1" si="222"/>
        <v>751.19873049584544</v>
      </c>
      <c r="V163" s="85">
        <f t="shared" ca="1" si="223"/>
        <v>910.20020216850389</v>
      </c>
      <c r="W163" s="85">
        <f t="shared" ca="1" si="224"/>
        <v>823.68101279745417</v>
      </c>
      <c r="X163" s="85">
        <f t="shared" ca="1" si="225"/>
        <v>841.25974021410889</v>
      </c>
      <c r="Y163" s="85">
        <f t="shared" ca="1" si="226"/>
        <v>748.96744168044518</v>
      </c>
      <c r="Z163" s="85">
        <f t="shared" ca="1" si="227"/>
        <v>826.55425386712261</v>
      </c>
      <c r="AA163" s="85">
        <f t="shared" ca="1" si="228"/>
        <v>747.49580522408007</v>
      </c>
      <c r="AB163" s="85">
        <f t="shared" ca="1" si="229"/>
        <v>953.91280989802772</v>
      </c>
      <c r="AC163" s="85">
        <f t="shared" ca="1" si="230"/>
        <v>820.13750350583405</v>
      </c>
      <c r="AD163" s="85">
        <f t="shared" ca="1" si="231"/>
        <v>950.47722451351387</v>
      </c>
      <c r="AE163" s="85">
        <f t="shared" ca="1" si="232"/>
        <v>1096.9982008886143</v>
      </c>
      <c r="AF163" s="85">
        <f t="shared" ca="1" si="233"/>
        <v>752.4058259557255</v>
      </c>
      <c r="AG163" s="85">
        <f t="shared" ca="1" si="234"/>
        <v>868.4946714833444</v>
      </c>
      <c r="AH163" s="85">
        <f t="shared" ca="1" si="235"/>
        <v>739.91737829948715</v>
      </c>
      <c r="AI163" s="85">
        <f t="shared" ca="1" si="236"/>
        <v>887.97032363655171</v>
      </c>
      <c r="AJ163" s="85">
        <f t="shared" ca="1" si="237"/>
        <v>925.08450944936305</v>
      </c>
      <c r="AK163" s="85">
        <f t="shared" ca="1" si="238"/>
        <v>813.9245921326268</v>
      </c>
      <c r="AL163" s="85">
        <f t="shared" ca="1" si="239"/>
        <v>855.86411264673245</v>
      </c>
      <c r="AM163" s="85">
        <f t="shared" ca="1" si="240"/>
        <v>751.18610904134312</v>
      </c>
      <c r="AN163" s="85">
        <f t="shared" ca="1" si="241"/>
        <v>876.18714832611693</v>
      </c>
      <c r="AO163" s="85">
        <f t="shared" ca="1" si="242"/>
        <v>1021.0670031427801</v>
      </c>
      <c r="AP163" s="85">
        <f t="shared" ca="1" si="243"/>
        <v>913.04329390396344</v>
      </c>
      <c r="AQ163" s="85">
        <f t="shared" ca="1" si="244"/>
        <v>764.93156292411368</v>
      </c>
      <c r="AR163" s="85">
        <f t="shared" ca="1" si="245"/>
        <v>860.05797793293084</v>
      </c>
      <c r="AS163" s="85">
        <f t="shared" ca="1" si="246"/>
        <v>741.08570864816636</v>
      </c>
      <c r="AT163" s="85">
        <f t="shared" ca="1" si="247"/>
        <v>801.22392602094351</v>
      </c>
      <c r="AU163" s="85">
        <f t="shared" ca="1" si="248"/>
        <v>877.75800662350423</v>
      </c>
      <c r="AV163" s="85">
        <f t="shared" ca="1" si="249"/>
        <v>868.21234843453635</v>
      </c>
      <c r="AW163" s="85">
        <f t="shared" ca="1" si="250"/>
        <v>852.14118391630836</v>
      </c>
      <c r="AX163" s="85">
        <f t="shared" ca="1" si="251"/>
        <v>945.70949198351002</v>
      </c>
      <c r="AY163" s="85">
        <f t="shared" ca="1" si="252"/>
        <v>924.27128457868389</v>
      </c>
      <c r="AZ163" s="85">
        <f t="shared" ca="1" si="253"/>
        <v>862.61608865729477</v>
      </c>
      <c r="BA163" s="85">
        <f t="shared" ca="1" si="254"/>
        <v>884.48313823365095</v>
      </c>
      <c r="BB163" s="85">
        <f t="shared" ca="1" si="255"/>
        <v>772.00326605996304</v>
      </c>
      <c r="BC163" s="85">
        <f t="shared" ca="1" si="256"/>
        <v>864.25255199698768</v>
      </c>
      <c r="BD163" s="85">
        <f t="shared" ca="1" si="257"/>
        <v>867.26525708661325</v>
      </c>
      <c r="BE163" s="85">
        <f t="shared" ca="1" si="258"/>
        <v>752.07739551226064</v>
      </c>
      <c r="BF163" s="85">
        <f t="shared" ca="1" si="259"/>
        <v>790.15643874843431</v>
      </c>
      <c r="BG163" s="85">
        <f t="shared" ca="1" si="260"/>
        <v>743.43379928424326</v>
      </c>
      <c r="BH163" s="85">
        <f t="shared" ca="1" si="261"/>
        <v>902.99900483558361</v>
      </c>
      <c r="BI163" s="85">
        <f t="shared" ca="1" si="262"/>
        <v>775.35076388730624</v>
      </c>
      <c r="BJ163" s="85">
        <f t="shared" ca="1" si="263"/>
        <v>847.30630912970378</v>
      </c>
      <c r="BK163" s="85">
        <f t="shared" ca="1" si="264"/>
        <v>801.54818789491742</v>
      </c>
      <c r="BL163" s="85">
        <f t="shared" ca="1" si="265"/>
        <v>771.01655191088321</v>
      </c>
      <c r="BM163" s="85">
        <f t="shared" ca="1" si="266"/>
        <v>747.1833830821314</v>
      </c>
      <c r="BN163" s="85">
        <f t="shared" ca="1" si="203"/>
        <v>924.54335701111097</v>
      </c>
      <c r="BO163" s="85">
        <f t="shared" ca="1" si="292"/>
        <v>975.68088007511494</v>
      </c>
      <c r="BP163" s="85">
        <f t="shared" ca="1" si="293"/>
        <v>701.75577714657334</v>
      </c>
      <c r="BQ163" s="85">
        <f t="shared" ca="1" si="294"/>
        <v>833.14384973752203</v>
      </c>
      <c r="BR163" s="85">
        <f t="shared" ca="1" si="295"/>
        <v>735.808875557433</v>
      </c>
      <c r="BS163" s="85">
        <f t="shared" ca="1" si="296"/>
        <v>855.07323480141474</v>
      </c>
      <c r="BT163" s="85">
        <f t="shared" ca="1" si="297"/>
        <v>907.15851554800918</v>
      </c>
      <c r="BU163" s="85">
        <f t="shared" ca="1" si="298"/>
        <v>846.61273876724056</v>
      </c>
      <c r="BV163" s="85">
        <f t="shared" ca="1" si="299"/>
        <v>794.25906242903829</v>
      </c>
      <c r="BW163" s="85">
        <f t="shared" ca="1" si="300"/>
        <v>870.79078846592631</v>
      </c>
      <c r="BX163" s="85">
        <f t="shared" ca="1" si="301"/>
        <v>860.2566541723213</v>
      </c>
      <c r="BY163" s="85">
        <f t="shared" ca="1" si="267"/>
        <v>779.70099964698409</v>
      </c>
      <c r="BZ163" s="85">
        <f t="shared" ca="1" si="268"/>
        <v>782.0068088389213</v>
      </c>
      <c r="CA163" s="85">
        <f t="shared" ca="1" si="269"/>
        <v>815.00948457889126</v>
      </c>
      <c r="CB163" s="85">
        <f t="shared" ca="1" si="270"/>
        <v>756.85999078680607</v>
      </c>
      <c r="CC163" s="85">
        <f t="shared" ca="1" si="271"/>
        <v>912.48339461080479</v>
      </c>
      <c r="CD163" s="85">
        <f t="shared" ca="1" si="272"/>
        <v>977.29668114351898</v>
      </c>
      <c r="CE163" s="85">
        <f t="shared" ca="1" si="273"/>
        <v>746.81303029416495</v>
      </c>
      <c r="CF163" s="85">
        <f t="shared" ca="1" si="274"/>
        <v>922.77888228347831</v>
      </c>
      <c r="CG163" s="85">
        <f t="shared" ca="1" si="275"/>
        <v>750.36514022140591</v>
      </c>
      <c r="CH163" s="85">
        <f t="shared" ca="1" si="276"/>
        <v>846.55232139408031</v>
      </c>
      <c r="CI163" s="85">
        <f t="shared" ca="1" si="277"/>
        <v>790.233182057249</v>
      </c>
      <c r="CJ163" s="85">
        <f t="shared" ca="1" si="278"/>
        <v>738.83244226139846</v>
      </c>
      <c r="CK163" s="85">
        <f t="shared" ca="1" si="279"/>
        <v>799.07618040300849</v>
      </c>
      <c r="CL163" s="85">
        <f t="shared" ca="1" si="280"/>
        <v>768.44037926812348</v>
      </c>
      <c r="CM163" s="85">
        <f t="shared" ca="1" si="281"/>
        <v>898.38105542699759</v>
      </c>
      <c r="CN163" s="85">
        <f t="shared" ca="1" si="282"/>
        <v>705.82030998376217</v>
      </c>
      <c r="CO163" s="85">
        <f t="shared" ca="1" si="283"/>
        <v>767.39719289640163</v>
      </c>
      <c r="CP163" s="85">
        <f t="shared" ca="1" si="284"/>
        <v>894.13253247161379</v>
      </c>
      <c r="CQ163" s="85">
        <f t="shared" ca="1" si="285"/>
        <v>797.90365873032306</v>
      </c>
      <c r="CR163" s="85">
        <f t="shared" ca="1" si="286"/>
        <v>855.63785804466977</v>
      </c>
      <c r="CS163" s="85">
        <f t="shared" ca="1" si="287"/>
        <v>728.33005205998677</v>
      </c>
      <c r="CT163" s="85">
        <f t="shared" ca="1" si="288"/>
        <v>751.42130948092677</v>
      </c>
      <c r="CU163" s="85">
        <f t="shared" ca="1" si="289"/>
        <v>1060.3446772578463</v>
      </c>
      <c r="CV163" s="85">
        <f t="shared" ca="1" si="290"/>
        <v>744.21037246067021</v>
      </c>
      <c r="CW163" s="85">
        <f t="shared" ca="1" si="291"/>
        <v>775.45818259368627</v>
      </c>
    </row>
    <row r="164" spans="1:101" x14ac:dyDescent="0.2">
      <c r="A164" s="115">
        <v>161</v>
      </c>
      <c r="B164" s="85">
        <f t="shared" ca="1" si="202"/>
        <v>655.6217619565258</v>
      </c>
      <c r="C164" s="85">
        <f t="shared" ca="1" si="204"/>
        <v>846.96147650956289</v>
      </c>
      <c r="D164" s="85">
        <f t="shared" ca="1" si="205"/>
        <v>808.30109515588128</v>
      </c>
      <c r="E164" s="85">
        <f t="shared" ca="1" si="206"/>
        <v>729.57531401961273</v>
      </c>
      <c r="F164" s="85">
        <f t="shared" ca="1" si="207"/>
        <v>766.36963705408698</v>
      </c>
      <c r="G164" s="85">
        <f t="shared" ca="1" si="208"/>
        <v>843.02013871973088</v>
      </c>
      <c r="H164" s="85">
        <f t="shared" ca="1" si="209"/>
        <v>835.25896200589762</v>
      </c>
      <c r="I164" s="85">
        <f t="shared" ca="1" si="210"/>
        <v>923.65681106324166</v>
      </c>
      <c r="J164" s="85">
        <f t="shared" ca="1" si="211"/>
        <v>781.05060018189556</v>
      </c>
      <c r="K164" s="85">
        <f t="shared" ca="1" si="212"/>
        <v>872.50545357485521</v>
      </c>
      <c r="L164" s="85">
        <f t="shared" ca="1" si="213"/>
        <v>890.09257201493494</v>
      </c>
      <c r="M164" s="85">
        <f t="shared" ca="1" si="214"/>
        <v>651.20508717679922</v>
      </c>
      <c r="N164" s="85">
        <f t="shared" ca="1" si="215"/>
        <v>811.98763532921669</v>
      </c>
      <c r="O164" s="85">
        <f t="shared" ca="1" si="216"/>
        <v>788.32537015191269</v>
      </c>
      <c r="P164" s="85">
        <f t="shared" ca="1" si="217"/>
        <v>864.8395493935335</v>
      </c>
      <c r="Q164" s="85">
        <f t="shared" ca="1" si="218"/>
        <v>877.25106108302441</v>
      </c>
      <c r="R164" s="85">
        <f t="shared" ca="1" si="219"/>
        <v>793.65972182692713</v>
      </c>
      <c r="S164" s="85">
        <f t="shared" ca="1" si="220"/>
        <v>849.7306143898137</v>
      </c>
      <c r="T164" s="85">
        <f t="shared" ca="1" si="221"/>
        <v>812.19754376429296</v>
      </c>
      <c r="U164" s="85">
        <f t="shared" ca="1" si="222"/>
        <v>766.39522933875639</v>
      </c>
      <c r="V164" s="85">
        <f t="shared" ca="1" si="223"/>
        <v>921.41011800098204</v>
      </c>
      <c r="W164" s="85">
        <f t="shared" ca="1" si="224"/>
        <v>832.07031084523135</v>
      </c>
      <c r="X164" s="85">
        <f t="shared" ca="1" si="225"/>
        <v>850.11941308972916</v>
      </c>
      <c r="Y164" s="85">
        <f t="shared" ca="1" si="226"/>
        <v>755.6195272713685</v>
      </c>
      <c r="Z164" s="85">
        <f t="shared" ca="1" si="227"/>
        <v>834.19517354300672</v>
      </c>
      <c r="AA164" s="85">
        <f t="shared" ca="1" si="228"/>
        <v>754.85157704217079</v>
      </c>
      <c r="AB164" s="85">
        <f t="shared" ca="1" si="229"/>
        <v>970.19525385811426</v>
      </c>
      <c r="AC164" s="85">
        <f t="shared" ca="1" si="230"/>
        <v>832.9008742644935</v>
      </c>
      <c r="AD164" s="85">
        <f t="shared" ca="1" si="231"/>
        <v>961.72022596995191</v>
      </c>
      <c r="AE164" s="85">
        <f t="shared" ca="1" si="232"/>
        <v>1115.7563370243158</v>
      </c>
      <c r="AF164" s="85">
        <f t="shared" ca="1" si="233"/>
        <v>756.34520226302277</v>
      </c>
      <c r="AG164" s="85">
        <f t="shared" ca="1" si="234"/>
        <v>874.47768820846159</v>
      </c>
      <c r="AH164" s="85">
        <f t="shared" ca="1" si="235"/>
        <v>746.15623827297213</v>
      </c>
      <c r="AI164" s="85">
        <f t="shared" ca="1" si="236"/>
        <v>895.55907338791314</v>
      </c>
      <c r="AJ164" s="85">
        <f t="shared" ca="1" si="237"/>
        <v>938.2557749020292</v>
      </c>
      <c r="AK164" s="85">
        <f t="shared" ca="1" si="238"/>
        <v>830.68075034219873</v>
      </c>
      <c r="AL164" s="85">
        <f t="shared" ca="1" si="239"/>
        <v>861.54185423900685</v>
      </c>
      <c r="AM164" s="85">
        <f t="shared" ca="1" si="240"/>
        <v>757.28246836361586</v>
      </c>
      <c r="AN164" s="85">
        <f t="shared" ca="1" si="241"/>
        <v>894.11253305738683</v>
      </c>
      <c r="AO164" s="85">
        <f t="shared" ca="1" si="242"/>
        <v>1036.3462236734401</v>
      </c>
      <c r="AP164" s="85">
        <f t="shared" ca="1" si="243"/>
        <v>922.42881519873811</v>
      </c>
      <c r="AQ164" s="85">
        <f t="shared" ca="1" si="244"/>
        <v>773.2083485647122</v>
      </c>
      <c r="AR164" s="85">
        <f t="shared" ca="1" si="245"/>
        <v>869.93512118968329</v>
      </c>
      <c r="AS164" s="85">
        <f t="shared" ca="1" si="246"/>
        <v>747.64176279090884</v>
      </c>
      <c r="AT164" s="85">
        <f t="shared" ca="1" si="247"/>
        <v>811.98249473352155</v>
      </c>
      <c r="AU164" s="85">
        <f t="shared" ca="1" si="248"/>
        <v>893.25670281905798</v>
      </c>
      <c r="AV164" s="85">
        <f t="shared" ca="1" si="249"/>
        <v>885.26176386190605</v>
      </c>
      <c r="AW164" s="85">
        <f t="shared" ca="1" si="250"/>
        <v>862.17833622606702</v>
      </c>
      <c r="AX164" s="85">
        <f t="shared" ca="1" si="251"/>
        <v>965.39391428435943</v>
      </c>
      <c r="AY164" s="85">
        <f t="shared" ca="1" si="252"/>
        <v>936.26215120916345</v>
      </c>
      <c r="AZ164" s="85">
        <f t="shared" ca="1" si="253"/>
        <v>869.83169240702091</v>
      </c>
      <c r="BA164" s="85">
        <f t="shared" ca="1" si="254"/>
        <v>900.69239524220723</v>
      </c>
      <c r="BB164" s="85">
        <f t="shared" ca="1" si="255"/>
        <v>793.73708910447908</v>
      </c>
      <c r="BC164" s="85">
        <f t="shared" ca="1" si="256"/>
        <v>878.07024138613428</v>
      </c>
      <c r="BD164" s="85">
        <f t="shared" ca="1" si="257"/>
        <v>868.44982157221477</v>
      </c>
      <c r="BE164" s="85">
        <f t="shared" ca="1" si="258"/>
        <v>775.60067885118383</v>
      </c>
      <c r="BF164" s="85">
        <f t="shared" ca="1" si="259"/>
        <v>803.18485681597735</v>
      </c>
      <c r="BG164" s="85">
        <f t="shared" ca="1" si="260"/>
        <v>743.25830135308433</v>
      </c>
      <c r="BH164" s="85">
        <f t="shared" ca="1" si="261"/>
        <v>907.6681488712826</v>
      </c>
      <c r="BI164" s="85">
        <f t="shared" ca="1" si="262"/>
        <v>784.94488077631297</v>
      </c>
      <c r="BJ164" s="85">
        <f t="shared" ca="1" si="263"/>
        <v>856.56312323137399</v>
      </c>
      <c r="BK164" s="85">
        <f t="shared" ca="1" si="264"/>
        <v>805.69220856286745</v>
      </c>
      <c r="BL164" s="85">
        <f t="shared" ca="1" si="265"/>
        <v>781.3976212394881</v>
      </c>
      <c r="BM164" s="85">
        <f t="shared" ca="1" si="266"/>
        <v>763.13749129667212</v>
      </c>
      <c r="BN164" s="85">
        <f t="shared" ca="1" si="203"/>
        <v>943.8999761834076</v>
      </c>
      <c r="BO164" s="85">
        <f t="shared" ca="1" si="292"/>
        <v>992.94335842549242</v>
      </c>
      <c r="BP164" s="85">
        <f t="shared" ca="1" si="293"/>
        <v>720.63868418930497</v>
      </c>
      <c r="BQ164" s="85">
        <f t="shared" ca="1" si="294"/>
        <v>845.57356419328414</v>
      </c>
      <c r="BR164" s="85">
        <f t="shared" ca="1" si="295"/>
        <v>740.31648716430641</v>
      </c>
      <c r="BS164" s="85">
        <f t="shared" ca="1" si="296"/>
        <v>867.60602990002792</v>
      </c>
      <c r="BT164" s="85">
        <f t="shared" ca="1" si="297"/>
        <v>925.98545885245665</v>
      </c>
      <c r="BU164" s="85">
        <f t="shared" ca="1" si="298"/>
        <v>852.9935082131924</v>
      </c>
      <c r="BV164" s="85">
        <f t="shared" ca="1" si="299"/>
        <v>798.85143713431478</v>
      </c>
      <c r="BW164" s="85">
        <f t="shared" ca="1" si="300"/>
        <v>894.0295720679818</v>
      </c>
      <c r="BX164" s="85">
        <f t="shared" ca="1" si="301"/>
        <v>862.07506533187336</v>
      </c>
      <c r="BY164" s="85">
        <f t="shared" ca="1" si="267"/>
        <v>790.06209261914034</v>
      </c>
      <c r="BZ164" s="85">
        <f t="shared" ca="1" si="268"/>
        <v>792.31990537002832</v>
      </c>
      <c r="CA164" s="85">
        <f t="shared" ca="1" si="269"/>
        <v>820.16825951235035</v>
      </c>
      <c r="CB164" s="85">
        <f t="shared" ca="1" si="270"/>
        <v>772.50503502781476</v>
      </c>
      <c r="CC164" s="85">
        <f t="shared" ca="1" si="271"/>
        <v>920.82162248494114</v>
      </c>
      <c r="CD164" s="85">
        <f t="shared" ca="1" si="272"/>
        <v>1002.0517234251093</v>
      </c>
      <c r="CE164" s="85">
        <f t="shared" ca="1" si="273"/>
        <v>758.08856669616557</v>
      </c>
      <c r="CF164" s="85">
        <f t="shared" ca="1" si="274"/>
        <v>945.89173984894558</v>
      </c>
      <c r="CG164" s="85">
        <f t="shared" ca="1" si="275"/>
        <v>761.16233074911372</v>
      </c>
      <c r="CH164" s="85">
        <f t="shared" ca="1" si="276"/>
        <v>869.46088755913865</v>
      </c>
      <c r="CI164" s="85">
        <f t="shared" ca="1" si="277"/>
        <v>795.4305709161755</v>
      </c>
      <c r="CJ164" s="85">
        <f t="shared" ca="1" si="278"/>
        <v>741.59240580196376</v>
      </c>
      <c r="CK164" s="85">
        <f t="shared" ca="1" si="279"/>
        <v>815.04628351725114</v>
      </c>
      <c r="CL164" s="85">
        <f t="shared" ca="1" si="280"/>
        <v>781.34313670470078</v>
      </c>
      <c r="CM164" s="85">
        <f t="shared" ca="1" si="281"/>
        <v>911.96254265055109</v>
      </c>
      <c r="CN164" s="85">
        <f t="shared" ca="1" si="282"/>
        <v>722.08770953643238</v>
      </c>
      <c r="CO164" s="85">
        <f t="shared" ca="1" si="283"/>
        <v>780.214560912411</v>
      </c>
      <c r="CP164" s="85">
        <f t="shared" ca="1" si="284"/>
        <v>900.79092962884613</v>
      </c>
      <c r="CQ164" s="85">
        <f t="shared" ca="1" si="285"/>
        <v>813.83652911162551</v>
      </c>
      <c r="CR164" s="85">
        <f t="shared" ca="1" si="286"/>
        <v>874.12097855182208</v>
      </c>
      <c r="CS164" s="85">
        <f t="shared" ca="1" si="287"/>
        <v>736.45559649411825</v>
      </c>
      <c r="CT164" s="85">
        <f t="shared" ca="1" si="288"/>
        <v>760.08831624644733</v>
      </c>
      <c r="CU164" s="85">
        <f t="shared" ca="1" si="289"/>
        <v>1067.1055429579048</v>
      </c>
      <c r="CV164" s="85">
        <f t="shared" ca="1" si="290"/>
        <v>757.60656724632099</v>
      </c>
      <c r="CW164" s="85">
        <f t="shared" ca="1" si="291"/>
        <v>781.32314551052457</v>
      </c>
    </row>
    <row r="165" spans="1:101" x14ac:dyDescent="0.2">
      <c r="A165" s="115">
        <v>162</v>
      </c>
      <c r="B165" s="85">
        <f t="shared" ca="1" si="202"/>
        <v>667.42241877485185</v>
      </c>
      <c r="C165" s="85">
        <f t="shared" ca="1" si="204"/>
        <v>859.48663926268239</v>
      </c>
      <c r="D165" s="85">
        <f t="shared" ca="1" si="205"/>
        <v>826.20123988127659</v>
      </c>
      <c r="E165" s="85">
        <f t="shared" ca="1" si="206"/>
        <v>741.0891545817675</v>
      </c>
      <c r="F165" s="85">
        <f t="shared" ca="1" si="207"/>
        <v>777.43949279662547</v>
      </c>
      <c r="G165" s="85">
        <f t="shared" ca="1" si="208"/>
        <v>848.78654332662961</v>
      </c>
      <c r="H165" s="85">
        <f t="shared" ca="1" si="209"/>
        <v>844.39608254879067</v>
      </c>
      <c r="I165" s="85">
        <f t="shared" ca="1" si="210"/>
        <v>934.46322549739375</v>
      </c>
      <c r="J165" s="85">
        <f t="shared" ca="1" si="211"/>
        <v>795.09244714727913</v>
      </c>
      <c r="K165" s="85">
        <f t="shared" ca="1" si="212"/>
        <v>885.04180959841472</v>
      </c>
      <c r="L165" s="85">
        <f t="shared" ca="1" si="213"/>
        <v>901.05544652491699</v>
      </c>
      <c r="M165" s="85">
        <f t="shared" ca="1" si="214"/>
        <v>663.72836818413941</v>
      </c>
      <c r="N165" s="85">
        <f t="shared" ca="1" si="215"/>
        <v>821.01480538357782</v>
      </c>
      <c r="O165" s="85">
        <f t="shared" ca="1" si="216"/>
        <v>805.35334351473182</v>
      </c>
      <c r="P165" s="85">
        <f t="shared" ca="1" si="217"/>
        <v>879.65064111575543</v>
      </c>
      <c r="Q165" s="85">
        <f t="shared" ca="1" si="218"/>
        <v>877.36886052196473</v>
      </c>
      <c r="R165" s="85">
        <f t="shared" ca="1" si="219"/>
        <v>793.73749564758134</v>
      </c>
      <c r="S165" s="85">
        <f t="shared" ca="1" si="220"/>
        <v>853.9987882796496</v>
      </c>
      <c r="T165" s="85">
        <f t="shared" ca="1" si="221"/>
        <v>824.7932678259009</v>
      </c>
      <c r="U165" s="85">
        <f t="shared" ca="1" si="222"/>
        <v>773.73963284112085</v>
      </c>
      <c r="V165" s="85">
        <f t="shared" ca="1" si="223"/>
        <v>938.52302525793311</v>
      </c>
      <c r="W165" s="85">
        <f t="shared" ca="1" si="224"/>
        <v>847.72227548475792</v>
      </c>
      <c r="X165" s="85">
        <f t="shared" ca="1" si="225"/>
        <v>868.03430022177383</v>
      </c>
      <c r="Y165" s="85">
        <f t="shared" ca="1" si="226"/>
        <v>765.35100812286692</v>
      </c>
      <c r="Z165" s="85">
        <f t="shared" ca="1" si="227"/>
        <v>841.36087454279811</v>
      </c>
      <c r="AA165" s="85">
        <f t="shared" ca="1" si="228"/>
        <v>764.88237321957013</v>
      </c>
      <c r="AB165" s="85">
        <f t="shared" ca="1" si="229"/>
        <v>993.05952742511806</v>
      </c>
      <c r="AC165" s="85">
        <f t="shared" ca="1" si="230"/>
        <v>846.88385654786578</v>
      </c>
      <c r="AD165" s="85">
        <f t="shared" ca="1" si="231"/>
        <v>976.19877882277285</v>
      </c>
      <c r="AE165" s="85">
        <f t="shared" ca="1" si="232"/>
        <v>1117.9474902857139</v>
      </c>
      <c r="AF165" s="85">
        <f t="shared" ca="1" si="233"/>
        <v>767.75100563222702</v>
      </c>
      <c r="AG165" s="85">
        <f t="shared" ca="1" si="234"/>
        <v>890.27407640137392</v>
      </c>
      <c r="AH165" s="85">
        <f t="shared" ca="1" si="235"/>
        <v>759.52046577078193</v>
      </c>
      <c r="AI165" s="85">
        <f t="shared" ca="1" si="236"/>
        <v>917.77966807715961</v>
      </c>
      <c r="AJ165" s="85">
        <f t="shared" ca="1" si="237"/>
        <v>950.05879486619619</v>
      </c>
      <c r="AK165" s="85">
        <f t="shared" ca="1" si="238"/>
        <v>846.62688416552726</v>
      </c>
      <c r="AL165" s="85">
        <f t="shared" ca="1" si="239"/>
        <v>868.13430037988405</v>
      </c>
      <c r="AM165" s="85">
        <f t="shared" ca="1" si="240"/>
        <v>756.07964353418834</v>
      </c>
      <c r="AN165" s="85">
        <f t="shared" ca="1" si="241"/>
        <v>899.52417649799793</v>
      </c>
      <c r="AO165" s="85">
        <f t="shared" ca="1" si="242"/>
        <v>1049.2082347851256</v>
      </c>
      <c r="AP165" s="85">
        <f t="shared" ca="1" si="243"/>
        <v>934.6773142717592</v>
      </c>
      <c r="AQ165" s="85">
        <f t="shared" ca="1" si="244"/>
        <v>781.34323368237006</v>
      </c>
      <c r="AR165" s="85">
        <f t="shared" ca="1" si="245"/>
        <v>878.73189514826117</v>
      </c>
      <c r="AS165" s="85">
        <f t="shared" ca="1" si="246"/>
        <v>750.49787255613921</v>
      </c>
      <c r="AT165" s="85">
        <f t="shared" ca="1" si="247"/>
        <v>823.14892357776125</v>
      </c>
      <c r="AU165" s="85">
        <f t="shared" ca="1" si="248"/>
        <v>913.13545030778937</v>
      </c>
      <c r="AV165" s="85">
        <f t="shared" ca="1" si="249"/>
        <v>896.58062563823898</v>
      </c>
      <c r="AW165" s="85">
        <f t="shared" ca="1" si="250"/>
        <v>874.57370885865771</v>
      </c>
      <c r="AX165" s="85">
        <f t="shared" ca="1" si="251"/>
        <v>966.81792975180929</v>
      </c>
      <c r="AY165" s="85">
        <f t="shared" ca="1" si="252"/>
        <v>946.18343410901105</v>
      </c>
      <c r="AZ165" s="85">
        <f t="shared" ca="1" si="253"/>
        <v>881.13376089067322</v>
      </c>
      <c r="BA165" s="85">
        <f t="shared" ca="1" si="254"/>
        <v>930.60800713198182</v>
      </c>
      <c r="BB165" s="85">
        <f t="shared" ca="1" si="255"/>
        <v>799.38903837367354</v>
      </c>
      <c r="BC165" s="85">
        <f t="shared" ca="1" si="256"/>
        <v>901.05836034812046</v>
      </c>
      <c r="BD165" s="85">
        <f t="shared" ca="1" si="257"/>
        <v>881.13204340341326</v>
      </c>
      <c r="BE165" s="85">
        <f t="shared" ca="1" si="258"/>
        <v>783.6321346194045</v>
      </c>
      <c r="BF165" s="85">
        <f t="shared" ca="1" si="259"/>
        <v>808.70355535695876</v>
      </c>
      <c r="BG165" s="85">
        <f t="shared" ca="1" si="260"/>
        <v>755.68497261630796</v>
      </c>
      <c r="BH165" s="85">
        <f t="shared" ca="1" si="261"/>
        <v>910.51303859820825</v>
      </c>
      <c r="BI165" s="85">
        <f t="shared" ca="1" si="262"/>
        <v>798.59589807318264</v>
      </c>
      <c r="BJ165" s="85">
        <f t="shared" ca="1" si="263"/>
        <v>872.76167402818726</v>
      </c>
      <c r="BK165" s="85">
        <f t="shared" ca="1" si="264"/>
        <v>821.2187605617064</v>
      </c>
      <c r="BL165" s="85">
        <f t="shared" ca="1" si="265"/>
        <v>789.91186061230826</v>
      </c>
      <c r="BM165" s="85">
        <f t="shared" ca="1" si="266"/>
        <v>777.67263849683525</v>
      </c>
      <c r="BN165" s="85">
        <f t="shared" ca="1" si="203"/>
        <v>956.19872521986997</v>
      </c>
      <c r="BO165" s="85">
        <f t="shared" ca="1" si="292"/>
        <v>995.35863207585965</v>
      </c>
      <c r="BP165" s="85">
        <f t="shared" ca="1" si="293"/>
        <v>731.75653474701096</v>
      </c>
      <c r="BQ165" s="85">
        <f t="shared" ca="1" si="294"/>
        <v>855.30240615448884</v>
      </c>
      <c r="BR165" s="85">
        <f t="shared" ca="1" si="295"/>
        <v>745.89913118651998</v>
      </c>
      <c r="BS165" s="85">
        <f t="shared" ca="1" si="296"/>
        <v>869.91027454573407</v>
      </c>
      <c r="BT165" s="85">
        <f t="shared" ca="1" si="297"/>
        <v>944.01839946907103</v>
      </c>
      <c r="BU165" s="85">
        <f t="shared" ca="1" si="298"/>
        <v>862.73708336595882</v>
      </c>
      <c r="BV165" s="85">
        <f t="shared" ca="1" si="299"/>
        <v>805.13940123100576</v>
      </c>
      <c r="BW165" s="85">
        <f t="shared" ca="1" si="300"/>
        <v>909.88603562755736</v>
      </c>
      <c r="BX165" s="85">
        <f t="shared" ca="1" si="301"/>
        <v>878.57312692981714</v>
      </c>
      <c r="BY165" s="85">
        <f t="shared" ca="1" si="267"/>
        <v>807.92279735770865</v>
      </c>
      <c r="BZ165" s="85">
        <f t="shared" ca="1" si="268"/>
        <v>805.1955785358565</v>
      </c>
      <c r="CA165" s="85">
        <f t="shared" ca="1" si="269"/>
        <v>833.85724082325135</v>
      </c>
      <c r="CB165" s="85">
        <f t="shared" ca="1" si="270"/>
        <v>790.74123210747246</v>
      </c>
      <c r="CC165" s="85">
        <f t="shared" ca="1" si="271"/>
        <v>934.4634021662265</v>
      </c>
      <c r="CD165" s="85">
        <f t="shared" ca="1" si="272"/>
        <v>1018.6450574811947</v>
      </c>
      <c r="CE165" s="85">
        <f t="shared" ca="1" si="273"/>
        <v>773.58826593955303</v>
      </c>
      <c r="CF165" s="85">
        <f t="shared" ca="1" si="274"/>
        <v>956.78199144125028</v>
      </c>
      <c r="CG165" s="85">
        <f t="shared" ca="1" si="275"/>
        <v>769.8904268911898</v>
      </c>
      <c r="CH165" s="85">
        <f t="shared" ca="1" si="276"/>
        <v>883.66742675652904</v>
      </c>
      <c r="CI165" s="85">
        <f t="shared" ca="1" si="277"/>
        <v>802.19120994368609</v>
      </c>
      <c r="CJ165" s="85">
        <f t="shared" ca="1" si="278"/>
        <v>744.42400900908251</v>
      </c>
      <c r="CK165" s="85">
        <f t="shared" ca="1" si="279"/>
        <v>823.49565823758326</v>
      </c>
      <c r="CL165" s="85">
        <f t="shared" ca="1" si="280"/>
        <v>796.79002139367128</v>
      </c>
      <c r="CM165" s="85">
        <f t="shared" ca="1" si="281"/>
        <v>915.48743189202844</v>
      </c>
      <c r="CN165" s="85">
        <f t="shared" ca="1" si="282"/>
        <v>722.53083780459474</v>
      </c>
      <c r="CO165" s="85">
        <f t="shared" ca="1" si="283"/>
        <v>790.54522625761388</v>
      </c>
      <c r="CP165" s="85">
        <f t="shared" ca="1" si="284"/>
        <v>908.81546958195224</v>
      </c>
      <c r="CQ165" s="85">
        <f t="shared" ca="1" si="285"/>
        <v>826.31982907042777</v>
      </c>
      <c r="CR165" s="85">
        <f t="shared" ca="1" si="286"/>
        <v>887.80926712825294</v>
      </c>
      <c r="CS165" s="85">
        <f t="shared" ca="1" si="287"/>
        <v>751.95724375062048</v>
      </c>
      <c r="CT165" s="85">
        <f t="shared" ca="1" si="288"/>
        <v>762.30421678857658</v>
      </c>
      <c r="CU165" s="85">
        <f t="shared" ca="1" si="289"/>
        <v>1079.301597379568</v>
      </c>
      <c r="CV165" s="85">
        <f t="shared" ca="1" si="290"/>
        <v>780.20414859622144</v>
      </c>
      <c r="CW165" s="85">
        <f t="shared" ca="1" si="291"/>
        <v>792.16482490783358</v>
      </c>
    </row>
    <row r="166" spans="1:101" x14ac:dyDescent="0.2">
      <c r="A166" s="115">
        <v>163</v>
      </c>
      <c r="B166" s="85">
        <f t="shared" ca="1" si="202"/>
        <v>670.23933687024794</v>
      </c>
      <c r="C166" s="85">
        <f t="shared" ca="1" si="204"/>
        <v>879.75449257946843</v>
      </c>
      <c r="D166" s="85">
        <f t="shared" ca="1" si="205"/>
        <v>839.24865857600378</v>
      </c>
      <c r="E166" s="85">
        <f t="shared" ca="1" si="206"/>
        <v>747.65652070505075</v>
      </c>
      <c r="F166" s="85">
        <f t="shared" ca="1" si="207"/>
        <v>786.43011537300731</v>
      </c>
      <c r="G166" s="85">
        <f t="shared" ca="1" si="208"/>
        <v>855.72161123122032</v>
      </c>
      <c r="H166" s="85">
        <f t="shared" ca="1" si="209"/>
        <v>855.05445022567812</v>
      </c>
      <c r="I166" s="85">
        <f t="shared" ca="1" si="210"/>
        <v>942.80871254459601</v>
      </c>
      <c r="J166" s="85">
        <f t="shared" ca="1" si="211"/>
        <v>810.21845069494702</v>
      </c>
      <c r="K166" s="85">
        <f t="shared" ca="1" si="212"/>
        <v>900.96123074006618</v>
      </c>
      <c r="L166" s="85">
        <f t="shared" ca="1" si="213"/>
        <v>910.42468492216938</v>
      </c>
      <c r="M166" s="85">
        <f t="shared" ca="1" si="214"/>
        <v>674.89397096037828</v>
      </c>
      <c r="N166" s="85">
        <f t="shared" ca="1" si="215"/>
        <v>825.6855407454633</v>
      </c>
      <c r="O166" s="85">
        <f t="shared" ca="1" si="216"/>
        <v>814.80401746929033</v>
      </c>
      <c r="P166" s="85">
        <f t="shared" ca="1" si="217"/>
        <v>877.99198848877222</v>
      </c>
      <c r="Q166" s="85">
        <f t="shared" ca="1" si="218"/>
        <v>894.30919111194203</v>
      </c>
      <c r="R166" s="85">
        <f t="shared" ca="1" si="219"/>
        <v>791.60693363178109</v>
      </c>
      <c r="S166" s="85">
        <f t="shared" ca="1" si="220"/>
        <v>879.46091553520614</v>
      </c>
      <c r="T166" s="85">
        <f t="shared" ca="1" si="221"/>
        <v>836.08095738880002</v>
      </c>
      <c r="U166" s="85">
        <f t="shared" ca="1" si="222"/>
        <v>789.23461651811465</v>
      </c>
      <c r="V166" s="85">
        <f t="shared" ca="1" si="223"/>
        <v>956.69794914763895</v>
      </c>
      <c r="W166" s="85">
        <f t="shared" ca="1" si="224"/>
        <v>857.87596249300123</v>
      </c>
      <c r="X166" s="85">
        <f t="shared" ca="1" si="225"/>
        <v>876.14579279392865</v>
      </c>
      <c r="Y166" s="85">
        <f t="shared" ca="1" si="226"/>
        <v>783.3018460588321</v>
      </c>
      <c r="Z166" s="85">
        <f t="shared" ca="1" si="227"/>
        <v>865.8979232672657</v>
      </c>
      <c r="AA166" s="85">
        <f t="shared" ca="1" si="228"/>
        <v>788.62424687429041</v>
      </c>
      <c r="AB166" s="85">
        <f t="shared" ca="1" si="229"/>
        <v>1016.6941558159793</v>
      </c>
      <c r="AC166" s="85">
        <f t="shared" ca="1" si="230"/>
        <v>856.94583786376631</v>
      </c>
      <c r="AD166" s="85">
        <f t="shared" ca="1" si="231"/>
        <v>991.86998482889464</v>
      </c>
      <c r="AE166" s="85">
        <f t="shared" ca="1" si="232"/>
        <v>1124.2292083710092</v>
      </c>
      <c r="AF166" s="85">
        <f t="shared" ca="1" si="233"/>
        <v>774.56753809801887</v>
      </c>
      <c r="AG166" s="85">
        <f t="shared" ca="1" si="234"/>
        <v>902.96927615807522</v>
      </c>
      <c r="AH166" s="85">
        <f t="shared" ca="1" si="235"/>
        <v>769.14186139477511</v>
      </c>
      <c r="AI166" s="85">
        <f t="shared" ca="1" si="236"/>
        <v>922.32591436867824</v>
      </c>
      <c r="AJ166" s="85">
        <f t="shared" ca="1" si="237"/>
        <v>974.03786150388419</v>
      </c>
      <c r="AK166" s="85">
        <f t="shared" ca="1" si="238"/>
        <v>854.61426555546575</v>
      </c>
      <c r="AL166" s="85">
        <f t="shared" ca="1" si="239"/>
        <v>876.67116772062616</v>
      </c>
      <c r="AM166" s="85">
        <f t="shared" ca="1" si="240"/>
        <v>763.21166860847086</v>
      </c>
      <c r="AN166" s="85">
        <f t="shared" ca="1" si="241"/>
        <v>904.74984374378164</v>
      </c>
      <c r="AO166" s="85">
        <f t="shared" ca="1" si="242"/>
        <v>1052.4312334701347</v>
      </c>
      <c r="AP166" s="85">
        <f t="shared" ca="1" si="243"/>
        <v>940.06830246993218</v>
      </c>
      <c r="AQ166" s="85">
        <f t="shared" ca="1" si="244"/>
        <v>788.43324782871014</v>
      </c>
      <c r="AR166" s="85">
        <f t="shared" ca="1" si="245"/>
        <v>888.98352296105929</v>
      </c>
      <c r="AS166" s="85">
        <f t="shared" ca="1" si="246"/>
        <v>763.54005040644415</v>
      </c>
      <c r="AT166" s="85">
        <f t="shared" ca="1" si="247"/>
        <v>848.12867651999386</v>
      </c>
      <c r="AU166" s="85">
        <f t="shared" ca="1" si="248"/>
        <v>922.61939817589757</v>
      </c>
      <c r="AV166" s="85">
        <f t="shared" ca="1" si="249"/>
        <v>904.27953577657104</v>
      </c>
      <c r="AW166" s="85">
        <f t="shared" ca="1" si="250"/>
        <v>880.69195596013651</v>
      </c>
      <c r="AX166" s="85">
        <f t="shared" ca="1" si="251"/>
        <v>975.42206597053996</v>
      </c>
      <c r="AY166" s="85">
        <f t="shared" ca="1" si="252"/>
        <v>957.94990052536662</v>
      </c>
      <c r="AZ166" s="85">
        <f t="shared" ca="1" si="253"/>
        <v>896.13232511464128</v>
      </c>
      <c r="BA166" s="85">
        <f t="shared" ca="1" si="254"/>
        <v>940.45122183398962</v>
      </c>
      <c r="BB166" s="85">
        <f t="shared" ca="1" si="255"/>
        <v>803.42485229401507</v>
      </c>
      <c r="BC166" s="85">
        <f t="shared" ca="1" si="256"/>
        <v>905.22571115715652</v>
      </c>
      <c r="BD166" s="85">
        <f t="shared" ca="1" si="257"/>
        <v>891.84382243449943</v>
      </c>
      <c r="BE166" s="85">
        <f t="shared" ca="1" si="258"/>
        <v>792.54677231733547</v>
      </c>
      <c r="BF166" s="85">
        <f t="shared" ca="1" si="259"/>
        <v>828.50755580494217</v>
      </c>
      <c r="BG166" s="85">
        <f t="shared" ca="1" si="260"/>
        <v>760.76297711911025</v>
      </c>
      <c r="BH166" s="85">
        <f t="shared" ca="1" si="261"/>
        <v>930.50853332629276</v>
      </c>
      <c r="BI166" s="85">
        <f t="shared" ca="1" si="262"/>
        <v>805.7061034392317</v>
      </c>
      <c r="BJ166" s="85">
        <f t="shared" ca="1" si="263"/>
        <v>877.96630752832448</v>
      </c>
      <c r="BK166" s="85">
        <f t="shared" ca="1" si="264"/>
        <v>823.28926470501028</v>
      </c>
      <c r="BL166" s="85">
        <f t="shared" ca="1" si="265"/>
        <v>796.67834682147975</v>
      </c>
      <c r="BM166" s="85">
        <f t="shared" ca="1" si="266"/>
        <v>791.4473296809424</v>
      </c>
      <c r="BN166" s="85">
        <f t="shared" ca="1" si="203"/>
        <v>959.20544198659127</v>
      </c>
      <c r="BO166" s="85">
        <f t="shared" ca="1" si="292"/>
        <v>1016.9144318551255</v>
      </c>
      <c r="BP166" s="85">
        <f t="shared" ca="1" si="293"/>
        <v>742.65136592733643</v>
      </c>
      <c r="BQ166" s="85">
        <f t="shared" ca="1" si="294"/>
        <v>870.00134216010667</v>
      </c>
      <c r="BR166" s="85">
        <f t="shared" ca="1" si="295"/>
        <v>756.68453986361953</v>
      </c>
      <c r="BS166" s="85">
        <f t="shared" ca="1" si="296"/>
        <v>887.02199998466642</v>
      </c>
      <c r="BT166" s="85">
        <f t="shared" ca="1" si="297"/>
        <v>954.50945782734595</v>
      </c>
      <c r="BU166" s="85">
        <f t="shared" ca="1" si="298"/>
        <v>886.14243877868239</v>
      </c>
      <c r="BV166" s="85">
        <f t="shared" ca="1" si="299"/>
        <v>817.81058954228581</v>
      </c>
      <c r="BW166" s="85">
        <f t="shared" ca="1" si="300"/>
        <v>916.37073383000734</v>
      </c>
      <c r="BX166" s="85">
        <f t="shared" ca="1" si="301"/>
        <v>882.47457713392691</v>
      </c>
      <c r="BY166" s="85">
        <f t="shared" ca="1" si="267"/>
        <v>818.02937207259197</v>
      </c>
      <c r="BZ166" s="85">
        <f t="shared" ca="1" si="268"/>
        <v>810.1238359673506</v>
      </c>
      <c r="CA166" s="85">
        <f t="shared" ca="1" si="269"/>
        <v>845.9575701320731</v>
      </c>
      <c r="CB166" s="85">
        <f t="shared" ca="1" si="270"/>
        <v>809.80850448027422</v>
      </c>
      <c r="CC166" s="85">
        <f t="shared" ca="1" si="271"/>
        <v>943.50833311900897</v>
      </c>
      <c r="CD166" s="85">
        <f t="shared" ca="1" si="272"/>
        <v>1034.6022274872532</v>
      </c>
      <c r="CE166" s="85">
        <f t="shared" ca="1" si="273"/>
        <v>796.73629939330544</v>
      </c>
      <c r="CF166" s="85">
        <f t="shared" ca="1" si="274"/>
        <v>966.94807542669798</v>
      </c>
      <c r="CG166" s="85">
        <f t="shared" ca="1" si="275"/>
        <v>788.94430265194944</v>
      </c>
      <c r="CH166" s="85">
        <f t="shared" ca="1" si="276"/>
        <v>889.59410692352537</v>
      </c>
      <c r="CI166" s="85">
        <f t="shared" ca="1" si="277"/>
        <v>812.69774157458789</v>
      </c>
      <c r="CJ166" s="85">
        <f t="shared" ca="1" si="278"/>
        <v>758.01405589744695</v>
      </c>
      <c r="CK166" s="85">
        <f t="shared" ca="1" si="279"/>
        <v>835.85714319130216</v>
      </c>
      <c r="CL166" s="85">
        <f t="shared" ca="1" si="280"/>
        <v>810.2351135443331</v>
      </c>
      <c r="CM166" s="85">
        <f t="shared" ca="1" si="281"/>
        <v>923.06896245653195</v>
      </c>
      <c r="CN166" s="85">
        <f t="shared" ca="1" si="282"/>
        <v>724.25942574497105</v>
      </c>
      <c r="CO166" s="85">
        <f t="shared" ca="1" si="283"/>
        <v>795.62126438921996</v>
      </c>
      <c r="CP166" s="85">
        <f t="shared" ca="1" si="284"/>
        <v>921.82698675865697</v>
      </c>
      <c r="CQ166" s="85">
        <f t="shared" ca="1" si="285"/>
        <v>831.74782568843455</v>
      </c>
      <c r="CR166" s="85">
        <f t="shared" ca="1" si="286"/>
        <v>905.00480293148632</v>
      </c>
      <c r="CS166" s="85">
        <f t="shared" ca="1" si="287"/>
        <v>759.77251748996878</v>
      </c>
      <c r="CT166" s="85">
        <f t="shared" ca="1" si="288"/>
        <v>764.68444544726049</v>
      </c>
      <c r="CU166" s="85">
        <f t="shared" ca="1" si="289"/>
        <v>1095.2166122808217</v>
      </c>
      <c r="CV166" s="85">
        <f t="shared" ca="1" si="290"/>
        <v>788.1903652146317</v>
      </c>
      <c r="CW166" s="85">
        <f t="shared" ca="1" si="291"/>
        <v>812.60387528980289</v>
      </c>
    </row>
    <row r="167" spans="1:101" x14ac:dyDescent="0.2">
      <c r="A167" s="115">
        <v>164</v>
      </c>
      <c r="B167" s="85">
        <f t="shared" ca="1" si="202"/>
        <v>686.7760901982565</v>
      </c>
      <c r="C167" s="85">
        <f t="shared" ca="1" si="204"/>
        <v>878.84182751455285</v>
      </c>
      <c r="D167" s="85">
        <f t="shared" ca="1" si="205"/>
        <v>854.10078171405792</v>
      </c>
      <c r="E167" s="85">
        <f t="shared" ca="1" si="206"/>
        <v>754.8834117685692</v>
      </c>
      <c r="F167" s="85">
        <f t="shared" ca="1" si="207"/>
        <v>794.36184738398629</v>
      </c>
      <c r="G167" s="85">
        <f t="shared" ca="1" si="208"/>
        <v>868.77224261248011</v>
      </c>
      <c r="H167" s="85">
        <f t="shared" ca="1" si="209"/>
        <v>872.62464058109947</v>
      </c>
      <c r="I167" s="85">
        <f t="shared" ca="1" si="210"/>
        <v>957.97087031844467</v>
      </c>
      <c r="J167" s="85">
        <f t="shared" ca="1" si="211"/>
        <v>822.44464529479046</v>
      </c>
      <c r="K167" s="85">
        <f t="shared" ca="1" si="212"/>
        <v>908.31906994226244</v>
      </c>
      <c r="L167" s="85">
        <f t="shared" ca="1" si="213"/>
        <v>923.5459835133538</v>
      </c>
      <c r="M167" s="85">
        <f t="shared" ca="1" si="214"/>
        <v>680.52102320936808</v>
      </c>
      <c r="N167" s="85">
        <f t="shared" ca="1" si="215"/>
        <v>834.92085429341967</v>
      </c>
      <c r="O167" s="85">
        <f t="shared" ca="1" si="216"/>
        <v>836.39751801846091</v>
      </c>
      <c r="P167" s="85">
        <f t="shared" ca="1" si="217"/>
        <v>887.75729470761303</v>
      </c>
      <c r="Q167" s="85">
        <f t="shared" ca="1" si="218"/>
        <v>901.65272514254923</v>
      </c>
      <c r="R167" s="85">
        <f t="shared" ca="1" si="219"/>
        <v>799.40123134599651</v>
      </c>
      <c r="S167" s="85">
        <f t="shared" ca="1" si="220"/>
        <v>889.8077226528294</v>
      </c>
      <c r="T167" s="85">
        <f t="shared" ca="1" si="221"/>
        <v>845.93559448176677</v>
      </c>
      <c r="U167" s="85">
        <f t="shared" ca="1" si="222"/>
        <v>804.54843229499545</v>
      </c>
      <c r="V167" s="85">
        <f t="shared" ca="1" si="223"/>
        <v>967.3519074548949</v>
      </c>
      <c r="W167" s="85">
        <f t="shared" ca="1" si="224"/>
        <v>872.33919614418676</v>
      </c>
      <c r="X167" s="85">
        <f t="shared" ca="1" si="225"/>
        <v>892.15916275561631</v>
      </c>
      <c r="Y167" s="85">
        <f t="shared" ca="1" si="226"/>
        <v>794.01244581818867</v>
      </c>
      <c r="Z167" s="85">
        <f t="shared" ca="1" si="227"/>
        <v>884.86513240843465</v>
      </c>
      <c r="AA167" s="85">
        <f t="shared" ca="1" si="228"/>
        <v>795.05255381699374</v>
      </c>
      <c r="AB167" s="85">
        <f t="shared" ca="1" si="229"/>
        <v>1044.9898290869194</v>
      </c>
      <c r="AC167" s="85">
        <f t="shared" ca="1" si="230"/>
        <v>874.44438978185292</v>
      </c>
      <c r="AD167" s="85">
        <f t="shared" ca="1" si="231"/>
        <v>1012.4654085357936</v>
      </c>
      <c r="AE167" s="85">
        <f t="shared" ca="1" si="232"/>
        <v>1137.516160253537</v>
      </c>
      <c r="AF167" s="85">
        <f t="shared" ca="1" si="233"/>
        <v>791.24284080167263</v>
      </c>
      <c r="AG167" s="85">
        <f t="shared" ca="1" si="234"/>
        <v>917.11136171732244</v>
      </c>
      <c r="AH167" s="85">
        <f t="shared" ca="1" si="235"/>
        <v>778.54857814543266</v>
      </c>
      <c r="AI167" s="85">
        <f t="shared" ca="1" si="236"/>
        <v>933.52147613974705</v>
      </c>
      <c r="AJ167" s="85">
        <f t="shared" ca="1" si="237"/>
        <v>995.54658281237096</v>
      </c>
      <c r="AK167" s="85">
        <f t="shared" ca="1" si="238"/>
        <v>863.32143812763945</v>
      </c>
      <c r="AL167" s="85">
        <f t="shared" ca="1" si="239"/>
        <v>890.50771126169718</v>
      </c>
      <c r="AM167" s="85">
        <f t="shared" ca="1" si="240"/>
        <v>776.07608672838626</v>
      </c>
      <c r="AN167" s="85">
        <f t="shared" ca="1" si="241"/>
        <v>917.59132491567721</v>
      </c>
      <c r="AO167" s="85">
        <f t="shared" ca="1" si="242"/>
        <v>1069.9415934885901</v>
      </c>
      <c r="AP167" s="85">
        <f t="shared" ca="1" si="243"/>
        <v>945.646202719916</v>
      </c>
      <c r="AQ167" s="85">
        <f t="shared" ca="1" si="244"/>
        <v>801.01693298690293</v>
      </c>
      <c r="AR167" s="85">
        <f t="shared" ca="1" si="245"/>
        <v>889.69927598299716</v>
      </c>
      <c r="AS167" s="85">
        <f t="shared" ca="1" si="246"/>
        <v>770.5936399865526</v>
      </c>
      <c r="AT167" s="85">
        <f t="shared" ca="1" si="247"/>
        <v>868.05150733118205</v>
      </c>
      <c r="AU167" s="85">
        <f t="shared" ca="1" si="248"/>
        <v>939.37432823955419</v>
      </c>
      <c r="AV167" s="85">
        <f t="shared" ca="1" si="249"/>
        <v>919.22561341307005</v>
      </c>
      <c r="AW167" s="85">
        <f t="shared" ca="1" si="250"/>
        <v>895.93490151827302</v>
      </c>
      <c r="AX167" s="85">
        <f t="shared" ca="1" si="251"/>
        <v>995.02712980791307</v>
      </c>
      <c r="AY167" s="85">
        <f t="shared" ca="1" si="252"/>
        <v>973.25500512542487</v>
      </c>
      <c r="AZ167" s="85">
        <f t="shared" ca="1" si="253"/>
        <v>923.90293083671702</v>
      </c>
      <c r="BA167" s="85">
        <f t="shared" ca="1" si="254"/>
        <v>947.1855228797175</v>
      </c>
      <c r="BB167" s="85">
        <f t="shared" ca="1" si="255"/>
        <v>817.56520209534676</v>
      </c>
      <c r="BC167" s="85">
        <f t="shared" ca="1" si="256"/>
        <v>920.11927881134113</v>
      </c>
      <c r="BD167" s="85">
        <f t="shared" ca="1" si="257"/>
        <v>900.30969747750714</v>
      </c>
      <c r="BE167" s="85">
        <f t="shared" ca="1" si="258"/>
        <v>804.03311279075672</v>
      </c>
      <c r="BF167" s="85">
        <f t="shared" ca="1" si="259"/>
        <v>830.05514555505476</v>
      </c>
      <c r="BG167" s="85">
        <f t="shared" ca="1" si="260"/>
        <v>769.88264112694151</v>
      </c>
      <c r="BH167" s="85">
        <f t="shared" ca="1" si="261"/>
        <v>951.44858926555457</v>
      </c>
      <c r="BI167" s="85">
        <f t="shared" ca="1" si="262"/>
        <v>809.56332308817025</v>
      </c>
      <c r="BJ167" s="85">
        <f t="shared" ca="1" si="263"/>
        <v>891.01573344122949</v>
      </c>
      <c r="BK167" s="85">
        <f t="shared" ca="1" si="264"/>
        <v>834.87930592929206</v>
      </c>
      <c r="BL167" s="85">
        <f t="shared" ca="1" si="265"/>
        <v>805.08219223689923</v>
      </c>
      <c r="BM167" s="85">
        <f t="shared" ca="1" si="266"/>
        <v>806.85019124268842</v>
      </c>
      <c r="BN167" s="85">
        <f t="shared" ca="1" si="203"/>
        <v>971.75481352601298</v>
      </c>
      <c r="BO167" s="85">
        <f t="shared" ca="1" si="292"/>
        <v>1028.2599287617707</v>
      </c>
      <c r="BP167" s="85">
        <f t="shared" ca="1" si="293"/>
        <v>749.5611911878525</v>
      </c>
      <c r="BQ167" s="85">
        <f t="shared" ca="1" si="294"/>
        <v>878.96250470561722</v>
      </c>
      <c r="BR167" s="85">
        <f t="shared" ca="1" si="295"/>
        <v>768.99549512832778</v>
      </c>
      <c r="BS167" s="85">
        <f t="shared" ca="1" si="296"/>
        <v>897.21815763016116</v>
      </c>
      <c r="BT167" s="85">
        <f t="shared" ca="1" si="297"/>
        <v>972.67929035701434</v>
      </c>
      <c r="BU167" s="85">
        <f t="shared" ca="1" si="298"/>
        <v>891.66076332077762</v>
      </c>
      <c r="BV167" s="85">
        <f t="shared" ca="1" si="299"/>
        <v>823.27534753065959</v>
      </c>
      <c r="BW167" s="85">
        <f t="shared" ca="1" si="300"/>
        <v>912.1616660148178</v>
      </c>
      <c r="BX167" s="85">
        <f t="shared" ca="1" si="301"/>
        <v>889.03852415933829</v>
      </c>
      <c r="BY167" s="85">
        <f t="shared" ca="1" si="267"/>
        <v>829.98385294215984</v>
      </c>
      <c r="BZ167" s="85">
        <f t="shared" ca="1" si="268"/>
        <v>820.06055800941249</v>
      </c>
      <c r="CA167" s="85">
        <f t="shared" ca="1" si="269"/>
        <v>857.33913308332922</v>
      </c>
      <c r="CB167" s="85">
        <f t="shared" ca="1" si="270"/>
        <v>824.32554499638059</v>
      </c>
      <c r="CC167" s="85">
        <f t="shared" ca="1" si="271"/>
        <v>952.87352608313427</v>
      </c>
      <c r="CD167" s="85">
        <f t="shared" ca="1" si="272"/>
        <v>1036.2343814117644</v>
      </c>
      <c r="CE167" s="85">
        <f t="shared" ca="1" si="273"/>
        <v>802.38789050191986</v>
      </c>
      <c r="CF167" s="85">
        <f t="shared" ca="1" si="274"/>
        <v>997.47140365835469</v>
      </c>
      <c r="CG167" s="85">
        <f t="shared" ca="1" si="275"/>
        <v>804.12981373668629</v>
      </c>
      <c r="CH167" s="85">
        <f t="shared" ca="1" si="276"/>
        <v>892.74709269468383</v>
      </c>
      <c r="CI167" s="85">
        <f t="shared" ca="1" si="277"/>
        <v>821.63114289273142</v>
      </c>
      <c r="CJ167" s="85">
        <f t="shared" ca="1" si="278"/>
        <v>770.94217216265224</v>
      </c>
      <c r="CK167" s="85">
        <f t="shared" ca="1" si="279"/>
        <v>845.06336856627797</v>
      </c>
      <c r="CL167" s="85">
        <f t="shared" ca="1" si="280"/>
        <v>834.9828058558104</v>
      </c>
      <c r="CM167" s="85">
        <f t="shared" ca="1" si="281"/>
        <v>937.65539735189986</v>
      </c>
      <c r="CN167" s="85">
        <f t="shared" ca="1" si="282"/>
        <v>734.29576129140753</v>
      </c>
      <c r="CO167" s="85">
        <f t="shared" ca="1" si="283"/>
        <v>803.68366648360677</v>
      </c>
      <c r="CP167" s="85">
        <f t="shared" ca="1" si="284"/>
        <v>929.02678404442486</v>
      </c>
      <c r="CQ167" s="85">
        <f t="shared" ca="1" si="285"/>
        <v>845.14355254915904</v>
      </c>
      <c r="CR167" s="85">
        <f t="shared" ca="1" si="286"/>
        <v>918.73207990740286</v>
      </c>
      <c r="CS167" s="85">
        <f t="shared" ca="1" si="287"/>
        <v>774.36699948840089</v>
      </c>
      <c r="CT167" s="85">
        <f t="shared" ca="1" si="288"/>
        <v>772.87181004336287</v>
      </c>
      <c r="CU167" s="85">
        <f t="shared" ca="1" si="289"/>
        <v>1125.4896546792888</v>
      </c>
      <c r="CV167" s="85">
        <f t="shared" ca="1" si="290"/>
        <v>808.70177059329217</v>
      </c>
      <c r="CW167" s="85">
        <f t="shared" ca="1" si="291"/>
        <v>815.27122123144898</v>
      </c>
    </row>
    <row r="168" spans="1:101" x14ac:dyDescent="0.2">
      <c r="A168" s="115">
        <v>165</v>
      </c>
      <c r="B168" s="85">
        <f t="shared" ca="1" si="202"/>
        <v>690.73030837048293</v>
      </c>
      <c r="C168" s="85">
        <f t="shared" ca="1" si="204"/>
        <v>893.56043503424303</v>
      </c>
      <c r="D168" s="85">
        <f t="shared" ca="1" si="205"/>
        <v>867.81300196215534</v>
      </c>
      <c r="E168" s="85">
        <f t="shared" ca="1" si="206"/>
        <v>758.8349154301311</v>
      </c>
      <c r="F168" s="85">
        <f t="shared" ca="1" si="207"/>
        <v>799.85034317486941</v>
      </c>
      <c r="G168" s="85">
        <f t="shared" ca="1" si="208"/>
        <v>882.05960608104442</v>
      </c>
      <c r="H168" s="85">
        <f t="shared" ca="1" si="209"/>
        <v>883.89302041167025</v>
      </c>
      <c r="I168" s="85">
        <f t="shared" ca="1" si="210"/>
        <v>962.89005756361439</v>
      </c>
      <c r="J168" s="85">
        <f t="shared" ca="1" si="211"/>
        <v>833.45277792434388</v>
      </c>
      <c r="K168" s="85">
        <f t="shared" ca="1" si="212"/>
        <v>919.34397054431918</v>
      </c>
      <c r="L168" s="85">
        <f t="shared" ca="1" si="213"/>
        <v>935.12706774816422</v>
      </c>
      <c r="M168" s="85">
        <f t="shared" ca="1" si="214"/>
        <v>682.37537747538136</v>
      </c>
      <c r="N168" s="85">
        <f t="shared" ca="1" si="215"/>
        <v>838.9724941416938</v>
      </c>
      <c r="O168" s="85">
        <f t="shared" ca="1" si="216"/>
        <v>844.14433647590761</v>
      </c>
      <c r="P168" s="85">
        <f t="shared" ca="1" si="217"/>
        <v>905.15798101048858</v>
      </c>
      <c r="Q168" s="85">
        <f t="shared" ca="1" si="218"/>
        <v>906.99311665452603</v>
      </c>
      <c r="R168" s="85">
        <f t="shared" ca="1" si="219"/>
        <v>809.63176962333318</v>
      </c>
      <c r="S168" s="85">
        <f t="shared" ca="1" si="220"/>
        <v>903.08366489004243</v>
      </c>
      <c r="T168" s="85">
        <f t="shared" ca="1" si="221"/>
        <v>857.47864777336167</v>
      </c>
      <c r="U168" s="85">
        <f t="shared" ca="1" si="222"/>
        <v>816.16797719214617</v>
      </c>
      <c r="V168" s="85">
        <f t="shared" ca="1" si="223"/>
        <v>989.93383507603517</v>
      </c>
      <c r="W168" s="85">
        <f t="shared" ca="1" si="224"/>
        <v>883.19235636586939</v>
      </c>
      <c r="X168" s="85">
        <f t="shared" ca="1" si="225"/>
        <v>901.15478225822619</v>
      </c>
      <c r="Y168" s="85">
        <f t="shared" ca="1" si="226"/>
        <v>802.30981461634224</v>
      </c>
      <c r="Z168" s="85">
        <f t="shared" ca="1" si="227"/>
        <v>895.95076606156726</v>
      </c>
      <c r="AA168" s="85">
        <f t="shared" ca="1" si="228"/>
        <v>804.49210494287274</v>
      </c>
      <c r="AB168" s="85">
        <f t="shared" ca="1" si="229"/>
        <v>1053.8218512395588</v>
      </c>
      <c r="AC168" s="85">
        <f t="shared" ca="1" si="230"/>
        <v>891.16794106222699</v>
      </c>
      <c r="AD168" s="85">
        <f t="shared" ca="1" si="231"/>
        <v>1025.4223078467135</v>
      </c>
      <c r="AE168" s="85">
        <f t="shared" ca="1" si="232"/>
        <v>1157.2209840565922</v>
      </c>
      <c r="AF168" s="85">
        <f t="shared" ca="1" si="233"/>
        <v>803.11290495675223</v>
      </c>
      <c r="AG168" s="85">
        <f t="shared" ca="1" si="234"/>
        <v>936.40579869980309</v>
      </c>
      <c r="AH168" s="85">
        <f t="shared" ca="1" si="235"/>
        <v>786.20768404960063</v>
      </c>
      <c r="AI168" s="85">
        <f t="shared" ca="1" si="236"/>
        <v>945.95088626069276</v>
      </c>
      <c r="AJ168" s="85">
        <f t="shared" ca="1" si="237"/>
        <v>1003.8113132627263</v>
      </c>
      <c r="AK168" s="85">
        <f t="shared" ca="1" si="238"/>
        <v>879.69260223699564</v>
      </c>
      <c r="AL168" s="85">
        <f t="shared" ca="1" si="239"/>
        <v>912.07410669320484</v>
      </c>
      <c r="AM168" s="85">
        <f t="shared" ca="1" si="240"/>
        <v>787.58279606563929</v>
      </c>
      <c r="AN168" s="85">
        <f t="shared" ca="1" si="241"/>
        <v>944.95026169299922</v>
      </c>
      <c r="AO168" s="85">
        <f t="shared" ca="1" si="242"/>
        <v>1081.6538687028662</v>
      </c>
      <c r="AP168" s="85">
        <f t="shared" ca="1" si="243"/>
        <v>958.53199020406726</v>
      </c>
      <c r="AQ168" s="85">
        <f t="shared" ca="1" si="244"/>
        <v>806.08979245023954</v>
      </c>
      <c r="AR168" s="85">
        <f t="shared" ca="1" si="245"/>
        <v>906.30490749278977</v>
      </c>
      <c r="AS168" s="85">
        <f t="shared" ca="1" si="246"/>
        <v>781.37876882566127</v>
      </c>
      <c r="AT168" s="85">
        <f t="shared" ca="1" si="247"/>
        <v>874.73158287402521</v>
      </c>
      <c r="AU168" s="85">
        <f t="shared" ca="1" si="248"/>
        <v>953.96072496227339</v>
      </c>
      <c r="AV168" s="85">
        <f t="shared" ca="1" si="249"/>
        <v>924.68802084568767</v>
      </c>
      <c r="AW168" s="85">
        <f t="shared" ca="1" si="250"/>
        <v>909.13678066932164</v>
      </c>
      <c r="AX168" s="85">
        <f t="shared" ca="1" si="251"/>
        <v>1002.4277955649216</v>
      </c>
      <c r="AY168" s="85">
        <f t="shared" ca="1" si="252"/>
        <v>995.16929347468749</v>
      </c>
      <c r="AZ168" s="85">
        <f t="shared" ca="1" si="253"/>
        <v>943.59549262477572</v>
      </c>
      <c r="BA168" s="85">
        <f t="shared" ca="1" si="254"/>
        <v>961.04239041936955</v>
      </c>
      <c r="BB168" s="85">
        <f t="shared" ca="1" si="255"/>
        <v>826.25124673873984</v>
      </c>
      <c r="BC168" s="85">
        <f t="shared" ca="1" si="256"/>
        <v>946.29307375613928</v>
      </c>
      <c r="BD168" s="85">
        <f t="shared" ca="1" si="257"/>
        <v>910.75387668190535</v>
      </c>
      <c r="BE168" s="85">
        <f t="shared" ca="1" si="258"/>
        <v>816.27184206491688</v>
      </c>
      <c r="BF168" s="85">
        <f t="shared" ca="1" si="259"/>
        <v>846.85765545774336</v>
      </c>
      <c r="BG168" s="85">
        <f t="shared" ca="1" si="260"/>
        <v>786.33579301318957</v>
      </c>
      <c r="BH168" s="85">
        <f t="shared" ca="1" si="261"/>
        <v>971.40987080400282</v>
      </c>
      <c r="BI168" s="85">
        <f t="shared" ca="1" si="262"/>
        <v>816.09484362975059</v>
      </c>
      <c r="BJ168" s="85">
        <f t="shared" ca="1" si="263"/>
        <v>909.0998366093537</v>
      </c>
      <c r="BK168" s="85">
        <f t="shared" ca="1" si="264"/>
        <v>844.63129000373419</v>
      </c>
      <c r="BL168" s="85">
        <f t="shared" ca="1" si="265"/>
        <v>818.66927520596391</v>
      </c>
      <c r="BM168" s="85">
        <f t="shared" ca="1" si="266"/>
        <v>819.51531243384431</v>
      </c>
      <c r="BN168" s="85">
        <f t="shared" ca="1" si="203"/>
        <v>986.92843286578375</v>
      </c>
      <c r="BO168" s="85">
        <f t="shared" ca="1" si="292"/>
        <v>1043.7001717669305</v>
      </c>
      <c r="BP168" s="85">
        <f t="shared" ca="1" si="293"/>
        <v>754.74564547586294</v>
      </c>
      <c r="BQ168" s="85">
        <f t="shared" ca="1" si="294"/>
        <v>887.76961437068428</v>
      </c>
      <c r="BR168" s="85">
        <f t="shared" ca="1" si="295"/>
        <v>780.56526248153875</v>
      </c>
      <c r="BS168" s="85">
        <f t="shared" ca="1" si="296"/>
        <v>925.20664647117917</v>
      </c>
      <c r="BT168" s="85">
        <f t="shared" ca="1" si="297"/>
        <v>992.26470122335138</v>
      </c>
      <c r="BU168" s="85">
        <f t="shared" ca="1" si="298"/>
        <v>911.44195765249754</v>
      </c>
      <c r="BV168" s="85">
        <f t="shared" ca="1" si="299"/>
        <v>839.09424716154319</v>
      </c>
      <c r="BW168" s="85">
        <f t="shared" ca="1" si="300"/>
        <v>928.58596843377052</v>
      </c>
      <c r="BX168" s="85">
        <f t="shared" ca="1" si="301"/>
        <v>885.73690772863813</v>
      </c>
      <c r="BY168" s="85">
        <f t="shared" ca="1" si="267"/>
        <v>845.56083238451913</v>
      </c>
      <c r="BZ168" s="85">
        <f t="shared" ca="1" si="268"/>
        <v>828.88678606306667</v>
      </c>
      <c r="CA168" s="85">
        <f t="shared" ca="1" si="269"/>
        <v>864.39003708655957</v>
      </c>
      <c r="CB168" s="85">
        <f t="shared" ca="1" si="270"/>
        <v>842.91126734240197</v>
      </c>
      <c r="CC168" s="85">
        <f t="shared" ca="1" si="271"/>
        <v>961.42642412606665</v>
      </c>
      <c r="CD168" s="85">
        <f t="shared" ca="1" si="272"/>
        <v>1047.7224631084011</v>
      </c>
      <c r="CE168" s="85">
        <f t="shared" ca="1" si="273"/>
        <v>816.66817195035037</v>
      </c>
      <c r="CF168" s="85">
        <f t="shared" ca="1" si="274"/>
        <v>1009.9581512617698</v>
      </c>
      <c r="CG168" s="85">
        <f t="shared" ca="1" si="275"/>
        <v>810.03259016825825</v>
      </c>
      <c r="CH168" s="85">
        <f t="shared" ca="1" si="276"/>
        <v>903.48118166016945</v>
      </c>
      <c r="CI168" s="85">
        <f t="shared" ca="1" si="277"/>
        <v>835.51604299234361</v>
      </c>
      <c r="CJ168" s="85">
        <f t="shared" ca="1" si="278"/>
        <v>788.60113243774606</v>
      </c>
      <c r="CK168" s="85">
        <f t="shared" ca="1" si="279"/>
        <v>845.24772863268333</v>
      </c>
      <c r="CL168" s="85">
        <f t="shared" ca="1" si="280"/>
        <v>840.53889977850667</v>
      </c>
      <c r="CM168" s="85">
        <f t="shared" ca="1" si="281"/>
        <v>954.45688485487528</v>
      </c>
      <c r="CN168" s="85">
        <f t="shared" ca="1" si="282"/>
        <v>749.58328020245847</v>
      </c>
      <c r="CO168" s="85">
        <f t="shared" ca="1" si="283"/>
        <v>818.96249374726403</v>
      </c>
      <c r="CP168" s="85">
        <f t="shared" ca="1" si="284"/>
        <v>945.49072897611711</v>
      </c>
      <c r="CQ168" s="85">
        <f t="shared" ca="1" si="285"/>
        <v>850.16227670681485</v>
      </c>
      <c r="CR168" s="85">
        <f t="shared" ca="1" si="286"/>
        <v>930.49323108940246</v>
      </c>
      <c r="CS168" s="85">
        <f t="shared" ca="1" si="287"/>
        <v>782.17822485109343</v>
      </c>
      <c r="CT168" s="85">
        <f t="shared" ca="1" si="288"/>
        <v>784.19845229417683</v>
      </c>
      <c r="CU168" s="85">
        <f t="shared" ca="1" si="289"/>
        <v>1150.9422038705356</v>
      </c>
      <c r="CV168" s="85">
        <f t="shared" ca="1" si="290"/>
        <v>813.27485142564615</v>
      </c>
      <c r="CW168" s="85">
        <f t="shared" ca="1" si="291"/>
        <v>831.87271786432075</v>
      </c>
    </row>
    <row r="169" spans="1:101" x14ac:dyDescent="0.2">
      <c r="A169" s="115">
        <v>166</v>
      </c>
      <c r="B169" s="85">
        <f t="shared" ca="1" si="202"/>
        <v>702.71099598988087</v>
      </c>
      <c r="C169" s="85">
        <f t="shared" ca="1" si="204"/>
        <v>900.48256449902851</v>
      </c>
      <c r="D169" s="85">
        <f t="shared" ca="1" si="205"/>
        <v>881.2202495650954</v>
      </c>
      <c r="E169" s="85">
        <f t="shared" ca="1" si="206"/>
        <v>766.83742917267341</v>
      </c>
      <c r="F169" s="85">
        <f t="shared" ca="1" si="207"/>
        <v>813.46662709245527</v>
      </c>
      <c r="G169" s="85">
        <f t="shared" ca="1" si="208"/>
        <v>894.46900193713952</v>
      </c>
      <c r="H169" s="85">
        <f t="shared" ca="1" si="209"/>
        <v>900.65046477678891</v>
      </c>
      <c r="I169" s="85">
        <f t="shared" ca="1" si="210"/>
        <v>977.16549712905839</v>
      </c>
      <c r="J169" s="85">
        <f t="shared" ca="1" si="211"/>
        <v>851.37220238625196</v>
      </c>
      <c r="K169" s="85">
        <f t="shared" ca="1" si="212"/>
        <v>927.26089453245379</v>
      </c>
      <c r="L169" s="85">
        <f t="shared" ca="1" si="213"/>
        <v>944.39500770580412</v>
      </c>
      <c r="M169" s="85">
        <f t="shared" ca="1" si="214"/>
        <v>685.40004567102574</v>
      </c>
      <c r="N169" s="85">
        <f t="shared" ca="1" si="215"/>
        <v>841.63058828464909</v>
      </c>
      <c r="O169" s="85">
        <f t="shared" ca="1" si="216"/>
        <v>854.50775929856934</v>
      </c>
      <c r="P169" s="85">
        <f t="shared" ca="1" si="217"/>
        <v>928.80277064536267</v>
      </c>
      <c r="Q169" s="85">
        <f t="shared" ca="1" si="218"/>
        <v>919.57825902689069</v>
      </c>
      <c r="R169" s="85">
        <f t="shared" ca="1" si="219"/>
        <v>825.58238650279361</v>
      </c>
      <c r="S169" s="85">
        <f t="shared" ca="1" si="220"/>
        <v>915.84440863203281</v>
      </c>
      <c r="T169" s="85">
        <f t="shared" ca="1" si="221"/>
        <v>867.90188101595936</v>
      </c>
      <c r="U169" s="85">
        <f t="shared" ca="1" si="222"/>
        <v>824.52540911134929</v>
      </c>
      <c r="V169" s="85">
        <f t="shared" ca="1" si="223"/>
        <v>1007.8834989505577</v>
      </c>
      <c r="W169" s="85">
        <f t="shared" ca="1" si="224"/>
        <v>889.62548404664085</v>
      </c>
      <c r="X169" s="85">
        <f t="shared" ca="1" si="225"/>
        <v>928.12710345042865</v>
      </c>
      <c r="Y169" s="85">
        <f t="shared" ca="1" si="226"/>
        <v>817.70603123443937</v>
      </c>
      <c r="Z169" s="85">
        <f t="shared" ca="1" si="227"/>
        <v>916.4567879232568</v>
      </c>
      <c r="AA169" s="85">
        <f t="shared" ca="1" si="228"/>
        <v>807.64073411989239</v>
      </c>
      <c r="AB169" s="85">
        <f t="shared" ca="1" si="229"/>
        <v>1061.821043248932</v>
      </c>
      <c r="AC169" s="85">
        <f t="shared" ca="1" si="230"/>
        <v>903.86116412785748</v>
      </c>
      <c r="AD169" s="85">
        <f t="shared" ca="1" si="231"/>
        <v>1052.1431612589197</v>
      </c>
      <c r="AE169" s="85">
        <f t="shared" ca="1" si="232"/>
        <v>1168.7446082777658</v>
      </c>
      <c r="AF169" s="85">
        <f t="shared" ca="1" si="233"/>
        <v>811.30540667375044</v>
      </c>
      <c r="AG169" s="85">
        <f t="shared" ca="1" si="234"/>
        <v>949.97049562489633</v>
      </c>
      <c r="AH169" s="85">
        <f t="shared" ca="1" si="235"/>
        <v>798.33877921124372</v>
      </c>
      <c r="AI169" s="85">
        <f t="shared" ca="1" si="236"/>
        <v>962.75582550763716</v>
      </c>
      <c r="AJ169" s="85">
        <f t="shared" ca="1" si="237"/>
        <v>1013.5133531593597</v>
      </c>
      <c r="AK169" s="85">
        <f t="shared" ca="1" si="238"/>
        <v>888.73923232042534</v>
      </c>
      <c r="AL169" s="85">
        <f t="shared" ca="1" si="239"/>
        <v>926.19882721639533</v>
      </c>
      <c r="AM169" s="85">
        <f t="shared" ca="1" si="240"/>
        <v>803.90678581021507</v>
      </c>
      <c r="AN169" s="85">
        <f t="shared" ca="1" si="241"/>
        <v>961.57018676965458</v>
      </c>
      <c r="AO169" s="85">
        <f t="shared" ca="1" si="242"/>
        <v>1100.1041882472505</v>
      </c>
      <c r="AP169" s="85">
        <f t="shared" ca="1" si="243"/>
        <v>971.61231424540654</v>
      </c>
      <c r="AQ169" s="85">
        <f t="shared" ca="1" si="244"/>
        <v>815.87617043503826</v>
      </c>
      <c r="AR169" s="85">
        <f t="shared" ca="1" si="245"/>
        <v>922.27448285792468</v>
      </c>
      <c r="AS169" s="85">
        <f t="shared" ca="1" si="246"/>
        <v>783.98149782317762</v>
      </c>
      <c r="AT169" s="85">
        <f t="shared" ca="1" si="247"/>
        <v>884.75692897063198</v>
      </c>
      <c r="AU169" s="85">
        <f t="shared" ca="1" si="248"/>
        <v>972.14675310173413</v>
      </c>
      <c r="AV169" s="85">
        <f t="shared" ca="1" si="249"/>
        <v>944.52179783101178</v>
      </c>
      <c r="AW169" s="85">
        <f t="shared" ca="1" si="250"/>
        <v>930.46797510937643</v>
      </c>
      <c r="AX169" s="85">
        <f t="shared" ca="1" si="251"/>
        <v>1018.6092965082908</v>
      </c>
      <c r="AY169" s="85">
        <f t="shared" ca="1" si="252"/>
        <v>1018.118332782196</v>
      </c>
      <c r="AZ169" s="85">
        <f t="shared" ca="1" si="253"/>
        <v>955.17211450965169</v>
      </c>
      <c r="BA169" s="85">
        <f t="shared" ca="1" si="254"/>
        <v>969.2033402510217</v>
      </c>
      <c r="BB169" s="85">
        <f t="shared" ca="1" si="255"/>
        <v>845.25043444328924</v>
      </c>
      <c r="BC169" s="85">
        <f t="shared" ca="1" si="256"/>
        <v>951.15200335289671</v>
      </c>
      <c r="BD169" s="85">
        <f t="shared" ca="1" si="257"/>
        <v>930.31398935202571</v>
      </c>
      <c r="BE169" s="85">
        <f t="shared" ca="1" si="258"/>
        <v>826.3538368169402</v>
      </c>
      <c r="BF169" s="85">
        <f t="shared" ca="1" si="259"/>
        <v>854.20972896150704</v>
      </c>
      <c r="BG169" s="85">
        <f t="shared" ca="1" si="260"/>
        <v>794.59438404326704</v>
      </c>
      <c r="BH169" s="85">
        <f t="shared" ca="1" si="261"/>
        <v>984.56039391120851</v>
      </c>
      <c r="BI169" s="85">
        <f t="shared" ca="1" si="262"/>
        <v>838.29519697717933</v>
      </c>
      <c r="BJ169" s="85">
        <f t="shared" ca="1" si="263"/>
        <v>924.8270741444253</v>
      </c>
      <c r="BK169" s="85">
        <f t="shared" ca="1" si="264"/>
        <v>870.93610778218988</v>
      </c>
      <c r="BL169" s="85">
        <f t="shared" ca="1" si="265"/>
        <v>835.07534562627018</v>
      </c>
      <c r="BM169" s="85">
        <f t="shared" ca="1" si="266"/>
        <v>824.22528864586582</v>
      </c>
      <c r="BN169" s="85">
        <f t="shared" ca="1" si="203"/>
        <v>995.43741573188458</v>
      </c>
      <c r="BO169" s="85">
        <f t="shared" ca="1" si="292"/>
        <v>1060.0945961144503</v>
      </c>
      <c r="BP169" s="85">
        <f t="shared" ca="1" si="293"/>
        <v>768.49578757949655</v>
      </c>
      <c r="BQ169" s="85">
        <f t="shared" ca="1" si="294"/>
        <v>914.11816571631357</v>
      </c>
      <c r="BR169" s="85">
        <f t="shared" ca="1" si="295"/>
        <v>793.77695150256216</v>
      </c>
      <c r="BS169" s="85">
        <f t="shared" ca="1" si="296"/>
        <v>942.87851050058669</v>
      </c>
      <c r="BT169" s="85">
        <f t="shared" ca="1" si="297"/>
        <v>997.45045418395034</v>
      </c>
      <c r="BU169" s="85">
        <f t="shared" ca="1" si="298"/>
        <v>913.67632771000149</v>
      </c>
      <c r="BV169" s="85">
        <f t="shared" ca="1" si="299"/>
        <v>852.25024772671827</v>
      </c>
      <c r="BW169" s="85">
        <f t="shared" ca="1" si="300"/>
        <v>948.49465621795616</v>
      </c>
      <c r="BX169" s="85">
        <f t="shared" ca="1" si="301"/>
        <v>905.49714389403414</v>
      </c>
      <c r="BY169" s="85">
        <f t="shared" ca="1" si="267"/>
        <v>856.33081298283264</v>
      </c>
      <c r="BZ169" s="85">
        <f t="shared" ca="1" si="268"/>
        <v>851.20525956377844</v>
      </c>
      <c r="CA169" s="85">
        <f t="shared" ca="1" si="269"/>
        <v>869.58752757441823</v>
      </c>
      <c r="CB169" s="85">
        <f t="shared" ca="1" si="270"/>
        <v>844.2623352521731</v>
      </c>
      <c r="CC169" s="85">
        <f t="shared" ca="1" si="271"/>
        <v>974.05640981064289</v>
      </c>
      <c r="CD169" s="85">
        <f t="shared" ca="1" si="272"/>
        <v>1070.4809841759404</v>
      </c>
      <c r="CE169" s="85">
        <f t="shared" ca="1" si="273"/>
        <v>832.67995209545347</v>
      </c>
      <c r="CF169" s="85">
        <f t="shared" ca="1" si="274"/>
        <v>1021.9383478452721</v>
      </c>
      <c r="CG169" s="85">
        <f t="shared" ca="1" si="275"/>
        <v>814.14562161636081</v>
      </c>
      <c r="CH169" s="85">
        <f t="shared" ca="1" si="276"/>
        <v>909.91815796986009</v>
      </c>
      <c r="CI169" s="85">
        <f t="shared" ca="1" si="277"/>
        <v>843.0059224506897</v>
      </c>
      <c r="CJ169" s="85">
        <f t="shared" ca="1" si="278"/>
        <v>800.2749477931834</v>
      </c>
      <c r="CK169" s="85">
        <f t="shared" ca="1" si="279"/>
        <v>858.39371189151586</v>
      </c>
      <c r="CL169" s="85">
        <f t="shared" ca="1" si="280"/>
        <v>850.85092437269611</v>
      </c>
      <c r="CM169" s="85">
        <f t="shared" ca="1" si="281"/>
        <v>973.58596925046027</v>
      </c>
      <c r="CN169" s="85">
        <f t="shared" ca="1" si="282"/>
        <v>761.98965878886224</v>
      </c>
      <c r="CO169" s="85">
        <f t="shared" ca="1" si="283"/>
        <v>822.73747599402361</v>
      </c>
      <c r="CP169" s="85">
        <f t="shared" ca="1" si="284"/>
        <v>962.75021063341887</v>
      </c>
      <c r="CQ169" s="85">
        <f t="shared" ca="1" si="285"/>
        <v>864.80093833128183</v>
      </c>
      <c r="CR169" s="85">
        <f t="shared" ca="1" si="286"/>
        <v>927.55499750830745</v>
      </c>
      <c r="CS169" s="85">
        <f t="shared" ca="1" si="287"/>
        <v>788.23404545896358</v>
      </c>
      <c r="CT169" s="85">
        <f t="shared" ca="1" si="288"/>
        <v>793.71717603995546</v>
      </c>
      <c r="CU169" s="85">
        <f t="shared" ca="1" si="289"/>
        <v>1179.1334114240944</v>
      </c>
      <c r="CV169" s="85">
        <f t="shared" ca="1" si="290"/>
        <v>822.29924383662319</v>
      </c>
      <c r="CW169" s="85">
        <f t="shared" ca="1" si="291"/>
        <v>838.04149371787719</v>
      </c>
    </row>
    <row r="170" spans="1:101" x14ac:dyDescent="0.2">
      <c r="A170" s="115">
        <v>167</v>
      </c>
      <c r="B170" s="85">
        <f t="shared" ca="1" si="202"/>
        <v>712.64421074960376</v>
      </c>
      <c r="C170" s="85">
        <f t="shared" ca="1" si="204"/>
        <v>908.39916402100437</v>
      </c>
      <c r="D170" s="85">
        <f t="shared" ca="1" si="205"/>
        <v>898.9474485872978</v>
      </c>
      <c r="E170" s="85">
        <f t="shared" ca="1" si="206"/>
        <v>789.21570439028596</v>
      </c>
      <c r="F170" s="85">
        <f t="shared" ca="1" si="207"/>
        <v>818.97238833910671</v>
      </c>
      <c r="G170" s="85">
        <f t="shared" ca="1" si="208"/>
        <v>901.652565697814</v>
      </c>
      <c r="H170" s="85">
        <f t="shared" ca="1" si="209"/>
        <v>921.47017089394319</v>
      </c>
      <c r="I170" s="85">
        <f t="shared" ca="1" si="210"/>
        <v>1003.8356077588892</v>
      </c>
      <c r="J170" s="85">
        <f t="shared" ca="1" si="211"/>
        <v>864.27816242503025</v>
      </c>
      <c r="K170" s="85">
        <f t="shared" ca="1" si="212"/>
        <v>931.99756073665174</v>
      </c>
      <c r="L170" s="85">
        <f t="shared" ca="1" si="213"/>
        <v>968.81821215830405</v>
      </c>
      <c r="M170" s="85">
        <f t="shared" ca="1" si="214"/>
        <v>693.35759453881042</v>
      </c>
      <c r="N170" s="85">
        <f t="shared" ca="1" si="215"/>
        <v>848.36367078829903</v>
      </c>
      <c r="O170" s="85">
        <f t="shared" ca="1" si="216"/>
        <v>862.90862831051345</v>
      </c>
      <c r="P170" s="85">
        <f t="shared" ca="1" si="217"/>
        <v>934.97988148943648</v>
      </c>
      <c r="Q170" s="85">
        <f t="shared" ca="1" si="218"/>
        <v>926.16592361874973</v>
      </c>
      <c r="R170" s="85">
        <f t="shared" ca="1" si="219"/>
        <v>835.77505597903007</v>
      </c>
      <c r="S170" s="85">
        <f t="shared" ca="1" si="220"/>
        <v>917.76525600199079</v>
      </c>
      <c r="T170" s="85">
        <f t="shared" ca="1" si="221"/>
        <v>877.94967813403582</v>
      </c>
      <c r="U170" s="85">
        <f t="shared" ca="1" si="222"/>
        <v>836.16677486286119</v>
      </c>
      <c r="V170" s="85">
        <f t="shared" ca="1" si="223"/>
        <v>1020.0339857944163</v>
      </c>
      <c r="W170" s="85">
        <f t="shared" ca="1" si="224"/>
        <v>901.01683767810039</v>
      </c>
      <c r="X170" s="85">
        <f t="shared" ca="1" si="225"/>
        <v>935.04778975059855</v>
      </c>
      <c r="Y170" s="85">
        <f t="shared" ca="1" si="226"/>
        <v>838.06700722374569</v>
      </c>
      <c r="Z170" s="85">
        <f t="shared" ca="1" si="227"/>
        <v>920.09855543976812</v>
      </c>
      <c r="AA170" s="85">
        <f t="shared" ca="1" si="228"/>
        <v>816.34144271925186</v>
      </c>
      <c r="AB170" s="85">
        <f t="shared" ca="1" si="229"/>
        <v>1078.1443471934763</v>
      </c>
      <c r="AC170" s="85">
        <f t="shared" ca="1" si="230"/>
        <v>918.56548554671531</v>
      </c>
      <c r="AD170" s="85">
        <f t="shared" ca="1" si="231"/>
        <v>1060.5028143774166</v>
      </c>
      <c r="AE170" s="85">
        <f t="shared" ca="1" si="232"/>
        <v>1185.5160444050084</v>
      </c>
      <c r="AF170" s="85">
        <f t="shared" ca="1" si="233"/>
        <v>810.79553174049272</v>
      </c>
      <c r="AG170" s="85">
        <f t="shared" ca="1" si="234"/>
        <v>966.35691410567756</v>
      </c>
      <c r="AH170" s="85">
        <f t="shared" ca="1" si="235"/>
        <v>802.85254424732568</v>
      </c>
      <c r="AI170" s="85">
        <f t="shared" ca="1" si="236"/>
        <v>964.74432419573202</v>
      </c>
      <c r="AJ170" s="85">
        <f t="shared" ca="1" si="237"/>
        <v>1036.1681682267194</v>
      </c>
      <c r="AK170" s="85">
        <f t="shared" ca="1" si="238"/>
        <v>904.81041581288821</v>
      </c>
      <c r="AL170" s="85">
        <f t="shared" ca="1" si="239"/>
        <v>935.46404891859481</v>
      </c>
      <c r="AM170" s="85">
        <f t="shared" ca="1" si="240"/>
        <v>820.9578685915485</v>
      </c>
      <c r="AN170" s="85">
        <f t="shared" ca="1" si="241"/>
        <v>989.99249431801547</v>
      </c>
      <c r="AO170" s="85">
        <f t="shared" ca="1" si="242"/>
        <v>1128.90301063993</v>
      </c>
      <c r="AP170" s="85">
        <f t="shared" ca="1" si="243"/>
        <v>979.1303005563276</v>
      </c>
      <c r="AQ170" s="85">
        <f t="shared" ca="1" si="244"/>
        <v>824.25183537148064</v>
      </c>
      <c r="AR170" s="85">
        <f t="shared" ca="1" si="245"/>
        <v>933.71292047247744</v>
      </c>
      <c r="AS170" s="85">
        <f t="shared" ca="1" si="246"/>
        <v>802.47228962800239</v>
      </c>
      <c r="AT170" s="85">
        <f t="shared" ca="1" si="247"/>
        <v>899.65809047391792</v>
      </c>
      <c r="AU170" s="85">
        <f t="shared" ca="1" si="248"/>
        <v>983.58611297521531</v>
      </c>
      <c r="AV170" s="85">
        <f t="shared" ca="1" si="249"/>
        <v>949.58400374793757</v>
      </c>
      <c r="AW170" s="85">
        <f t="shared" ca="1" si="250"/>
        <v>943.40611356977388</v>
      </c>
      <c r="AX170" s="85">
        <f t="shared" ca="1" si="251"/>
        <v>1027.8579044696753</v>
      </c>
      <c r="AY170" s="85">
        <f t="shared" ca="1" si="252"/>
        <v>1017.4460657306092</v>
      </c>
      <c r="AZ170" s="85">
        <f t="shared" ca="1" si="253"/>
        <v>960.10040970113323</v>
      </c>
      <c r="BA170" s="85">
        <f t="shared" ca="1" si="254"/>
        <v>992.00194385211103</v>
      </c>
      <c r="BB170" s="85">
        <f t="shared" ca="1" si="255"/>
        <v>858.91535656363067</v>
      </c>
      <c r="BC170" s="85">
        <f t="shared" ca="1" si="256"/>
        <v>967.32772014658485</v>
      </c>
      <c r="BD170" s="85">
        <f t="shared" ca="1" si="257"/>
        <v>950.46910587084005</v>
      </c>
      <c r="BE170" s="85">
        <f t="shared" ca="1" si="258"/>
        <v>833.72286987186146</v>
      </c>
      <c r="BF170" s="85">
        <f t="shared" ca="1" si="259"/>
        <v>862.10255881367584</v>
      </c>
      <c r="BG170" s="85">
        <f t="shared" ca="1" si="260"/>
        <v>803.47140180607437</v>
      </c>
      <c r="BH170" s="85">
        <f t="shared" ca="1" si="261"/>
        <v>1008.1190798540333</v>
      </c>
      <c r="BI170" s="85">
        <f t="shared" ca="1" si="262"/>
        <v>847.87594354903308</v>
      </c>
      <c r="BJ170" s="85">
        <f t="shared" ca="1" si="263"/>
        <v>942.53888480829426</v>
      </c>
      <c r="BK170" s="85">
        <f t="shared" ca="1" si="264"/>
        <v>877.9359584222567</v>
      </c>
      <c r="BL170" s="85">
        <f t="shared" ca="1" si="265"/>
        <v>853.41860917331428</v>
      </c>
      <c r="BM170" s="85">
        <f t="shared" ca="1" si="266"/>
        <v>839.15528053722494</v>
      </c>
      <c r="BN170" s="85">
        <f t="shared" ca="1" si="203"/>
        <v>1017.0748049919719</v>
      </c>
      <c r="BO170" s="85">
        <f t="shared" ca="1" si="292"/>
        <v>1066.655742306275</v>
      </c>
      <c r="BP170" s="85">
        <f t="shared" ca="1" si="293"/>
        <v>782.45646150086202</v>
      </c>
      <c r="BQ170" s="85">
        <f t="shared" ca="1" si="294"/>
        <v>925.29752446819771</v>
      </c>
      <c r="BR170" s="85">
        <f t="shared" ca="1" si="295"/>
        <v>806.59642100890983</v>
      </c>
      <c r="BS170" s="85">
        <f t="shared" ca="1" si="296"/>
        <v>953.22203613662384</v>
      </c>
      <c r="BT170" s="85">
        <f t="shared" ca="1" si="297"/>
        <v>998.53778168060524</v>
      </c>
      <c r="BU170" s="85">
        <f t="shared" ca="1" si="298"/>
        <v>919.39566600553871</v>
      </c>
      <c r="BV170" s="85">
        <f t="shared" ca="1" si="299"/>
        <v>860.95428726572777</v>
      </c>
      <c r="BW170" s="85">
        <f t="shared" ca="1" si="300"/>
        <v>959.02159555333208</v>
      </c>
      <c r="BX170" s="85">
        <f t="shared" ca="1" si="301"/>
        <v>916.10713996121171</v>
      </c>
      <c r="BY170" s="85">
        <f t="shared" ca="1" si="267"/>
        <v>871.1764350793452</v>
      </c>
      <c r="BZ170" s="85">
        <f t="shared" ca="1" si="268"/>
        <v>863.14612177794356</v>
      </c>
      <c r="CA170" s="85">
        <f t="shared" ca="1" si="269"/>
        <v>876.5249963527566</v>
      </c>
      <c r="CB170" s="85">
        <f t="shared" ca="1" si="270"/>
        <v>848.50012128194533</v>
      </c>
      <c r="CC170" s="85">
        <f t="shared" ca="1" si="271"/>
        <v>991.91852057008987</v>
      </c>
      <c r="CD170" s="85">
        <f t="shared" ca="1" si="272"/>
        <v>1087.3220135473923</v>
      </c>
      <c r="CE170" s="85">
        <f t="shared" ca="1" si="273"/>
        <v>842.48771083585996</v>
      </c>
      <c r="CF170" s="85">
        <f t="shared" ca="1" si="274"/>
        <v>1052.2410743441828</v>
      </c>
      <c r="CG170" s="85">
        <f t="shared" ca="1" si="275"/>
        <v>817.02060905357803</v>
      </c>
      <c r="CH170" s="85">
        <f t="shared" ca="1" si="276"/>
        <v>932.77351811760252</v>
      </c>
      <c r="CI170" s="85">
        <f t="shared" ca="1" si="277"/>
        <v>858.37866473421013</v>
      </c>
      <c r="CJ170" s="85">
        <f t="shared" ca="1" si="278"/>
        <v>820.07676381749627</v>
      </c>
      <c r="CK170" s="85">
        <f t="shared" ca="1" si="279"/>
        <v>869.90491719561101</v>
      </c>
      <c r="CL170" s="85">
        <f t="shared" ca="1" si="280"/>
        <v>847.62047777374244</v>
      </c>
      <c r="CM170" s="85">
        <f t="shared" ca="1" si="281"/>
        <v>980.04046898948616</v>
      </c>
      <c r="CN170" s="85">
        <f t="shared" ca="1" si="282"/>
        <v>778.14055190584236</v>
      </c>
      <c r="CO170" s="85">
        <f t="shared" ca="1" si="283"/>
        <v>827.46311936309371</v>
      </c>
      <c r="CP170" s="85">
        <f t="shared" ca="1" si="284"/>
        <v>970.73024537401159</v>
      </c>
      <c r="CQ170" s="85">
        <f t="shared" ca="1" si="285"/>
        <v>889.35089471128117</v>
      </c>
      <c r="CR170" s="85">
        <f t="shared" ca="1" si="286"/>
        <v>937.34044286163555</v>
      </c>
      <c r="CS170" s="85">
        <f t="shared" ca="1" si="287"/>
        <v>796.87570521641453</v>
      </c>
      <c r="CT170" s="85">
        <f t="shared" ca="1" si="288"/>
        <v>799.21077176054871</v>
      </c>
      <c r="CU170" s="85">
        <f t="shared" ca="1" si="289"/>
        <v>1188.0524296842291</v>
      </c>
      <c r="CV170" s="85">
        <f t="shared" ca="1" si="290"/>
        <v>846.40175490061074</v>
      </c>
      <c r="CW170" s="85">
        <f t="shared" ca="1" si="291"/>
        <v>858.79564985156753</v>
      </c>
    </row>
    <row r="171" spans="1:101" x14ac:dyDescent="0.2">
      <c r="A171" s="115">
        <v>168</v>
      </c>
      <c r="B171" s="85">
        <f t="shared" ca="1" si="202"/>
        <v>723.62222397576829</v>
      </c>
      <c r="C171" s="85">
        <f t="shared" ca="1" si="204"/>
        <v>913.0813054647615</v>
      </c>
      <c r="D171" s="85">
        <f t="shared" ca="1" si="205"/>
        <v>909.49474466285756</v>
      </c>
      <c r="E171" s="85">
        <f t="shared" ca="1" si="206"/>
        <v>794.56202087889778</v>
      </c>
      <c r="F171" s="85">
        <f t="shared" ca="1" si="207"/>
        <v>836.40470789459698</v>
      </c>
      <c r="G171" s="85">
        <f t="shared" ca="1" si="208"/>
        <v>910.72395836687156</v>
      </c>
      <c r="H171" s="85">
        <f t="shared" ca="1" si="209"/>
        <v>928.05837163381841</v>
      </c>
      <c r="I171" s="85">
        <f t="shared" ca="1" si="210"/>
        <v>1012.9775122447606</v>
      </c>
      <c r="J171" s="85">
        <f t="shared" ca="1" si="211"/>
        <v>873.90910576742249</v>
      </c>
      <c r="K171" s="85">
        <f t="shared" ca="1" si="212"/>
        <v>953.30496862651103</v>
      </c>
      <c r="L171" s="85">
        <f t="shared" ca="1" si="213"/>
        <v>990.7626258997575</v>
      </c>
      <c r="M171" s="85">
        <f t="shared" ca="1" si="214"/>
        <v>707.21199153364682</v>
      </c>
      <c r="N171" s="85">
        <f t="shared" ca="1" si="215"/>
        <v>868.66276204824692</v>
      </c>
      <c r="O171" s="85">
        <f t="shared" ca="1" si="216"/>
        <v>865.74983397889298</v>
      </c>
      <c r="P171" s="85">
        <f t="shared" ca="1" si="217"/>
        <v>952.42161404800106</v>
      </c>
      <c r="Q171" s="85">
        <f t="shared" ca="1" si="218"/>
        <v>954.89524428332845</v>
      </c>
      <c r="R171" s="85">
        <f t="shared" ca="1" si="219"/>
        <v>853.62867606543864</v>
      </c>
      <c r="S171" s="85">
        <f t="shared" ca="1" si="220"/>
        <v>930.61618406089883</v>
      </c>
      <c r="T171" s="85">
        <f t="shared" ca="1" si="221"/>
        <v>885.20898293464393</v>
      </c>
      <c r="U171" s="85">
        <f t="shared" ca="1" si="222"/>
        <v>851.60872039875619</v>
      </c>
      <c r="V171" s="85">
        <f t="shared" ca="1" si="223"/>
        <v>1017.6215507996372</v>
      </c>
      <c r="W171" s="85">
        <f t="shared" ca="1" si="224"/>
        <v>916.82324477891166</v>
      </c>
      <c r="X171" s="85">
        <f t="shared" ca="1" si="225"/>
        <v>943.79620961895819</v>
      </c>
      <c r="Y171" s="85">
        <f t="shared" ca="1" si="226"/>
        <v>847.12433550891194</v>
      </c>
      <c r="Z171" s="85">
        <f t="shared" ca="1" si="227"/>
        <v>927.45220482418347</v>
      </c>
      <c r="AA171" s="85">
        <f t="shared" ca="1" si="228"/>
        <v>823.08502228831242</v>
      </c>
      <c r="AB171" s="85">
        <f t="shared" ca="1" si="229"/>
        <v>1090.9264639616958</v>
      </c>
      <c r="AC171" s="85">
        <f t="shared" ca="1" si="230"/>
        <v>931.96357296731912</v>
      </c>
      <c r="AD171" s="85">
        <f t="shared" ca="1" si="231"/>
        <v>1075.912153778216</v>
      </c>
      <c r="AE171" s="85">
        <f t="shared" ca="1" si="232"/>
        <v>1196.4150978517396</v>
      </c>
      <c r="AF171" s="85">
        <f t="shared" ca="1" si="233"/>
        <v>817.71361721305982</v>
      </c>
      <c r="AG171" s="85">
        <f t="shared" ca="1" si="234"/>
        <v>981.79323233216235</v>
      </c>
      <c r="AH171" s="85">
        <f t="shared" ca="1" si="235"/>
        <v>805.85099871098225</v>
      </c>
      <c r="AI171" s="85">
        <f t="shared" ca="1" si="236"/>
        <v>975.37953521546581</v>
      </c>
      <c r="AJ171" s="85">
        <f t="shared" ca="1" si="237"/>
        <v>1052.7225630176511</v>
      </c>
      <c r="AK171" s="85">
        <f t="shared" ca="1" si="238"/>
        <v>925.20158241651973</v>
      </c>
      <c r="AL171" s="85">
        <f t="shared" ca="1" si="239"/>
        <v>946.81877824144249</v>
      </c>
      <c r="AM171" s="85">
        <f t="shared" ca="1" si="240"/>
        <v>839.03495999176084</v>
      </c>
      <c r="AN171" s="85">
        <f t="shared" ca="1" si="241"/>
        <v>996.49338125484212</v>
      </c>
      <c r="AO171" s="85">
        <f t="shared" ca="1" si="242"/>
        <v>1168.2188722333756</v>
      </c>
      <c r="AP171" s="85">
        <f t="shared" ca="1" si="243"/>
        <v>986.5946509048988</v>
      </c>
      <c r="AQ171" s="85">
        <f t="shared" ca="1" si="244"/>
        <v>833.55192735293849</v>
      </c>
      <c r="AR171" s="85">
        <f t="shared" ca="1" si="245"/>
        <v>936.33145719381355</v>
      </c>
      <c r="AS171" s="85">
        <f t="shared" ca="1" si="246"/>
        <v>809.01397210081666</v>
      </c>
      <c r="AT171" s="85">
        <f t="shared" ca="1" si="247"/>
        <v>907.04490464239382</v>
      </c>
      <c r="AU171" s="85">
        <f t="shared" ca="1" si="248"/>
        <v>1002.6009043713547</v>
      </c>
      <c r="AV171" s="85">
        <f t="shared" ca="1" si="249"/>
        <v>958.24814809143436</v>
      </c>
      <c r="AW171" s="85">
        <f t="shared" ca="1" si="250"/>
        <v>960.84588085402697</v>
      </c>
      <c r="AX171" s="85">
        <f t="shared" ca="1" si="251"/>
        <v>1022.614489065049</v>
      </c>
      <c r="AY171" s="85">
        <f t="shared" ca="1" si="252"/>
        <v>1040.1984106256639</v>
      </c>
      <c r="AZ171" s="85">
        <f t="shared" ca="1" si="253"/>
        <v>973.74626440901261</v>
      </c>
      <c r="BA171" s="85">
        <f t="shared" ca="1" si="254"/>
        <v>1001.5362875535242</v>
      </c>
      <c r="BB171" s="85">
        <f t="shared" ca="1" si="255"/>
        <v>864.1701403962071</v>
      </c>
      <c r="BC171" s="85">
        <f t="shared" ca="1" si="256"/>
        <v>986.14472270170199</v>
      </c>
      <c r="BD171" s="85">
        <f t="shared" ca="1" si="257"/>
        <v>961.91455202765235</v>
      </c>
      <c r="BE171" s="85">
        <f t="shared" ca="1" si="258"/>
        <v>851.52775007467994</v>
      </c>
      <c r="BF171" s="85">
        <f t="shared" ca="1" si="259"/>
        <v>866.46665250546619</v>
      </c>
      <c r="BG171" s="85">
        <f t="shared" ca="1" si="260"/>
        <v>813.99579157367862</v>
      </c>
      <c r="BH171" s="85">
        <f t="shared" ca="1" si="261"/>
        <v>1021.3749428575413</v>
      </c>
      <c r="BI171" s="85">
        <f t="shared" ca="1" si="262"/>
        <v>860.09800601413178</v>
      </c>
      <c r="BJ171" s="85">
        <f t="shared" ca="1" si="263"/>
        <v>957.81947763994992</v>
      </c>
      <c r="BK171" s="85">
        <f t="shared" ca="1" si="264"/>
        <v>889.45913304821511</v>
      </c>
      <c r="BL171" s="85">
        <f t="shared" ca="1" si="265"/>
        <v>874.60844346846056</v>
      </c>
      <c r="BM171" s="85">
        <f t="shared" ca="1" si="266"/>
        <v>849.47331621881131</v>
      </c>
      <c r="BN171" s="85">
        <f t="shared" ca="1" si="203"/>
        <v>1023.671824841664</v>
      </c>
      <c r="BO171" s="85">
        <f t="shared" ca="1" si="292"/>
        <v>1081.2699236017011</v>
      </c>
      <c r="BP171" s="85">
        <f t="shared" ca="1" si="293"/>
        <v>799.09725234941186</v>
      </c>
      <c r="BQ171" s="85">
        <f t="shared" ca="1" si="294"/>
        <v>933.05595433924134</v>
      </c>
      <c r="BR171" s="85">
        <f t="shared" ca="1" si="295"/>
        <v>806.61751671857769</v>
      </c>
      <c r="BS171" s="85">
        <f t="shared" ca="1" si="296"/>
        <v>956.3024381908034</v>
      </c>
      <c r="BT171" s="85">
        <f t="shared" ca="1" si="297"/>
        <v>1012.5367505959682</v>
      </c>
      <c r="BU171" s="85">
        <f t="shared" ca="1" si="298"/>
        <v>926.62441472965486</v>
      </c>
      <c r="BV171" s="85">
        <f t="shared" ca="1" si="299"/>
        <v>876.41259050007068</v>
      </c>
      <c r="BW171" s="85">
        <f t="shared" ca="1" si="300"/>
        <v>976.52347274492945</v>
      </c>
      <c r="BX171" s="85">
        <f t="shared" ca="1" si="301"/>
        <v>924.9686390966433</v>
      </c>
      <c r="BY171" s="85">
        <f t="shared" ca="1" si="267"/>
        <v>888.70409588533721</v>
      </c>
      <c r="BZ171" s="85">
        <f t="shared" ca="1" si="268"/>
        <v>858.07150635447806</v>
      </c>
      <c r="CA171" s="85">
        <f t="shared" ca="1" si="269"/>
        <v>884.32366871041268</v>
      </c>
      <c r="CB171" s="85">
        <f t="shared" ca="1" si="270"/>
        <v>858.76590809624315</v>
      </c>
      <c r="CC171" s="85">
        <f t="shared" ca="1" si="271"/>
        <v>1004.222766327239</v>
      </c>
      <c r="CD171" s="85">
        <f t="shared" ca="1" si="272"/>
        <v>1106.4541475942665</v>
      </c>
      <c r="CE171" s="85">
        <f t="shared" ca="1" si="273"/>
        <v>859.95656697107586</v>
      </c>
      <c r="CF171" s="85">
        <f t="shared" ca="1" si="274"/>
        <v>1073.5530861904938</v>
      </c>
      <c r="CG171" s="85">
        <f t="shared" ca="1" si="275"/>
        <v>831.55534561181514</v>
      </c>
      <c r="CH171" s="85">
        <f t="shared" ca="1" si="276"/>
        <v>932.25205312456569</v>
      </c>
      <c r="CI171" s="85">
        <f t="shared" ca="1" si="277"/>
        <v>872.6446854413208</v>
      </c>
      <c r="CJ171" s="85">
        <f t="shared" ca="1" si="278"/>
        <v>825.92329338308696</v>
      </c>
      <c r="CK171" s="85">
        <f t="shared" ca="1" si="279"/>
        <v>884.12887882070015</v>
      </c>
      <c r="CL171" s="85">
        <f t="shared" ca="1" si="280"/>
        <v>856.45405462530266</v>
      </c>
      <c r="CM171" s="85">
        <f t="shared" ca="1" si="281"/>
        <v>993.11892245606828</v>
      </c>
      <c r="CN171" s="85">
        <f t="shared" ca="1" si="282"/>
        <v>797.02037180229627</v>
      </c>
      <c r="CO171" s="85">
        <f t="shared" ca="1" si="283"/>
        <v>848.04839567530405</v>
      </c>
      <c r="CP171" s="85">
        <f t="shared" ca="1" si="284"/>
        <v>988.18385321235598</v>
      </c>
      <c r="CQ171" s="85">
        <f t="shared" ca="1" si="285"/>
        <v>900.01556297993955</v>
      </c>
      <c r="CR171" s="85">
        <f t="shared" ca="1" si="286"/>
        <v>945.29602296668236</v>
      </c>
      <c r="CS171" s="85">
        <f t="shared" ca="1" si="287"/>
        <v>803.4371494776974</v>
      </c>
      <c r="CT171" s="85">
        <f t="shared" ca="1" si="288"/>
        <v>808.56547696106122</v>
      </c>
      <c r="CU171" s="85">
        <f t="shared" ca="1" si="289"/>
        <v>1202.1794862659149</v>
      </c>
      <c r="CV171" s="85">
        <f t="shared" ca="1" si="290"/>
        <v>858.65894596636451</v>
      </c>
      <c r="CW171" s="85">
        <f t="shared" ca="1" si="291"/>
        <v>871.37362554051811</v>
      </c>
    </row>
    <row r="172" spans="1:101" x14ac:dyDescent="0.2">
      <c r="A172" s="115">
        <v>169</v>
      </c>
      <c r="B172" s="85">
        <f t="shared" ca="1" si="202"/>
        <v>733.02486705767831</v>
      </c>
      <c r="C172" s="85">
        <f t="shared" ca="1" si="204"/>
        <v>934.35615839664626</v>
      </c>
      <c r="D172" s="85">
        <f t="shared" ca="1" si="205"/>
        <v>915.73154849458126</v>
      </c>
      <c r="E172" s="85">
        <f t="shared" ca="1" si="206"/>
        <v>809.64663608893818</v>
      </c>
      <c r="F172" s="85">
        <f t="shared" ca="1" si="207"/>
        <v>840.86399523139278</v>
      </c>
      <c r="G172" s="85">
        <f t="shared" ca="1" si="208"/>
        <v>926.42437722171928</v>
      </c>
      <c r="H172" s="85">
        <f t="shared" ca="1" si="209"/>
        <v>946.56857434678909</v>
      </c>
      <c r="I172" s="85">
        <f t="shared" ca="1" si="210"/>
        <v>1024.2673721352578</v>
      </c>
      <c r="J172" s="85">
        <f t="shared" ca="1" si="211"/>
        <v>879.52675447272441</v>
      </c>
      <c r="K172" s="85">
        <f t="shared" ca="1" si="212"/>
        <v>975.49986364537233</v>
      </c>
      <c r="L172" s="85">
        <f t="shared" ca="1" si="213"/>
        <v>1021.1278958796369</v>
      </c>
      <c r="M172" s="85">
        <f t="shared" ca="1" si="214"/>
        <v>720.31093292143328</v>
      </c>
      <c r="N172" s="85">
        <f t="shared" ca="1" si="215"/>
        <v>882.58931688440578</v>
      </c>
      <c r="O172" s="85">
        <f t="shared" ca="1" si="216"/>
        <v>878.75338208808671</v>
      </c>
      <c r="P172" s="85">
        <f t="shared" ca="1" si="217"/>
        <v>972.07174342551036</v>
      </c>
      <c r="Q172" s="85">
        <f t="shared" ca="1" si="218"/>
        <v>967.61540259746789</v>
      </c>
      <c r="R172" s="85">
        <f t="shared" ca="1" si="219"/>
        <v>864.47649031676212</v>
      </c>
      <c r="S172" s="85">
        <f t="shared" ca="1" si="220"/>
        <v>949.22215787749963</v>
      </c>
      <c r="T172" s="85">
        <f t="shared" ca="1" si="221"/>
        <v>897.54951716032542</v>
      </c>
      <c r="U172" s="85">
        <f t="shared" ca="1" si="222"/>
        <v>868.53421933378036</v>
      </c>
      <c r="V172" s="85">
        <f t="shared" ca="1" si="223"/>
        <v>1029.4868696959718</v>
      </c>
      <c r="W172" s="85">
        <f t="shared" ca="1" si="224"/>
        <v>931.31895377387093</v>
      </c>
      <c r="X172" s="85">
        <f t="shared" ca="1" si="225"/>
        <v>952.14732367715771</v>
      </c>
      <c r="Y172" s="85">
        <f t="shared" ca="1" si="226"/>
        <v>856.86895362585494</v>
      </c>
      <c r="Z172" s="85">
        <f t="shared" ca="1" si="227"/>
        <v>954.59621041498042</v>
      </c>
      <c r="AA172" s="85">
        <f t="shared" ca="1" si="228"/>
        <v>832.37008795879444</v>
      </c>
      <c r="AB172" s="85">
        <f t="shared" ca="1" si="229"/>
        <v>1110.2966321589254</v>
      </c>
      <c r="AC172" s="85">
        <f t="shared" ca="1" si="230"/>
        <v>950.71381540601885</v>
      </c>
      <c r="AD172" s="85">
        <f t="shared" ca="1" si="231"/>
        <v>1076.9229089894711</v>
      </c>
      <c r="AE172" s="85">
        <f t="shared" ca="1" si="232"/>
        <v>1218.7822039550163</v>
      </c>
      <c r="AF172" s="85">
        <f t="shared" ca="1" si="233"/>
        <v>829.56477887720075</v>
      </c>
      <c r="AG172" s="85">
        <f t="shared" ca="1" si="234"/>
        <v>991.74735022966036</v>
      </c>
      <c r="AH172" s="85">
        <f t="shared" ca="1" si="235"/>
        <v>822.87832471668753</v>
      </c>
      <c r="AI172" s="85">
        <f t="shared" ca="1" si="236"/>
        <v>981.24872654881187</v>
      </c>
      <c r="AJ172" s="85">
        <f t="shared" ca="1" si="237"/>
        <v>1060.5479611729304</v>
      </c>
      <c r="AK172" s="85">
        <f t="shared" ca="1" si="238"/>
        <v>940.48119312553024</v>
      </c>
      <c r="AL172" s="85">
        <f t="shared" ca="1" si="239"/>
        <v>954.43525949126285</v>
      </c>
      <c r="AM172" s="85">
        <f t="shared" ca="1" si="240"/>
        <v>849.43853095777922</v>
      </c>
      <c r="AN172" s="85">
        <f t="shared" ca="1" si="241"/>
        <v>1003.6869620100257</v>
      </c>
      <c r="AO172" s="85">
        <f t="shared" ca="1" si="242"/>
        <v>1194.2015878840371</v>
      </c>
      <c r="AP172" s="85">
        <f t="shared" ca="1" si="243"/>
        <v>1002.6569693409988</v>
      </c>
      <c r="AQ172" s="85">
        <f t="shared" ca="1" si="244"/>
        <v>844.04436619937303</v>
      </c>
      <c r="AR172" s="85">
        <f t="shared" ca="1" si="245"/>
        <v>954.92926086374337</v>
      </c>
      <c r="AS172" s="85">
        <f t="shared" ca="1" si="246"/>
        <v>828.89563033271418</v>
      </c>
      <c r="AT172" s="85">
        <f t="shared" ca="1" si="247"/>
        <v>911.17382197846507</v>
      </c>
      <c r="AU172" s="85">
        <f t="shared" ca="1" si="248"/>
        <v>1013.7638880591444</v>
      </c>
      <c r="AV172" s="85">
        <f t="shared" ca="1" si="249"/>
        <v>963.53458297672387</v>
      </c>
      <c r="AW172" s="85">
        <f t="shared" ca="1" si="250"/>
        <v>971.61763843964104</v>
      </c>
      <c r="AX172" s="85">
        <f t="shared" ca="1" si="251"/>
        <v>1045.1388261289699</v>
      </c>
      <c r="AY172" s="85">
        <f t="shared" ca="1" si="252"/>
        <v>1053.2512660705465</v>
      </c>
      <c r="AZ172" s="85">
        <f t="shared" ca="1" si="253"/>
        <v>982.43532631487437</v>
      </c>
      <c r="BA172" s="85">
        <f t="shared" ca="1" si="254"/>
        <v>1012.7121675797839</v>
      </c>
      <c r="BB172" s="85">
        <f t="shared" ca="1" si="255"/>
        <v>873.04109841949401</v>
      </c>
      <c r="BC172" s="85">
        <f t="shared" ca="1" si="256"/>
        <v>1004.0447604890102</v>
      </c>
      <c r="BD172" s="85">
        <f t="shared" ca="1" si="257"/>
        <v>982.17589871621249</v>
      </c>
      <c r="BE172" s="85">
        <f t="shared" ca="1" si="258"/>
        <v>860.97229298768298</v>
      </c>
      <c r="BF172" s="85">
        <f t="shared" ca="1" si="259"/>
        <v>891.41362543254547</v>
      </c>
      <c r="BG172" s="85">
        <f t="shared" ca="1" si="260"/>
        <v>830.18795364890263</v>
      </c>
      <c r="BH172" s="85">
        <f t="shared" ca="1" si="261"/>
        <v>1042.075036082028</v>
      </c>
      <c r="BI172" s="85">
        <f t="shared" ca="1" si="262"/>
        <v>881.43902234661755</v>
      </c>
      <c r="BJ172" s="85">
        <f t="shared" ca="1" si="263"/>
        <v>973.51547661348422</v>
      </c>
      <c r="BK172" s="85">
        <f t="shared" ca="1" si="264"/>
        <v>906.97741002656051</v>
      </c>
      <c r="BL172" s="85">
        <f t="shared" ca="1" si="265"/>
        <v>878.32531932504764</v>
      </c>
      <c r="BM172" s="85">
        <f t="shared" ca="1" si="266"/>
        <v>863.95465431371952</v>
      </c>
      <c r="BN172" s="85">
        <f t="shared" ca="1" si="203"/>
        <v>1034.4712653195538</v>
      </c>
      <c r="BO172" s="85">
        <f t="shared" ca="1" si="292"/>
        <v>1093.9464657997587</v>
      </c>
      <c r="BP172" s="85">
        <f t="shared" ca="1" si="293"/>
        <v>813.86256089457368</v>
      </c>
      <c r="BQ172" s="85">
        <f t="shared" ca="1" si="294"/>
        <v>946.77875206628732</v>
      </c>
      <c r="BR172" s="85">
        <f t="shared" ca="1" si="295"/>
        <v>819.9410021642492</v>
      </c>
      <c r="BS172" s="85">
        <f t="shared" ca="1" si="296"/>
        <v>978.77078300535197</v>
      </c>
      <c r="BT172" s="85">
        <f t="shared" ca="1" si="297"/>
        <v>1025.4014161031016</v>
      </c>
      <c r="BU172" s="85">
        <f t="shared" ca="1" si="298"/>
        <v>940.84014100832428</v>
      </c>
      <c r="BV172" s="85">
        <f t="shared" ca="1" si="299"/>
        <v>893.0050103196196</v>
      </c>
      <c r="BW172" s="85">
        <f t="shared" ca="1" si="300"/>
        <v>990.06603173523331</v>
      </c>
      <c r="BX172" s="85">
        <f t="shared" ca="1" si="301"/>
        <v>944.4023203048813</v>
      </c>
      <c r="BY172" s="85">
        <f t="shared" ca="1" si="267"/>
        <v>908.51098572847445</v>
      </c>
      <c r="BZ172" s="85">
        <f t="shared" ca="1" si="268"/>
        <v>865.06352311704518</v>
      </c>
      <c r="CA172" s="85">
        <f t="shared" ca="1" si="269"/>
        <v>902.64212851844582</v>
      </c>
      <c r="CB172" s="85">
        <f t="shared" ca="1" si="270"/>
        <v>869.32784454706507</v>
      </c>
      <c r="CC172" s="85">
        <f t="shared" ca="1" si="271"/>
        <v>1025.4129779475134</v>
      </c>
      <c r="CD172" s="85">
        <f t="shared" ca="1" si="272"/>
        <v>1114.7511125159926</v>
      </c>
      <c r="CE172" s="85">
        <f t="shared" ca="1" si="273"/>
        <v>873.65865513679523</v>
      </c>
      <c r="CF172" s="85">
        <f t="shared" ca="1" si="274"/>
        <v>1071.6961719348087</v>
      </c>
      <c r="CG172" s="85">
        <f t="shared" ca="1" si="275"/>
        <v>832.84280319606921</v>
      </c>
      <c r="CH172" s="85">
        <f t="shared" ca="1" si="276"/>
        <v>945.28007452305917</v>
      </c>
      <c r="CI172" s="85">
        <f t="shared" ca="1" si="277"/>
        <v>886.70133739241749</v>
      </c>
      <c r="CJ172" s="85">
        <f t="shared" ca="1" si="278"/>
        <v>843.95677470688156</v>
      </c>
      <c r="CK172" s="85">
        <f t="shared" ca="1" si="279"/>
        <v>900.66033710394947</v>
      </c>
      <c r="CL172" s="85">
        <f t="shared" ca="1" si="280"/>
        <v>855.10647883138233</v>
      </c>
      <c r="CM172" s="85">
        <f t="shared" ca="1" si="281"/>
        <v>1014.560571275609</v>
      </c>
      <c r="CN172" s="85">
        <f t="shared" ca="1" si="282"/>
        <v>801.13424140308643</v>
      </c>
      <c r="CO172" s="85">
        <f t="shared" ca="1" si="283"/>
        <v>855.63870673953852</v>
      </c>
      <c r="CP172" s="85">
        <f t="shared" ca="1" si="284"/>
        <v>1012.4707267670548</v>
      </c>
      <c r="CQ172" s="85">
        <f t="shared" ca="1" si="285"/>
        <v>909.09772495538687</v>
      </c>
      <c r="CR172" s="85">
        <f t="shared" ca="1" si="286"/>
        <v>960.34185585125147</v>
      </c>
      <c r="CS172" s="85">
        <f t="shared" ca="1" si="287"/>
        <v>817.34222745762077</v>
      </c>
      <c r="CT172" s="85">
        <f t="shared" ca="1" si="288"/>
        <v>822.14884839322838</v>
      </c>
      <c r="CU172" s="85">
        <f t="shared" ca="1" si="289"/>
        <v>1225.050084174741</v>
      </c>
      <c r="CV172" s="85">
        <f t="shared" ca="1" si="290"/>
        <v>870.51651224833756</v>
      </c>
      <c r="CW172" s="85">
        <f t="shared" ca="1" si="291"/>
        <v>879.77229203494937</v>
      </c>
    </row>
    <row r="173" spans="1:101" x14ac:dyDescent="0.2">
      <c r="A173" s="115">
        <v>170</v>
      </c>
      <c r="B173" s="85">
        <f t="shared" ca="1" si="202"/>
        <v>735.3645568853708</v>
      </c>
      <c r="C173" s="85">
        <f t="shared" ca="1" si="204"/>
        <v>947.62839732025668</v>
      </c>
      <c r="D173" s="85">
        <f t="shared" ca="1" si="205"/>
        <v>920.42568313100855</v>
      </c>
      <c r="E173" s="85">
        <f t="shared" ca="1" si="206"/>
        <v>825.41141811337206</v>
      </c>
      <c r="F173" s="85">
        <f t="shared" ca="1" si="207"/>
        <v>853.20083904308922</v>
      </c>
      <c r="G173" s="85">
        <f t="shared" ca="1" si="208"/>
        <v>940.69662796641069</v>
      </c>
      <c r="H173" s="85">
        <f t="shared" ca="1" si="209"/>
        <v>961.72231366812616</v>
      </c>
      <c r="I173" s="85">
        <f t="shared" ca="1" si="210"/>
        <v>1030.5194048448059</v>
      </c>
      <c r="J173" s="85">
        <f t="shared" ca="1" si="211"/>
        <v>891.73118644760336</v>
      </c>
      <c r="K173" s="85">
        <f t="shared" ca="1" si="212"/>
        <v>983.99577017962963</v>
      </c>
      <c r="L173" s="85">
        <f t="shared" ca="1" si="213"/>
        <v>1039.8854632859361</v>
      </c>
      <c r="M173" s="85">
        <f t="shared" ca="1" si="214"/>
        <v>738.16567168200277</v>
      </c>
      <c r="N173" s="85">
        <f t="shared" ca="1" si="215"/>
        <v>888.84796450341855</v>
      </c>
      <c r="O173" s="85">
        <f t="shared" ca="1" si="216"/>
        <v>894.28740986850391</v>
      </c>
      <c r="P173" s="85">
        <f t="shared" ca="1" si="217"/>
        <v>994.18162333850069</v>
      </c>
      <c r="Q173" s="85">
        <f t="shared" ca="1" si="218"/>
        <v>975.07227341842099</v>
      </c>
      <c r="R173" s="85">
        <f t="shared" ca="1" si="219"/>
        <v>877.595209840905</v>
      </c>
      <c r="S173" s="85">
        <f t="shared" ca="1" si="220"/>
        <v>942.61768386790027</v>
      </c>
      <c r="T173" s="85">
        <f t="shared" ca="1" si="221"/>
        <v>908.36395382002797</v>
      </c>
      <c r="U173" s="85">
        <f t="shared" ca="1" si="222"/>
        <v>877.84471696806384</v>
      </c>
      <c r="V173" s="85">
        <f t="shared" ca="1" si="223"/>
        <v>1066.7810105907761</v>
      </c>
      <c r="W173" s="85">
        <f t="shared" ca="1" si="224"/>
        <v>940.73840004390877</v>
      </c>
      <c r="X173" s="85">
        <f t="shared" ca="1" si="225"/>
        <v>974.69691986497719</v>
      </c>
      <c r="Y173" s="85">
        <f t="shared" ca="1" si="226"/>
        <v>869.55983716486321</v>
      </c>
      <c r="Z173" s="85">
        <f t="shared" ca="1" si="227"/>
        <v>952.78679539584789</v>
      </c>
      <c r="AA173" s="85">
        <f t="shared" ca="1" si="228"/>
        <v>847.60453194923412</v>
      </c>
      <c r="AB173" s="85">
        <f t="shared" ca="1" si="229"/>
        <v>1134.337480272578</v>
      </c>
      <c r="AC173" s="85">
        <f t="shared" ca="1" si="230"/>
        <v>957.70921730233204</v>
      </c>
      <c r="AD173" s="85">
        <f t="shared" ca="1" si="231"/>
        <v>1103.1244070007467</v>
      </c>
      <c r="AE173" s="85">
        <f t="shared" ca="1" si="232"/>
        <v>1229.5042223724549</v>
      </c>
      <c r="AF173" s="85">
        <f t="shared" ca="1" si="233"/>
        <v>841.77225766980223</v>
      </c>
      <c r="AG173" s="85">
        <f t="shared" ca="1" si="234"/>
        <v>1010.7142053650648</v>
      </c>
      <c r="AH173" s="85">
        <f t="shared" ca="1" si="235"/>
        <v>831.45035310478659</v>
      </c>
      <c r="AI173" s="85">
        <f t="shared" ca="1" si="236"/>
        <v>988.1038423584107</v>
      </c>
      <c r="AJ173" s="85">
        <f t="shared" ca="1" si="237"/>
        <v>1082.9151590223437</v>
      </c>
      <c r="AK173" s="85">
        <f t="shared" ca="1" si="238"/>
        <v>951.68257527328842</v>
      </c>
      <c r="AL173" s="85">
        <f t="shared" ca="1" si="239"/>
        <v>959.35932535269433</v>
      </c>
      <c r="AM173" s="85">
        <f t="shared" ca="1" si="240"/>
        <v>868.29068802475967</v>
      </c>
      <c r="AN173" s="85">
        <f t="shared" ca="1" si="241"/>
        <v>1026.8137894371871</v>
      </c>
      <c r="AO173" s="85">
        <f t="shared" ca="1" si="242"/>
        <v>1201.277357777424</v>
      </c>
      <c r="AP173" s="85">
        <f t="shared" ca="1" si="243"/>
        <v>1015.0292263287408</v>
      </c>
      <c r="AQ173" s="85">
        <f t="shared" ca="1" si="244"/>
        <v>861.40505662986027</v>
      </c>
      <c r="AR173" s="85">
        <f t="shared" ca="1" si="245"/>
        <v>972.43837012962706</v>
      </c>
      <c r="AS173" s="85">
        <f t="shared" ca="1" si="246"/>
        <v>834.47107318187625</v>
      </c>
      <c r="AT173" s="85">
        <f t="shared" ca="1" si="247"/>
        <v>915.38362304937573</v>
      </c>
      <c r="AU173" s="85">
        <f t="shared" ca="1" si="248"/>
        <v>1024.6234873428136</v>
      </c>
      <c r="AV173" s="85">
        <f t="shared" ca="1" si="249"/>
        <v>974.60673565489355</v>
      </c>
      <c r="AW173" s="85">
        <f t="shared" ca="1" si="250"/>
        <v>986.7652126198808</v>
      </c>
      <c r="AX173" s="85">
        <f t="shared" ca="1" si="251"/>
        <v>1053.5896899413024</v>
      </c>
      <c r="AY173" s="85">
        <f t="shared" ca="1" si="252"/>
        <v>1063.5078088351354</v>
      </c>
      <c r="AZ173" s="85">
        <f t="shared" ca="1" si="253"/>
        <v>995.75547996074374</v>
      </c>
      <c r="BA173" s="85">
        <f t="shared" ca="1" si="254"/>
        <v>1022.5603710301658</v>
      </c>
      <c r="BB173" s="85">
        <f t="shared" ca="1" si="255"/>
        <v>880.73416155362145</v>
      </c>
      <c r="BC173" s="85">
        <f t="shared" ca="1" si="256"/>
        <v>1036.9225837232862</v>
      </c>
      <c r="BD173" s="85">
        <f t="shared" ca="1" si="257"/>
        <v>995.93955002682389</v>
      </c>
      <c r="BE173" s="85">
        <f t="shared" ca="1" si="258"/>
        <v>869.46229065917976</v>
      </c>
      <c r="BF173" s="85">
        <f t="shared" ca="1" si="259"/>
        <v>909.08990216820439</v>
      </c>
      <c r="BG173" s="85">
        <f t="shared" ca="1" si="260"/>
        <v>842.02966323304258</v>
      </c>
      <c r="BH173" s="85">
        <f t="shared" ca="1" si="261"/>
        <v>1067.1901882259904</v>
      </c>
      <c r="BI173" s="85">
        <f t="shared" ca="1" si="262"/>
        <v>882.46915633052572</v>
      </c>
      <c r="BJ173" s="85">
        <f t="shared" ca="1" si="263"/>
        <v>992.93789085254059</v>
      </c>
      <c r="BK173" s="85">
        <f t="shared" ca="1" si="264"/>
        <v>915.90219287744026</v>
      </c>
      <c r="BL173" s="85">
        <f t="shared" ca="1" si="265"/>
        <v>890.57303467134921</v>
      </c>
      <c r="BM173" s="85">
        <f t="shared" ca="1" si="266"/>
        <v>875.27392257490033</v>
      </c>
      <c r="BN173" s="85">
        <f t="shared" ca="1" si="203"/>
        <v>1055.0879445403541</v>
      </c>
      <c r="BO173" s="85">
        <f t="shared" ca="1" si="292"/>
        <v>1112.1191642942622</v>
      </c>
      <c r="BP173" s="85">
        <f t="shared" ca="1" si="293"/>
        <v>828.30112483204721</v>
      </c>
      <c r="BQ173" s="85">
        <f t="shared" ca="1" si="294"/>
        <v>939.93256984435254</v>
      </c>
      <c r="BR173" s="85">
        <f t="shared" ca="1" si="295"/>
        <v>823.45547454322036</v>
      </c>
      <c r="BS173" s="85">
        <f t="shared" ca="1" si="296"/>
        <v>986.77873944986982</v>
      </c>
      <c r="BT173" s="85">
        <f t="shared" ca="1" si="297"/>
        <v>1054.123888949925</v>
      </c>
      <c r="BU173" s="85">
        <f t="shared" ca="1" si="298"/>
        <v>947.01737843251499</v>
      </c>
      <c r="BV173" s="85">
        <f t="shared" ca="1" si="299"/>
        <v>898.73837462808228</v>
      </c>
      <c r="BW173" s="85">
        <f t="shared" ca="1" si="300"/>
        <v>1004.5961073730489</v>
      </c>
      <c r="BX173" s="85">
        <f t="shared" ca="1" si="301"/>
        <v>964.69451749023449</v>
      </c>
      <c r="BY173" s="85">
        <f t="shared" ca="1" si="267"/>
        <v>914.78509823565639</v>
      </c>
      <c r="BZ173" s="85">
        <f t="shared" ca="1" si="268"/>
        <v>888.46616718918381</v>
      </c>
      <c r="CA173" s="85">
        <f t="shared" ca="1" si="269"/>
        <v>911.21839201009107</v>
      </c>
      <c r="CB173" s="85">
        <f t="shared" ca="1" si="270"/>
        <v>890.80502657513694</v>
      </c>
      <c r="CC173" s="85">
        <f t="shared" ca="1" si="271"/>
        <v>1033.0112088158262</v>
      </c>
      <c r="CD173" s="85">
        <f t="shared" ca="1" si="272"/>
        <v>1136.6388279520127</v>
      </c>
      <c r="CE173" s="85">
        <f t="shared" ca="1" si="273"/>
        <v>898.338142003553</v>
      </c>
      <c r="CF173" s="85">
        <f t="shared" ca="1" si="274"/>
        <v>1083.1921454160365</v>
      </c>
      <c r="CG173" s="85">
        <f t="shared" ca="1" si="275"/>
        <v>837.27970701551965</v>
      </c>
      <c r="CH173" s="85">
        <f t="shared" ca="1" si="276"/>
        <v>951.93531670845869</v>
      </c>
      <c r="CI173" s="85">
        <f t="shared" ca="1" si="277"/>
        <v>897.06272777404945</v>
      </c>
      <c r="CJ173" s="85">
        <f t="shared" ca="1" si="278"/>
        <v>858.94892414982667</v>
      </c>
      <c r="CK173" s="85">
        <f t="shared" ca="1" si="279"/>
        <v>915.90971701758906</v>
      </c>
      <c r="CL173" s="85">
        <f t="shared" ca="1" si="280"/>
        <v>867.89390409027703</v>
      </c>
      <c r="CM173" s="85">
        <f t="shared" ca="1" si="281"/>
        <v>1026.537551465439</v>
      </c>
      <c r="CN173" s="85">
        <f t="shared" ca="1" si="282"/>
        <v>808.4245097376587</v>
      </c>
      <c r="CO173" s="85">
        <f t="shared" ca="1" si="283"/>
        <v>873.38057045484481</v>
      </c>
      <c r="CP173" s="85">
        <f t="shared" ca="1" si="284"/>
        <v>1030.5982465949035</v>
      </c>
      <c r="CQ173" s="85">
        <f t="shared" ca="1" si="285"/>
        <v>911.41817137317469</v>
      </c>
      <c r="CR173" s="85">
        <f t="shared" ca="1" si="286"/>
        <v>983.73929743958809</v>
      </c>
      <c r="CS173" s="85">
        <f t="shared" ca="1" si="287"/>
        <v>819.14008019659457</v>
      </c>
      <c r="CT173" s="85">
        <f t="shared" ca="1" si="288"/>
        <v>827.60024526521556</v>
      </c>
      <c r="CU173" s="85">
        <f t="shared" ca="1" si="289"/>
        <v>1240.8513888777641</v>
      </c>
      <c r="CV173" s="85">
        <f t="shared" ca="1" si="290"/>
        <v>887.63792745107264</v>
      </c>
      <c r="CW173" s="85">
        <f t="shared" ca="1" si="291"/>
        <v>895.30750472742238</v>
      </c>
    </row>
    <row r="174" spans="1:101" x14ac:dyDescent="0.2">
      <c r="A174" s="115">
        <v>171</v>
      </c>
      <c r="B174" s="85">
        <f t="shared" ca="1" si="202"/>
        <v>745.08489140449797</v>
      </c>
      <c r="C174" s="85">
        <f t="shared" ca="1" si="204"/>
        <v>958.00838802395151</v>
      </c>
      <c r="D174" s="85">
        <f t="shared" ca="1" si="205"/>
        <v>938.5918309192881</v>
      </c>
      <c r="E174" s="85">
        <f t="shared" ca="1" si="206"/>
        <v>835.0144517253957</v>
      </c>
      <c r="F174" s="85">
        <f t="shared" ca="1" si="207"/>
        <v>861.27307314817256</v>
      </c>
      <c r="G174" s="85">
        <f t="shared" ca="1" si="208"/>
        <v>958.27657697335928</v>
      </c>
      <c r="H174" s="85">
        <f t="shared" ca="1" si="209"/>
        <v>961.9346168127887</v>
      </c>
      <c r="I174" s="85">
        <f t="shared" ca="1" si="210"/>
        <v>1058.1603356537225</v>
      </c>
      <c r="J174" s="85">
        <f t="shared" ca="1" si="211"/>
        <v>905.15436606500521</v>
      </c>
      <c r="K174" s="85">
        <f t="shared" ca="1" si="212"/>
        <v>1000.1413144967194</v>
      </c>
      <c r="L174" s="85">
        <f t="shared" ca="1" si="213"/>
        <v>1061.5562433695582</v>
      </c>
      <c r="M174" s="85">
        <f t="shared" ca="1" si="214"/>
        <v>756.07929632549917</v>
      </c>
      <c r="N174" s="85">
        <f t="shared" ca="1" si="215"/>
        <v>903.92896360779127</v>
      </c>
      <c r="O174" s="85">
        <f t="shared" ca="1" si="216"/>
        <v>896.17205214069543</v>
      </c>
      <c r="P174" s="85">
        <f t="shared" ca="1" si="217"/>
        <v>1013.444025011523</v>
      </c>
      <c r="Q174" s="85">
        <f t="shared" ca="1" si="218"/>
        <v>987.37507913101615</v>
      </c>
      <c r="R174" s="85">
        <f t="shared" ca="1" si="219"/>
        <v>910.62087267597451</v>
      </c>
      <c r="S174" s="85">
        <f t="shared" ca="1" si="220"/>
        <v>962.40456659942629</v>
      </c>
      <c r="T174" s="85">
        <f t="shared" ca="1" si="221"/>
        <v>926.78987670158835</v>
      </c>
      <c r="U174" s="85">
        <f t="shared" ca="1" si="222"/>
        <v>884.93279704316024</v>
      </c>
      <c r="V174" s="85">
        <f t="shared" ca="1" si="223"/>
        <v>1088.2463944567517</v>
      </c>
      <c r="W174" s="85">
        <f t="shared" ca="1" si="224"/>
        <v>947.34533544588328</v>
      </c>
      <c r="X174" s="85">
        <f t="shared" ca="1" si="225"/>
        <v>992.81316617591619</v>
      </c>
      <c r="Y174" s="85">
        <f t="shared" ca="1" si="226"/>
        <v>876.51087816576648</v>
      </c>
      <c r="Z174" s="85">
        <f t="shared" ca="1" si="227"/>
        <v>965.99402782567461</v>
      </c>
      <c r="AA174" s="85">
        <f t="shared" ca="1" si="228"/>
        <v>859.71674561853774</v>
      </c>
      <c r="AB174" s="85">
        <f t="shared" ca="1" si="229"/>
        <v>1148.8715241452123</v>
      </c>
      <c r="AC174" s="85">
        <f t="shared" ca="1" si="230"/>
        <v>973.46402304027288</v>
      </c>
      <c r="AD174" s="85">
        <f t="shared" ca="1" si="231"/>
        <v>1119.5813183067828</v>
      </c>
      <c r="AE174" s="85">
        <f t="shared" ca="1" si="232"/>
        <v>1237.2970596280538</v>
      </c>
      <c r="AF174" s="85">
        <f t="shared" ca="1" si="233"/>
        <v>846.48454940458953</v>
      </c>
      <c r="AG174" s="85">
        <f t="shared" ca="1" si="234"/>
        <v>1031.9812272774034</v>
      </c>
      <c r="AH174" s="85">
        <f t="shared" ca="1" si="235"/>
        <v>846.36945834317635</v>
      </c>
      <c r="AI174" s="85">
        <f t="shared" ca="1" si="236"/>
        <v>992.04326907550262</v>
      </c>
      <c r="AJ174" s="85">
        <f t="shared" ca="1" si="237"/>
        <v>1079.1035909277944</v>
      </c>
      <c r="AK174" s="85">
        <f t="shared" ca="1" si="238"/>
        <v>965.88637452185469</v>
      </c>
      <c r="AL174" s="85">
        <f t="shared" ca="1" si="239"/>
        <v>962.17075208648328</v>
      </c>
      <c r="AM174" s="85">
        <f t="shared" ca="1" si="240"/>
        <v>883.02679456984595</v>
      </c>
      <c r="AN174" s="85">
        <f t="shared" ca="1" si="241"/>
        <v>1046.8194680560221</v>
      </c>
      <c r="AO174" s="85">
        <f t="shared" ca="1" si="242"/>
        <v>1225.3030462871486</v>
      </c>
      <c r="AP174" s="85">
        <f t="shared" ca="1" si="243"/>
        <v>1032.3805828569464</v>
      </c>
      <c r="AQ174" s="85">
        <f t="shared" ca="1" si="244"/>
        <v>870.44791747448699</v>
      </c>
      <c r="AR174" s="85">
        <f t="shared" ca="1" si="245"/>
        <v>989.77578672293282</v>
      </c>
      <c r="AS174" s="85">
        <f t="shared" ca="1" si="246"/>
        <v>854.52579911935686</v>
      </c>
      <c r="AT174" s="85">
        <f t="shared" ca="1" si="247"/>
        <v>927.29125582957636</v>
      </c>
      <c r="AU174" s="85">
        <f t="shared" ca="1" si="248"/>
        <v>1040.0789859261699</v>
      </c>
      <c r="AV174" s="85">
        <f t="shared" ca="1" si="249"/>
        <v>982.58277010968663</v>
      </c>
      <c r="AW174" s="85">
        <f t="shared" ca="1" si="250"/>
        <v>1002.9436815456335</v>
      </c>
      <c r="AX174" s="85">
        <f t="shared" ca="1" si="251"/>
        <v>1053.6604250484186</v>
      </c>
      <c r="AY174" s="85">
        <f t="shared" ca="1" si="252"/>
        <v>1076.2194540395865</v>
      </c>
      <c r="AZ174" s="85">
        <f t="shared" ca="1" si="253"/>
        <v>1003.1472027363438</v>
      </c>
      <c r="BA174" s="85">
        <f t="shared" ca="1" si="254"/>
        <v>1034.6387764615515</v>
      </c>
      <c r="BB174" s="85">
        <f t="shared" ca="1" si="255"/>
        <v>900.33786867764047</v>
      </c>
      <c r="BC174" s="85">
        <f t="shared" ca="1" si="256"/>
        <v>1049.8219780505196</v>
      </c>
      <c r="BD174" s="85">
        <f t="shared" ca="1" si="257"/>
        <v>998.69963426331947</v>
      </c>
      <c r="BE174" s="85">
        <f t="shared" ca="1" si="258"/>
        <v>881.59132825263885</v>
      </c>
      <c r="BF174" s="85">
        <f t="shared" ca="1" si="259"/>
        <v>919.45429481476788</v>
      </c>
      <c r="BG174" s="85">
        <f t="shared" ca="1" si="260"/>
        <v>858.74937393474079</v>
      </c>
      <c r="BH174" s="85">
        <f t="shared" ca="1" si="261"/>
        <v>1084.0027450060913</v>
      </c>
      <c r="BI174" s="85">
        <f t="shared" ca="1" si="262"/>
        <v>888.13462457870332</v>
      </c>
      <c r="BJ174" s="85">
        <f t="shared" ca="1" si="263"/>
        <v>998.09355910271347</v>
      </c>
      <c r="BK174" s="85">
        <f t="shared" ca="1" si="264"/>
        <v>933.13238985898988</v>
      </c>
      <c r="BL174" s="85">
        <f t="shared" ca="1" si="265"/>
        <v>915.70215948239331</v>
      </c>
      <c r="BM174" s="85">
        <f t="shared" ca="1" si="266"/>
        <v>896.90580850487777</v>
      </c>
      <c r="BN174" s="85">
        <f t="shared" ca="1" si="203"/>
        <v>1067.7659291445132</v>
      </c>
      <c r="BO174" s="85">
        <f t="shared" ca="1" si="292"/>
        <v>1129.8363129998279</v>
      </c>
      <c r="BP174" s="85">
        <f t="shared" ca="1" si="293"/>
        <v>836.22126096697423</v>
      </c>
      <c r="BQ174" s="85">
        <f t="shared" ca="1" si="294"/>
        <v>948.14801022878271</v>
      </c>
      <c r="BR174" s="85">
        <f t="shared" ca="1" si="295"/>
        <v>835.11574037746163</v>
      </c>
      <c r="BS174" s="85">
        <f t="shared" ca="1" si="296"/>
        <v>1010.456202597465</v>
      </c>
      <c r="BT174" s="85">
        <f t="shared" ca="1" si="297"/>
        <v>1084.7078646263512</v>
      </c>
      <c r="BU174" s="85">
        <f t="shared" ca="1" si="298"/>
        <v>966.85664884354696</v>
      </c>
      <c r="BV174" s="85">
        <f t="shared" ca="1" si="299"/>
        <v>909.19025339750453</v>
      </c>
      <c r="BW174" s="85">
        <f t="shared" ca="1" si="300"/>
        <v>1032.8090496231478</v>
      </c>
      <c r="BX174" s="85">
        <f t="shared" ca="1" si="301"/>
        <v>976.81727020289111</v>
      </c>
      <c r="BY174" s="85">
        <f t="shared" ca="1" si="267"/>
        <v>926.92646977384175</v>
      </c>
      <c r="BZ174" s="85">
        <f t="shared" ca="1" si="268"/>
        <v>905.26658137448851</v>
      </c>
      <c r="CA174" s="85">
        <f t="shared" ca="1" si="269"/>
        <v>933.43290575104925</v>
      </c>
      <c r="CB174" s="85">
        <f t="shared" ca="1" si="270"/>
        <v>893.91313951120458</v>
      </c>
      <c r="CC174" s="85">
        <f t="shared" ca="1" si="271"/>
        <v>1051.3714093402741</v>
      </c>
      <c r="CD174" s="85">
        <f t="shared" ca="1" si="272"/>
        <v>1133.3815339010837</v>
      </c>
      <c r="CE174" s="85">
        <f t="shared" ca="1" si="273"/>
        <v>895.210334658433</v>
      </c>
      <c r="CF174" s="85">
        <f t="shared" ca="1" si="274"/>
        <v>1096.8707400177159</v>
      </c>
      <c r="CG174" s="85">
        <f t="shared" ca="1" si="275"/>
        <v>840.10514092996675</v>
      </c>
      <c r="CH174" s="85">
        <f t="shared" ca="1" si="276"/>
        <v>961.26651897247064</v>
      </c>
      <c r="CI174" s="85">
        <f t="shared" ca="1" si="277"/>
        <v>913.36308647275575</v>
      </c>
      <c r="CJ174" s="85">
        <f t="shared" ca="1" si="278"/>
        <v>877.61550714835209</v>
      </c>
      <c r="CK174" s="85">
        <f t="shared" ca="1" si="279"/>
        <v>915.1525422195981</v>
      </c>
      <c r="CL174" s="85">
        <f t="shared" ca="1" si="280"/>
        <v>890.41484946342541</v>
      </c>
      <c r="CM174" s="85">
        <f t="shared" ca="1" si="281"/>
        <v>1038.6175544008106</v>
      </c>
      <c r="CN174" s="85">
        <f t="shared" ca="1" si="282"/>
        <v>813.76172861585246</v>
      </c>
      <c r="CO174" s="85">
        <f t="shared" ca="1" si="283"/>
        <v>882.05561598219379</v>
      </c>
      <c r="CP174" s="85">
        <f t="shared" ca="1" si="284"/>
        <v>1033.3402980025826</v>
      </c>
      <c r="CQ174" s="85">
        <f t="shared" ca="1" si="285"/>
        <v>935.26960625154743</v>
      </c>
      <c r="CR174" s="85">
        <f t="shared" ca="1" si="286"/>
        <v>998.43961826601912</v>
      </c>
      <c r="CS174" s="85">
        <f t="shared" ca="1" si="287"/>
        <v>831.65126608211995</v>
      </c>
      <c r="CT174" s="85">
        <f t="shared" ca="1" si="288"/>
        <v>836.01474940586286</v>
      </c>
      <c r="CU174" s="85">
        <f t="shared" ca="1" si="289"/>
        <v>1256.6035117121041</v>
      </c>
      <c r="CV174" s="85">
        <f t="shared" ca="1" si="290"/>
        <v>912.15956047283316</v>
      </c>
      <c r="CW174" s="85">
        <f t="shared" ca="1" si="291"/>
        <v>911.56038022832445</v>
      </c>
    </row>
    <row r="175" spans="1:101" x14ac:dyDescent="0.2">
      <c r="A175" s="115">
        <v>172</v>
      </c>
      <c r="B175" s="85">
        <f t="shared" ca="1" si="202"/>
        <v>749.02852725578953</v>
      </c>
      <c r="C175" s="85">
        <f t="shared" ca="1" si="204"/>
        <v>966.46674397651373</v>
      </c>
      <c r="D175" s="85">
        <f t="shared" ca="1" si="205"/>
        <v>942.07547482076666</v>
      </c>
      <c r="E175" s="85">
        <f t="shared" ca="1" si="206"/>
        <v>837.99423358058493</v>
      </c>
      <c r="F175" s="85">
        <f t="shared" ca="1" si="207"/>
        <v>873.45908755072821</v>
      </c>
      <c r="G175" s="85">
        <f t="shared" ca="1" si="208"/>
        <v>971.03185498045491</v>
      </c>
      <c r="H175" s="85">
        <f t="shared" ca="1" si="209"/>
        <v>988.42306999323898</v>
      </c>
      <c r="I175" s="85">
        <f t="shared" ca="1" si="210"/>
        <v>1075.9181770604939</v>
      </c>
      <c r="J175" s="85">
        <f t="shared" ca="1" si="211"/>
        <v>914.45534668131518</v>
      </c>
      <c r="K175" s="85">
        <f t="shared" ca="1" si="212"/>
        <v>1016.5367135312007</v>
      </c>
      <c r="L175" s="85">
        <f t="shared" ca="1" si="213"/>
        <v>1081.5116058637259</v>
      </c>
      <c r="M175" s="85">
        <f t="shared" ca="1" si="214"/>
        <v>767.16187000879233</v>
      </c>
      <c r="N175" s="85">
        <f t="shared" ca="1" si="215"/>
        <v>921.65485043866931</v>
      </c>
      <c r="O175" s="85">
        <f t="shared" ca="1" si="216"/>
        <v>903.75801262685866</v>
      </c>
      <c r="P175" s="85">
        <f t="shared" ca="1" si="217"/>
        <v>1033.005685103082</v>
      </c>
      <c r="Q175" s="85">
        <f t="shared" ca="1" si="218"/>
        <v>998.41357501510754</v>
      </c>
      <c r="R175" s="85">
        <f t="shared" ca="1" si="219"/>
        <v>922.42298287240476</v>
      </c>
      <c r="S175" s="85">
        <f t="shared" ca="1" si="220"/>
        <v>975.80171524853438</v>
      </c>
      <c r="T175" s="85">
        <f t="shared" ca="1" si="221"/>
        <v>936.35339143956674</v>
      </c>
      <c r="U175" s="85">
        <f t="shared" ca="1" si="222"/>
        <v>898.02844248365477</v>
      </c>
      <c r="V175" s="85">
        <f t="shared" ca="1" si="223"/>
        <v>1095.5717475189044</v>
      </c>
      <c r="W175" s="85">
        <f t="shared" ca="1" si="224"/>
        <v>964.32231919017988</v>
      </c>
      <c r="X175" s="85">
        <f t="shared" ca="1" si="225"/>
        <v>1017.5628793382659</v>
      </c>
      <c r="Y175" s="85">
        <f t="shared" ca="1" si="226"/>
        <v>895.69964819944391</v>
      </c>
      <c r="Z175" s="85">
        <f t="shared" ca="1" si="227"/>
        <v>984.90095662068723</v>
      </c>
      <c r="AA175" s="85">
        <f t="shared" ca="1" si="228"/>
        <v>874.46438441677572</v>
      </c>
      <c r="AB175" s="85">
        <f t="shared" ca="1" si="229"/>
        <v>1165.7108188176771</v>
      </c>
      <c r="AC175" s="85">
        <f t="shared" ca="1" si="230"/>
        <v>989.72244394145082</v>
      </c>
      <c r="AD175" s="85">
        <f t="shared" ca="1" si="231"/>
        <v>1140.2037782704615</v>
      </c>
      <c r="AE175" s="85">
        <f t="shared" ca="1" si="232"/>
        <v>1258.9478724759715</v>
      </c>
      <c r="AF175" s="85">
        <f t="shared" ca="1" si="233"/>
        <v>853.93500662873748</v>
      </c>
      <c r="AG175" s="85">
        <f t="shared" ca="1" si="234"/>
        <v>1043.5534062673605</v>
      </c>
      <c r="AH175" s="85">
        <f t="shared" ca="1" si="235"/>
        <v>856.58029508845311</v>
      </c>
      <c r="AI175" s="85">
        <f t="shared" ca="1" si="236"/>
        <v>1007.5583901484223</v>
      </c>
      <c r="AJ175" s="85">
        <f t="shared" ca="1" si="237"/>
        <v>1086.9481615274894</v>
      </c>
      <c r="AK175" s="85">
        <f t="shared" ca="1" si="238"/>
        <v>980.43126218834527</v>
      </c>
      <c r="AL175" s="85">
        <f t="shared" ca="1" si="239"/>
        <v>989.9971742897452</v>
      </c>
      <c r="AM175" s="85">
        <f t="shared" ca="1" si="240"/>
        <v>896.84795303263343</v>
      </c>
      <c r="AN175" s="85">
        <f t="shared" ca="1" si="241"/>
        <v>1056.6072154886911</v>
      </c>
      <c r="AO175" s="85">
        <f t="shared" ca="1" si="242"/>
        <v>1238.9585965826554</v>
      </c>
      <c r="AP175" s="85">
        <f t="shared" ca="1" si="243"/>
        <v>1056.2262835685899</v>
      </c>
      <c r="AQ175" s="85">
        <f t="shared" ca="1" si="244"/>
        <v>881.09625582809349</v>
      </c>
      <c r="AR175" s="85">
        <f t="shared" ca="1" si="245"/>
        <v>996.84419879999996</v>
      </c>
      <c r="AS175" s="85">
        <f t="shared" ca="1" si="246"/>
        <v>859.87371511604033</v>
      </c>
      <c r="AT175" s="85">
        <f t="shared" ca="1" si="247"/>
        <v>931.01723953149929</v>
      </c>
      <c r="AU175" s="85">
        <f t="shared" ca="1" si="248"/>
        <v>1062.7032853113647</v>
      </c>
      <c r="AV175" s="85">
        <f t="shared" ca="1" si="249"/>
        <v>999.49717621823493</v>
      </c>
      <c r="AW175" s="85">
        <f t="shared" ca="1" si="250"/>
        <v>1017.3718182851608</v>
      </c>
      <c r="AX175" s="85">
        <f t="shared" ca="1" si="251"/>
        <v>1069.5802699363644</v>
      </c>
      <c r="AY175" s="85">
        <f t="shared" ca="1" si="252"/>
        <v>1100.1068667477643</v>
      </c>
      <c r="AZ175" s="85">
        <f t="shared" ca="1" si="253"/>
        <v>1019.4282832441806</v>
      </c>
      <c r="BA175" s="85">
        <f t="shared" ca="1" si="254"/>
        <v>1032.6704150873204</v>
      </c>
      <c r="BB175" s="85">
        <f t="shared" ca="1" si="255"/>
        <v>907.99831338218098</v>
      </c>
      <c r="BC175" s="85">
        <f t="shared" ca="1" si="256"/>
        <v>1083.6519102646621</v>
      </c>
      <c r="BD175" s="85">
        <f t="shared" ca="1" si="257"/>
        <v>1014.7722425272686</v>
      </c>
      <c r="BE175" s="85">
        <f t="shared" ca="1" si="258"/>
        <v>893.9940671771476</v>
      </c>
      <c r="BF175" s="85">
        <f t="shared" ca="1" si="259"/>
        <v>929.18913627542383</v>
      </c>
      <c r="BG175" s="85">
        <f t="shared" ca="1" si="260"/>
        <v>862.72517874753498</v>
      </c>
      <c r="BH175" s="85">
        <f t="shared" ca="1" si="261"/>
        <v>1094.323522574922</v>
      </c>
      <c r="BI175" s="85">
        <f t="shared" ca="1" si="262"/>
        <v>897.60753059209026</v>
      </c>
      <c r="BJ175" s="85">
        <f t="shared" ca="1" si="263"/>
        <v>1011.3253343010016</v>
      </c>
      <c r="BK175" s="85">
        <f t="shared" ca="1" si="264"/>
        <v>957.21091269537578</v>
      </c>
      <c r="BL175" s="85">
        <f t="shared" ca="1" si="265"/>
        <v>928.12179112601564</v>
      </c>
      <c r="BM175" s="85">
        <f t="shared" ca="1" si="266"/>
        <v>926.33604567741111</v>
      </c>
      <c r="BN175" s="85">
        <f t="shared" ca="1" si="203"/>
        <v>1082.8374362085999</v>
      </c>
      <c r="BO175" s="85">
        <f t="shared" ca="1" si="292"/>
        <v>1160.8240603679285</v>
      </c>
      <c r="BP175" s="85">
        <f t="shared" ca="1" si="293"/>
        <v>858.73047085556561</v>
      </c>
      <c r="BQ175" s="85">
        <f t="shared" ca="1" si="294"/>
        <v>968.65437174107933</v>
      </c>
      <c r="BR175" s="85">
        <f t="shared" ca="1" si="295"/>
        <v>853.79054040060146</v>
      </c>
      <c r="BS175" s="85">
        <f t="shared" ca="1" si="296"/>
        <v>1029.1841586849991</v>
      </c>
      <c r="BT175" s="85">
        <f t="shared" ca="1" si="297"/>
        <v>1091.99240540541</v>
      </c>
      <c r="BU175" s="85">
        <f t="shared" ca="1" si="298"/>
        <v>971.30219635031517</v>
      </c>
      <c r="BV175" s="85">
        <f t="shared" ca="1" si="299"/>
        <v>928.087512463032</v>
      </c>
      <c r="BW175" s="85">
        <f t="shared" ca="1" si="300"/>
        <v>1051.6174654047968</v>
      </c>
      <c r="BX175" s="85">
        <f t="shared" ca="1" si="301"/>
        <v>992.40833722608886</v>
      </c>
      <c r="BY175" s="85">
        <f t="shared" ca="1" si="267"/>
        <v>934.42776334016503</v>
      </c>
      <c r="BZ175" s="85">
        <f t="shared" ca="1" si="268"/>
        <v>912.27840672773402</v>
      </c>
      <c r="CA175" s="85">
        <f t="shared" ca="1" si="269"/>
        <v>949.36430577997737</v>
      </c>
      <c r="CB175" s="85">
        <f t="shared" ca="1" si="270"/>
        <v>912.00946723699315</v>
      </c>
      <c r="CC175" s="85">
        <f t="shared" ca="1" si="271"/>
        <v>1055.7663144016351</v>
      </c>
      <c r="CD175" s="85">
        <f t="shared" ca="1" si="272"/>
        <v>1154.6626835363218</v>
      </c>
      <c r="CE175" s="85">
        <f t="shared" ca="1" si="273"/>
        <v>907.5311044293843</v>
      </c>
      <c r="CF175" s="85">
        <f t="shared" ca="1" si="274"/>
        <v>1090.4847455037241</v>
      </c>
      <c r="CG175" s="85">
        <f t="shared" ca="1" si="275"/>
        <v>854.66004225828681</v>
      </c>
      <c r="CH175" s="85">
        <f t="shared" ca="1" si="276"/>
        <v>975.6490952370367</v>
      </c>
      <c r="CI175" s="85">
        <f t="shared" ca="1" si="277"/>
        <v>920.69739517247422</v>
      </c>
      <c r="CJ175" s="85">
        <f t="shared" ca="1" si="278"/>
        <v>888.44324720385373</v>
      </c>
      <c r="CK175" s="85">
        <f t="shared" ca="1" si="279"/>
        <v>922.44403608066307</v>
      </c>
      <c r="CL175" s="85">
        <f t="shared" ca="1" si="280"/>
        <v>895.96569403772787</v>
      </c>
      <c r="CM175" s="85">
        <f t="shared" ca="1" si="281"/>
        <v>1052.0024484650221</v>
      </c>
      <c r="CN175" s="85">
        <f t="shared" ca="1" si="282"/>
        <v>827.22322305122213</v>
      </c>
      <c r="CO175" s="85">
        <f t="shared" ca="1" si="283"/>
        <v>897.18907087930711</v>
      </c>
      <c r="CP175" s="85">
        <f t="shared" ca="1" si="284"/>
        <v>1044.3608563829496</v>
      </c>
      <c r="CQ175" s="85">
        <f t="shared" ca="1" si="285"/>
        <v>945.25543092353519</v>
      </c>
      <c r="CR175" s="85">
        <f t="shared" ca="1" si="286"/>
        <v>1011.0441212577533</v>
      </c>
      <c r="CS175" s="85">
        <f t="shared" ca="1" si="287"/>
        <v>845.98350456011985</v>
      </c>
      <c r="CT175" s="85">
        <f t="shared" ca="1" si="288"/>
        <v>854.39201175201879</v>
      </c>
      <c r="CU175" s="85">
        <f t="shared" ca="1" si="289"/>
        <v>1259.4816334903419</v>
      </c>
      <c r="CV175" s="85">
        <f t="shared" ca="1" si="290"/>
        <v>912.37606987937875</v>
      </c>
      <c r="CW175" s="85">
        <f t="shared" ca="1" si="291"/>
        <v>925.52540409825599</v>
      </c>
    </row>
    <row r="176" spans="1:101" x14ac:dyDescent="0.2">
      <c r="A176" s="115">
        <v>173</v>
      </c>
      <c r="B176" s="85">
        <f t="shared" ca="1" si="202"/>
        <v>760.90411563434873</v>
      </c>
      <c r="C176" s="85">
        <f t="shared" ca="1" si="204"/>
        <v>971.89585753467293</v>
      </c>
      <c r="D176" s="85">
        <f t="shared" ca="1" si="205"/>
        <v>961.80657325151947</v>
      </c>
      <c r="E176" s="85">
        <f t="shared" ca="1" si="206"/>
        <v>856.66901572138579</v>
      </c>
      <c r="F176" s="85">
        <f t="shared" ca="1" si="207"/>
        <v>874.94895792850446</v>
      </c>
      <c r="G176" s="85">
        <f t="shared" ca="1" si="208"/>
        <v>981.65281415713162</v>
      </c>
      <c r="H176" s="85">
        <f t="shared" ca="1" si="209"/>
        <v>992.74979457848269</v>
      </c>
      <c r="I176" s="85">
        <f t="shared" ca="1" si="210"/>
        <v>1103.7329503014857</v>
      </c>
      <c r="J176" s="85">
        <f t="shared" ca="1" si="211"/>
        <v>931.39405606553476</v>
      </c>
      <c r="K176" s="85">
        <f t="shared" ca="1" si="212"/>
        <v>1040.494791196453</v>
      </c>
      <c r="L176" s="85">
        <f t="shared" ca="1" si="213"/>
        <v>1094.2111356901705</v>
      </c>
      <c r="M176" s="85">
        <f t="shared" ca="1" si="214"/>
        <v>788.63837053160933</v>
      </c>
      <c r="N176" s="85">
        <f t="shared" ca="1" si="215"/>
        <v>943.52123692452494</v>
      </c>
      <c r="O176" s="85">
        <f t="shared" ca="1" si="216"/>
        <v>914.34673529514134</v>
      </c>
      <c r="P176" s="85">
        <f t="shared" ca="1" si="217"/>
        <v>1053.8028876209351</v>
      </c>
      <c r="Q176" s="85">
        <f t="shared" ca="1" si="218"/>
        <v>1024.1981721075995</v>
      </c>
      <c r="R176" s="85">
        <f t="shared" ca="1" si="219"/>
        <v>941.42695750026576</v>
      </c>
      <c r="S176" s="85">
        <f t="shared" ca="1" si="220"/>
        <v>984.23402709905781</v>
      </c>
      <c r="T176" s="85">
        <f t="shared" ca="1" si="221"/>
        <v>941.03851225459255</v>
      </c>
      <c r="U176" s="85">
        <f t="shared" ca="1" si="222"/>
        <v>914.51940850979543</v>
      </c>
      <c r="V176" s="85">
        <f t="shared" ca="1" si="223"/>
        <v>1113.0784086503531</v>
      </c>
      <c r="W176" s="85">
        <f t="shared" ca="1" si="224"/>
        <v>973.99380944738391</v>
      </c>
      <c r="X176" s="85">
        <f t="shared" ca="1" si="225"/>
        <v>1024.0153121253613</v>
      </c>
      <c r="Y176" s="85">
        <f t="shared" ca="1" si="226"/>
        <v>909.92041267134573</v>
      </c>
      <c r="Z176" s="85">
        <f t="shared" ca="1" si="227"/>
        <v>997.03301581144228</v>
      </c>
      <c r="AA176" s="85">
        <f t="shared" ca="1" si="228"/>
        <v>880.13122479408742</v>
      </c>
      <c r="AB176" s="85">
        <f t="shared" ca="1" si="229"/>
        <v>1187.4257452151282</v>
      </c>
      <c r="AC176" s="85">
        <f t="shared" ca="1" si="230"/>
        <v>998.45280114826414</v>
      </c>
      <c r="AD176" s="85">
        <f t="shared" ca="1" si="231"/>
        <v>1158.5057377917528</v>
      </c>
      <c r="AE176" s="85">
        <f t="shared" ca="1" si="232"/>
        <v>1268.6337952039196</v>
      </c>
      <c r="AF176" s="85">
        <f t="shared" ca="1" si="233"/>
        <v>854.10582242154999</v>
      </c>
      <c r="AG176" s="85">
        <f t="shared" ca="1" si="234"/>
        <v>1059.6280077404679</v>
      </c>
      <c r="AH176" s="85">
        <f t="shared" ca="1" si="235"/>
        <v>874.63339638314801</v>
      </c>
      <c r="AI176" s="85">
        <f t="shared" ca="1" si="236"/>
        <v>1023.6669140848145</v>
      </c>
      <c r="AJ176" s="85">
        <f t="shared" ca="1" si="237"/>
        <v>1091.546226908069</v>
      </c>
      <c r="AK176" s="85">
        <f t="shared" ca="1" si="238"/>
        <v>1002.4683606734329</v>
      </c>
      <c r="AL176" s="85">
        <f t="shared" ca="1" si="239"/>
        <v>999.23143706609324</v>
      </c>
      <c r="AM176" s="85">
        <f t="shared" ca="1" si="240"/>
        <v>908.92582845869936</v>
      </c>
      <c r="AN176" s="85">
        <f t="shared" ca="1" si="241"/>
        <v>1074.6133290715738</v>
      </c>
      <c r="AO176" s="85">
        <f t="shared" ca="1" si="242"/>
        <v>1251.9978494573393</v>
      </c>
      <c r="AP176" s="85">
        <f t="shared" ca="1" si="243"/>
        <v>1069.1254026389124</v>
      </c>
      <c r="AQ176" s="85">
        <f t="shared" ca="1" si="244"/>
        <v>887.27655080123191</v>
      </c>
      <c r="AR176" s="85">
        <f t="shared" ca="1" si="245"/>
        <v>1001.8800798739851</v>
      </c>
      <c r="AS176" s="85">
        <f t="shared" ca="1" si="246"/>
        <v>870.94456557023329</v>
      </c>
      <c r="AT176" s="85">
        <f t="shared" ca="1" si="247"/>
        <v>948.78287175103139</v>
      </c>
      <c r="AU176" s="85">
        <f t="shared" ca="1" si="248"/>
        <v>1070.2689081943261</v>
      </c>
      <c r="AV176" s="85">
        <f t="shared" ca="1" si="249"/>
        <v>1002.3251732656316</v>
      </c>
      <c r="AW176" s="85">
        <f t="shared" ca="1" si="250"/>
        <v>1038.3324170104859</v>
      </c>
      <c r="AX176" s="85">
        <f t="shared" ca="1" si="251"/>
        <v>1085.1348033690697</v>
      </c>
      <c r="AY176" s="85">
        <f t="shared" ca="1" si="252"/>
        <v>1107.6644008336589</v>
      </c>
      <c r="AZ176" s="85">
        <f t="shared" ca="1" si="253"/>
        <v>1028.1373208091534</v>
      </c>
      <c r="BA176" s="85">
        <f t="shared" ca="1" si="254"/>
        <v>1061.0059291032228</v>
      </c>
      <c r="BB176" s="85">
        <f t="shared" ca="1" si="255"/>
        <v>918.76781272740038</v>
      </c>
      <c r="BC176" s="85">
        <f t="shared" ca="1" si="256"/>
        <v>1102.0771459669877</v>
      </c>
      <c r="BD176" s="85">
        <f t="shared" ca="1" si="257"/>
        <v>1022.1426910279379</v>
      </c>
      <c r="BE176" s="85">
        <f t="shared" ca="1" si="258"/>
        <v>908.92968537854279</v>
      </c>
      <c r="BF176" s="85">
        <f t="shared" ca="1" si="259"/>
        <v>935.47865070789248</v>
      </c>
      <c r="BG176" s="85">
        <f t="shared" ca="1" si="260"/>
        <v>870.21154932620982</v>
      </c>
      <c r="BH176" s="85">
        <f t="shared" ca="1" si="261"/>
        <v>1103.6301082142443</v>
      </c>
      <c r="BI176" s="85">
        <f t="shared" ca="1" si="262"/>
        <v>901.6254653054857</v>
      </c>
      <c r="BJ176" s="85">
        <f t="shared" ca="1" si="263"/>
        <v>1016.0159061771109</v>
      </c>
      <c r="BK176" s="85">
        <f t="shared" ca="1" si="264"/>
        <v>960.38751192981522</v>
      </c>
      <c r="BL176" s="85">
        <f t="shared" ca="1" si="265"/>
        <v>949.67138719372792</v>
      </c>
      <c r="BM176" s="85">
        <f t="shared" ca="1" si="266"/>
        <v>932.88915339809728</v>
      </c>
      <c r="BN176" s="85">
        <f t="shared" ca="1" si="203"/>
        <v>1096.2263799086707</v>
      </c>
      <c r="BO176" s="85">
        <f t="shared" ca="1" si="292"/>
        <v>1171.2130108487302</v>
      </c>
      <c r="BP176" s="85">
        <f t="shared" ca="1" si="293"/>
        <v>878.72932916776927</v>
      </c>
      <c r="BQ176" s="85">
        <f t="shared" ca="1" si="294"/>
        <v>985.35736029962436</v>
      </c>
      <c r="BR176" s="85">
        <f t="shared" ca="1" si="295"/>
        <v>858.6985290071076</v>
      </c>
      <c r="BS176" s="85">
        <f t="shared" ca="1" si="296"/>
        <v>1025.5360368745296</v>
      </c>
      <c r="BT176" s="85">
        <f t="shared" ca="1" si="297"/>
        <v>1105.9397229477397</v>
      </c>
      <c r="BU176" s="85">
        <f t="shared" ca="1" si="298"/>
        <v>991.72660883397509</v>
      </c>
      <c r="BV176" s="85">
        <f t="shared" ca="1" si="299"/>
        <v>950.0798656857105</v>
      </c>
      <c r="BW176" s="85">
        <f t="shared" ca="1" si="300"/>
        <v>1068.5245548832124</v>
      </c>
      <c r="BX176" s="85">
        <f t="shared" ca="1" si="301"/>
        <v>998.45542038791382</v>
      </c>
      <c r="BY176" s="85">
        <f t="shared" ca="1" si="267"/>
        <v>942.22321021804783</v>
      </c>
      <c r="BZ176" s="85">
        <f t="shared" ca="1" si="268"/>
        <v>929.5411571769979</v>
      </c>
      <c r="CA176" s="85">
        <f t="shared" ca="1" si="269"/>
        <v>968.89953967120744</v>
      </c>
      <c r="CB176" s="85">
        <f t="shared" ca="1" si="270"/>
        <v>924.84401025220177</v>
      </c>
      <c r="CC176" s="85">
        <f t="shared" ca="1" si="271"/>
        <v>1072.6525975107088</v>
      </c>
      <c r="CD176" s="85">
        <f t="shared" ca="1" si="272"/>
        <v>1176.1502930619029</v>
      </c>
      <c r="CE176" s="85">
        <f t="shared" ca="1" si="273"/>
        <v>921.99423048525148</v>
      </c>
      <c r="CF176" s="85">
        <f t="shared" ca="1" si="274"/>
        <v>1094.5092851037459</v>
      </c>
      <c r="CG176" s="85">
        <f t="shared" ca="1" si="275"/>
        <v>864.19941017626979</v>
      </c>
      <c r="CH176" s="85">
        <f t="shared" ca="1" si="276"/>
        <v>995.82232160745741</v>
      </c>
      <c r="CI176" s="85">
        <f t="shared" ca="1" si="277"/>
        <v>947.12739565664333</v>
      </c>
      <c r="CJ176" s="85">
        <f t="shared" ca="1" si="278"/>
        <v>900.11909729409558</v>
      </c>
      <c r="CK176" s="85">
        <f t="shared" ca="1" si="279"/>
        <v>941.04893289376275</v>
      </c>
      <c r="CL176" s="85">
        <f t="shared" ca="1" si="280"/>
        <v>910.17098449386958</v>
      </c>
      <c r="CM176" s="85">
        <f t="shared" ca="1" si="281"/>
        <v>1079.1005955711209</v>
      </c>
      <c r="CN176" s="85">
        <f t="shared" ca="1" si="282"/>
        <v>835.30737562514787</v>
      </c>
      <c r="CO176" s="85">
        <f t="shared" ca="1" si="283"/>
        <v>910.73424528332453</v>
      </c>
      <c r="CP176" s="85">
        <f t="shared" ca="1" si="284"/>
        <v>1052.8445846235115</v>
      </c>
      <c r="CQ176" s="85">
        <f t="shared" ca="1" si="285"/>
        <v>962.17654631241601</v>
      </c>
      <c r="CR176" s="85">
        <f t="shared" ca="1" si="286"/>
        <v>1026.2849166870856</v>
      </c>
      <c r="CS176" s="85">
        <f t="shared" ca="1" si="287"/>
        <v>863.44867884544544</v>
      </c>
      <c r="CT176" s="85">
        <f t="shared" ca="1" si="288"/>
        <v>866.01450857825728</v>
      </c>
      <c r="CU176" s="85">
        <f t="shared" ca="1" si="289"/>
        <v>1294.7190578645809</v>
      </c>
      <c r="CV176" s="85">
        <f t="shared" ca="1" si="290"/>
        <v>923.97119748078796</v>
      </c>
      <c r="CW176" s="85">
        <f t="shared" ca="1" si="291"/>
        <v>938.92005379854731</v>
      </c>
    </row>
    <row r="177" spans="1:101" x14ac:dyDescent="0.2">
      <c r="A177" s="115">
        <v>174</v>
      </c>
      <c r="B177" s="85">
        <f t="shared" ca="1" si="202"/>
        <v>771.44940213905409</v>
      </c>
      <c r="C177" s="85">
        <f t="shared" ca="1" si="204"/>
        <v>993.70157282633056</v>
      </c>
      <c r="D177" s="85">
        <f t="shared" ca="1" si="205"/>
        <v>972.99851757632405</v>
      </c>
      <c r="E177" s="85">
        <f t="shared" ca="1" si="206"/>
        <v>864.13857044600195</v>
      </c>
      <c r="F177" s="85">
        <f t="shared" ca="1" si="207"/>
        <v>883.50299485004587</v>
      </c>
      <c r="G177" s="85">
        <f t="shared" ca="1" si="208"/>
        <v>995.08153067320643</v>
      </c>
      <c r="H177" s="85">
        <f t="shared" ca="1" si="209"/>
        <v>994.6319439808733</v>
      </c>
      <c r="I177" s="85">
        <f t="shared" ca="1" si="210"/>
        <v>1109.7637056154028</v>
      </c>
      <c r="J177" s="85">
        <f t="shared" ca="1" si="211"/>
        <v>936.89442704691601</v>
      </c>
      <c r="K177" s="85">
        <f t="shared" ca="1" si="212"/>
        <v>1048.6272637199804</v>
      </c>
      <c r="L177" s="85">
        <f t="shared" ca="1" si="213"/>
        <v>1096.0808555359822</v>
      </c>
      <c r="M177" s="85">
        <f t="shared" ca="1" si="214"/>
        <v>802.21578243053091</v>
      </c>
      <c r="N177" s="85">
        <f t="shared" ca="1" si="215"/>
        <v>958.01057187542051</v>
      </c>
      <c r="O177" s="85">
        <f t="shared" ca="1" si="216"/>
        <v>933.61779341309978</v>
      </c>
      <c r="P177" s="85">
        <f t="shared" ca="1" si="217"/>
        <v>1068.3377046409237</v>
      </c>
      <c r="Q177" s="85">
        <f t="shared" ca="1" si="218"/>
        <v>1034.1903560925366</v>
      </c>
      <c r="R177" s="85">
        <f t="shared" ca="1" si="219"/>
        <v>950.86018324485281</v>
      </c>
      <c r="S177" s="85">
        <f t="shared" ca="1" si="220"/>
        <v>987.17186709367866</v>
      </c>
      <c r="T177" s="85">
        <f t="shared" ca="1" si="221"/>
        <v>946.60504121249289</v>
      </c>
      <c r="U177" s="85">
        <f t="shared" ca="1" si="222"/>
        <v>920.32561367880703</v>
      </c>
      <c r="V177" s="85">
        <f t="shared" ca="1" si="223"/>
        <v>1130.6636409813798</v>
      </c>
      <c r="W177" s="85">
        <f t="shared" ca="1" si="224"/>
        <v>980.22769249658484</v>
      </c>
      <c r="X177" s="85">
        <f t="shared" ca="1" si="225"/>
        <v>1039.7089156077886</v>
      </c>
      <c r="Y177" s="85">
        <f t="shared" ca="1" si="226"/>
        <v>925.97909828290369</v>
      </c>
      <c r="Z177" s="85">
        <f t="shared" ca="1" si="227"/>
        <v>1001.9530269443833</v>
      </c>
      <c r="AA177" s="85">
        <f t="shared" ca="1" si="228"/>
        <v>899.2629598441921</v>
      </c>
      <c r="AB177" s="85">
        <f t="shared" ca="1" si="229"/>
        <v>1197.4314664762444</v>
      </c>
      <c r="AC177" s="85">
        <f t="shared" ca="1" si="230"/>
        <v>1003.4059892731319</v>
      </c>
      <c r="AD177" s="85">
        <f t="shared" ca="1" si="231"/>
        <v>1184.7138886630846</v>
      </c>
      <c r="AE177" s="85">
        <f t="shared" ca="1" si="232"/>
        <v>1298.0276593632886</v>
      </c>
      <c r="AF177" s="85">
        <f t="shared" ca="1" si="233"/>
        <v>869.8526197217202</v>
      </c>
      <c r="AG177" s="85">
        <f t="shared" ca="1" si="234"/>
        <v>1079.4690417356994</v>
      </c>
      <c r="AH177" s="85">
        <f t="shared" ca="1" si="235"/>
        <v>880.89257900209941</v>
      </c>
      <c r="AI177" s="85">
        <f t="shared" ca="1" si="236"/>
        <v>1036.4134354843275</v>
      </c>
      <c r="AJ177" s="85">
        <f t="shared" ca="1" si="237"/>
        <v>1109.1428222094983</v>
      </c>
      <c r="AK177" s="85">
        <f t="shared" ca="1" si="238"/>
        <v>1017.5453356336593</v>
      </c>
      <c r="AL177" s="85">
        <f t="shared" ca="1" si="239"/>
        <v>1017.6929202894505</v>
      </c>
      <c r="AM177" s="85">
        <f t="shared" ca="1" si="240"/>
        <v>919.07993915742782</v>
      </c>
      <c r="AN177" s="85">
        <f t="shared" ca="1" si="241"/>
        <v>1077.3090140355068</v>
      </c>
      <c r="AO177" s="85">
        <f t="shared" ca="1" si="242"/>
        <v>1241.2766982031662</v>
      </c>
      <c r="AP177" s="85">
        <f t="shared" ca="1" si="243"/>
        <v>1088.7374232684322</v>
      </c>
      <c r="AQ177" s="85">
        <f t="shared" ca="1" si="244"/>
        <v>901.38744634982129</v>
      </c>
      <c r="AR177" s="85">
        <f t="shared" ca="1" si="245"/>
        <v>1005.721878078401</v>
      </c>
      <c r="AS177" s="85">
        <f t="shared" ca="1" si="246"/>
        <v>880.54648392883155</v>
      </c>
      <c r="AT177" s="85">
        <f t="shared" ca="1" si="247"/>
        <v>966.59541144875436</v>
      </c>
      <c r="AU177" s="85">
        <f t="shared" ca="1" si="248"/>
        <v>1066.9879624342404</v>
      </c>
      <c r="AV177" s="85">
        <f t="shared" ca="1" si="249"/>
        <v>1017.7398921199755</v>
      </c>
      <c r="AW177" s="85">
        <f t="shared" ca="1" si="250"/>
        <v>1067.0230757219713</v>
      </c>
      <c r="AX177" s="85">
        <f t="shared" ca="1" si="251"/>
        <v>1109.4237751719249</v>
      </c>
      <c r="AY177" s="85">
        <f t="shared" ca="1" si="252"/>
        <v>1133.1084939992277</v>
      </c>
      <c r="AZ177" s="85">
        <f t="shared" ca="1" si="253"/>
        <v>1040.5863215473116</v>
      </c>
      <c r="BA177" s="85">
        <f t="shared" ca="1" si="254"/>
        <v>1073.3401235987153</v>
      </c>
      <c r="BB177" s="85">
        <f t="shared" ca="1" si="255"/>
        <v>930.7484226395992</v>
      </c>
      <c r="BC177" s="85">
        <f t="shared" ca="1" si="256"/>
        <v>1113.7050241751554</v>
      </c>
      <c r="BD177" s="85">
        <f t="shared" ca="1" si="257"/>
        <v>1038.586401212222</v>
      </c>
      <c r="BE177" s="85">
        <f t="shared" ca="1" si="258"/>
        <v>919.82200189062576</v>
      </c>
      <c r="BF177" s="85">
        <f t="shared" ca="1" si="259"/>
        <v>943.73814261138602</v>
      </c>
      <c r="BG177" s="85">
        <f t="shared" ca="1" si="260"/>
        <v>878.84149452474946</v>
      </c>
      <c r="BH177" s="85">
        <f t="shared" ca="1" si="261"/>
        <v>1109.8753858486007</v>
      </c>
      <c r="BI177" s="85">
        <f t="shared" ca="1" si="262"/>
        <v>911.43517488378836</v>
      </c>
      <c r="BJ177" s="85">
        <f t="shared" ca="1" si="263"/>
        <v>1037.7492547186262</v>
      </c>
      <c r="BK177" s="85">
        <f t="shared" ca="1" si="264"/>
        <v>966.53037129737868</v>
      </c>
      <c r="BL177" s="85">
        <f t="shared" ca="1" si="265"/>
        <v>951.94083463324353</v>
      </c>
      <c r="BM177" s="85">
        <f t="shared" ca="1" si="266"/>
        <v>941.2318753469483</v>
      </c>
      <c r="BN177" s="85">
        <f t="shared" ca="1" si="203"/>
        <v>1115.4570075364893</v>
      </c>
      <c r="BO177" s="85">
        <f t="shared" ca="1" si="292"/>
        <v>1176.5180730715022</v>
      </c>
      <c r="BP177" s="85">
        <f t="shared" ca="1" si="293"/>
        <v>894.53471268364478</v>
      </c>
      <c r="BQ177" s="85">
        <f t="shared" ca="1" si="294"/>
        <v>1000.2748067152655</v>
      </c>
      <c r="BR177" s="85">
        <f t="shared" ca="1" si="295"/>
        <v>869.5459929105765</v>
      </c>
      <c r="BS177" s="85">
        <f t="shared" ca="1" si="296"/>
        <v>1031.6007721092283</v>
      </c>
      <c r="BT177" s="85">
        <f t="shared" ca="1" si="297"/>
        <v>1134.0946338153517</v>
      </c>
      <c r="BU177" s="85">
        <f t="shared" ca="1" si="298"/>
        <v>1003.9887628480666</v>
      </c>
      <c r="BV177" s="85">
        <f t="shared" ca="1" si="299"/>
        <v>960.61051129831458</v>
      </c>
      <c r="BW177" s="85">
        <f t="shared" ca="1" si="300"/>
        <v>1076.3215008317609</v>
      </c>
      <c r="BX177" s="85">
        <f t="shared" ca="1" si="301"/>
        <v>1026.2390872291146</v>
      </c>
      <c r="BY177" s="85">
        <f t="shared" ca="1" si="267"/>
        <v>950.67150105794065</v>
      </c>
      <c r="BZ177" s="85">
        <f t="shared" ca="1" si="268"/>
        <v>933.28827353289523</v>
      </c>
      <c r="CA177" s="85">
        <f t="shared" ca="1" si="269"/>
        <v>973.3825253242361</v>
      </c>
      <c r="CB177" s="85">
        <f t="shared" ca="1" si="270"/>
        <v>925.82868357140114</v>
      </c>
      <c r="CC177" s="85">
        <f t="shared" ca="1" si="271"/>
        <v>1095.3168403684006</v>
      </c>
      <c r="CD177" s="85">
        <f t="shared" ca="1" si="272"/>
        <v>1201.8477900823018</v>
      </c>
      <c r="CE177" s="85">
        <f t="shared" ca="1" si="273"/>
        <v>932.66182729228899</v>
      </c>
      <c r="CF177" s="85">
        <f t="shared" ca="1" si="274"/>
        <v>1118.4708709815309</v>
      </c>
      <c r="CG177" s="85">
        <f t="shared" ca="1" si="275"/>
        <v>872.36316125567248</v>
      </c>
      <c r="CH177" s="85">
        <f t="shared" ca="1" si="276"/>
        <v>1020.502981152958</v>
      </c>
      <c r="CI177" s="85">
        <f t="shared" ca="1" si="277"/>
        <v>950.43107008303093</v>
      </c>
      <c r="CJ177" s="85">
        <f t="shared" ca="1" si="278"/>
        <v>909.37881873233073</v>
      </c>
      <c r="CK177" s="85">
        <f t="shared" ca="1" si="279"/>
        <v>959.53292652196819</v>
      </c>
      <c r="CL177" s="85">
        <f t="shared" ca="1" si="280"/>
        <v>919.19429741620661</v>
      </c>
      <c r="CM177" s="85">
        <f t="shared" ca="1" si="281"/>
        <v>1103.2831677664039</v>
      </c>
      <c r="CN177" s="85">
        <f t="shared" ca="1" si="282"/>
        <v>839.27614880770807</v>
      </c>
      <c r="CO177" s="85">
        <f t="shared" ca="1" si="283"/>
        <v>921.20207869148328</v>
      </c>
      <c r="CP177" s="85">
        <f t="shared" ca="1" si="284"/>
        <v>1075.2394187490202</v>
      </c>
      <c r="CQ177" s="85">
        <f t="shared" ca="1" si="285"/>
        <v>979.9639241655907</v>
      </c>
      <c r="CR177" s="85">
        <f t="shared" ca="1" si="286"/>
        <v>1054.0567173525826</v>
      </c>
      <c r="CS177" s="85">
        <f t="shared" ca="1" si="287"/>
        <v>877.27575742568126</v>
      </c>
      <c r="CT177" s="85">
        <f t="shared" ca="1" si="288"/>
        <v>876.01527396126016</v>
      </c>
      <c r="CU177" s="85">
        <f t="shared" ca="1" si="289"/>
        <v>1307.62167212135</v>
      </c>
      <c r="CV177" s="85">
        <f t="shared" ca="1" si="290"/>
        <v>932.73885463157819</v>
      </c>
      <c r="CW177" s="85">
        <f t="shared" ca="1" si="291"/>
        <v>962.4787620325576</v>
      </c>
    </row>
    <row r="178" spans="1:101" x14ac:dyDescent="0.2">
      <c r="A178" s="115">
        <v>175</v>
      </c>
      <c r="B178" s="85">
        <f t="shared" ca="1" si="202"/>
        <v>785.99416961034387</v>
      </c>
      <c r="C178" s="85">
        <f t="shared" ca="1" si="204"/>
        <v>1010.2709182949603</v>
      </c>
      <c r="D178" s="85">
        <f t="shared" ca="1" si="205"/>
        <v>986.22033787564362</v>
      </c>
      <c r="E178" s="85">
        <f t="shared" ca="1" si="206"/>
        <v>881.39989440682166</v>
      </c>
      <c r="F178" s="85">
        <f t="shared" ca="1" si="207"/>
        <v>904.43103480199397</v>
      </c>
      <c r="G178" s="85">
        <f t="shared" ca="1" si="208"/>
        <v>1009.1786494389762</v>
      </c>
      <c r="H178" s="85">
        <f t="shared" ca="1" si="209"/>
        <v>1006.1170859706414</v>
      </c>
      <c r="I178" s="85">
        <f t="shared" ca="1" si="210"/>
        <v>1122.0295194145615</v>
      </c>
      <c r="J178" s="85">
        <f t="shared" ca="1" si="211"/>
        <v>947.78020054279523</v>
      </c>
      <c r="K178" s="85">
        <f t="shared" ca="1" si="212"/>
        <v>1082.3245871016391</v>
      </c>
      <c r="L178" s="85">
        <f t="shared" ca="1" si="213"/>
        <v>1103.0646416911961</v>
      </c>
      <c r="M178" s="85">
        <f t="shared" ca="1" si="214"/>
        <v>823.29550077252031</v>
      </c>
      <c r="N178" s="85">
        <f t="shared" ca="1" si="215"/>
        <v>966.36640289967761</v>
      </c>
      <c r="O178" s="85">
        <f t="shared" ca="1" si="216"/>
        <v>952.70110099457099</v>
      </c>
      <c r="P178" s="85">
        <f t="shared" ca="1" si="217"/>
        <v>1096.06389592869</v>
      </c>
      <c r="Q178" s="85">
        <f t="shared" ca="1" si="218"/>
        <v>1052.5870112676978</v>
      </c>
      <c r="R178" s="85">
        <f t="shared" ca="1" si="219"/>
        <v>969.80482495261958</v>
      </c>
      <c r="S178" s="85">
        <f t="shared" ca="1" si="220"/>
        <v>998.30211126006748</v>
      </c>
      <c r="T178" s="85">
        <f t="shared" ca="1" si="221"/>
        <v>955.15128633932011</v>
      </c>
      <c r="U178" s="85">
        <f t="shared" ca="1" si="222"/>
        <v>930.71842872734442</v>
      </c>
      <c r="V178" s="85">
        <f t="shared" ca="1" si="223"/>
        <v>1141.2483215929769</v>
      </c>
      <c r="W178" s="85">
        <f t="shared" ca="1" si="224"/>
        <v>989.17926189667787</v>
      </c>
      <c r="X178" s="85">
        <f t="shared" ca="1" si="225"/>
        <v>1055.3659414122935</v>
      </c>
      <c r="Y178" s="85">
        <f t="shared" ca="1" si="226"/>
        <v>944.5538314403226</v>
      </c>
      <c r="Z178" s="85">
        <f t="shared" ca="1" si="227"/>
        <v>1016.1782626578985</v>
      </c>
      <c r="AA178" s="85">
        <f t="shared" ca="1" si="228"/>
        <v>900.66941145939836</v>
      </c>
      <c r="AB178" s="85">
        <f t="shared" ca="1" si="229"/>
        <v>1205.5201033571589</v>
      </c>
      <c r="AC178" s="85">
        <f t="shared" ca="1" si="230"/>
        <v>1008.3946133989497</v>
      </c>
      <c r="AD178" s="85">
        <f t="shared" ca="1" si="231"/>
        <v>1200.7085785143233</v>
      </c>
      <c r="AE178" s="85">
        <f t="shared" ca="1" si="232"/>
        <v>1310.2823239126778</v>
      </c>
      <c r="AF178" s="85">
        <f t="shared" ca="1" si="233"/>
        <v>879.87589701322815</v>
      </c>
      <c r="AG178" s="85">
        <f t="shared" ca="1" si="234"/>
        <v>1097.8159057351254</v>
      </c>
      <c r="AH178" s="85">
        <f t="shared" ca="1" si="235"/>
        <v>896.131792512468</v>
      </c>
      <c r="AI178" s="85">
        <f t="shared" ca="1" si="236"/>
        <v>1052.2380063467813</v>
      </c>
      <c r="AJ178" s="85">
        <f t="shared" ca="1" si="237"/>
        <v>1116.4122165396848</v>
      </c>
      <c r="AK178" s="85">
        <f t="shared" ca="1" si="238"/>
        <v>1034.9475791384975</v>
      </c>
      <c r="AL178" s="85">
        <f t="shared" ca="1" si="239"/>
        <v>1023.3078616447274</v>
      </c>
      <c r="AM178" s="85">
        <f t="shared" ca="1" si="240"/>
        <v>928.84560861547789</v>
      </c>
      <c r="AN178" s="85">
        <f t="shared" ca="1" si="241"/>
        <v>1090.4028861301201</v>
      </c>
      <c r="AO178" s="85">
        <f t="shared" ca="1" si="242"/>
        <v>1256.8653487597685</v>
      </c>
      <c r="AP178" s="85">
        <f t="shared" ca="1" si="243"/>
        <v>1097.7181918503111</v>
      </c>
      <c r="AQ178" s="85">
        <f t="shared" ca="1" si="244"/>
        <v>918.16607305751029</v>
      </c>
      <c r="AR178" s="85">
        <f t="shared" ca="1" si="245"/>
        <v>1007.3072337606018</v>
      </c>
      <c r="AS178" s="85">
        <f t="shared" ca="1" si="246"/>
        <v>901.83446257567346</v>
      </c>
      <c r="AT178" s="85">
        <f t="shared" ca="1" si="247"/>
        <v>974.14136020966396</v>
      </c>
      <c r="AU178" s="85">
        <f t="shared" ca="1" si="248"/>
        <v>1075.6668877833042</v>
      </c>
      <c r="AV178" s="85">
        <f t="shared" ca="1" si="249"/>
        <v>1041.5039050347482</v>
      </c>
      <c r="AW178" s="85">
        <f t="shared" ca="1" si="250"/>
        <v>1084.7708154728014</v>
      </c>
      <c r="AX178" s="85">
        <f t="shared" ca="1" si="251"/>
        <v>1134.7947029892923</v>
      </c>
      <c r="AY178" s="85">
        <f t="shared" ca="1" si="252"/>
        <v>1145.7778704816853</v>
      </c>
      <c r="AZ178" s="85">
        <f t="shared" ca="1" si="253"/>
        <v>1062.1193582220169</v>
      </c>
      <c r="BA178" s="85">
        <f t="shared" ca="1" si="254"/>
        <v>1087.5852046856585</v>
      </c>
      <c r="BB178" s="85">
        <f t="shared" ca="1" si="255"/>
        <v>953.20479663340461</v>
      </c>
      <c r="BC178" s="85">
        <f t="shared" ca="1" si="256"/>
        <v>1124.0967606745762</v>
      </c>
      <c r="BD178" s="85">
        <f t="shared" ca="1" si="257"/>
        <v>1060.9967165667717</v>
      </c>
      <c r="BE178" s="85">
        <f t="shared" ca="1" si="258"/>
        <v>933.95154488242565</v>
      </c>
      <c r="BF178" s="85">
        <f t="shared" ca="1" si="259"/>
        <v>954.35925191856643</v>
      </c>
      <c r="BG178" s="85">
        <f t="shared" ca="1" si="260"/>
        <v>893.10116265310512</v>
      </c>
      <c r="BH178" s="85">
        <f t="shared" ca="1" si="261"/>
        <v>1123.91644998061</v>
      </c>
      <c r="BI178" s="85">
        <f t="shared" ca="1" si="262"/>
        <v>918.75148954524241</v>
      </c>
      <c r="BJ178" s="85">
        <f t="shared" ca="1" si="263"/>
        <v>1052.8248452979858</v>
      </c>
      <c r="BK178" s="85">
        <f t="shared" ca="1" si="264"/>
        <v>983.7628690494098</v>
      </c>
      <c r="BL178" s="85">
        <f t="shared" ca="1" si="265"/>
        <v>965.49437438439077</v>
      </c>
      <c r="BM178" s="85">
        <f t="shared" ca="1" si="266"/>
        <v>961.34142104344585</v>
      </c>
      <c r="BN178" s="85">
        <f t="shared" ca="1" si="203"/>
        <v>1121.2004233272967</v>
      </c>
      <c r="BO178" s="85">
        <f t="shared" ca="1" si="292"/>
        <v>1195.2599595337047</v>
      </c>
      <c r="BP178" s="85">
        <f t="shared" ca="1" si="293"/>
        <v>916.45952332477509</v>
      </c>
      <c r="BQ178" s="85">
        <f t="shared" ca="1" si="294"/>
        <v>1011.9237421731549</v>
      </c>
      <c r="BR178" s="85">
        <f t="shared" ca="1" si="295"/>
        <v>882.34194474886658</v>
      </c>
      <c r="BS178" s="85">
        <f t="shared" ca="1" si="296"/>
        <v>1045.3690004184414</v>
      </c>
      <c r="BT178" s="85">
        <f t="shared" ca="1" si="297"/>
        <v>1157.037938028104</v>
      </c>
      <c r="BU178" s="85">
        <f t="shared" ca="1" si="298"/>
        <v>1003.2322180819394</v>
      </c>
      <c r="BV178" s="85">
        <f t="shared" ca="1" si="299"/>
        <v>976.60343620320862</v>
      </c>
      <c r="BW178" s="85">
        <f t="shared" ca="1" si="300"/>
        <v>1082.181020487079</v>
      </c>
      <c r="BX178" s="85">
        <f t="shared" ca="1" si="301"/>
        <v>1040.7667646004309</v>
      </c>
      <c r="BY178" s="85">
        <f t="shared" ca="1" si="267"/>
        <v>963.27182470849004</v>
      </c>
      <c r="BZ178" s="85">
        <f t="shared" ca="1" si="268"/>
        <v>952.57372148225363</v>
      </c>
      <c r="CA178" s="85">
        <f t="shared" ca="1" si="269"/>
        <v>995.61814959537219</v>
      </c>
      <c r="CB178" s="85">
        <f t="shared" ca="1" si="270"/>
        <v>936.05571815980841</v>
      </c>
      <c r="CC178" s="85">
        <f t="shared" ca="1" si="271"/>
        <v>1110.6898251031419</v>
      </c>
      <c r="CD178" s="85">
        <f t="shared" ca="1" si="272"/>
        <v>1208.2725707827278</v>
      </c>
      <c r="CE178" s="85">
        <f t="shared" ca="1" si="273"/>
        <v>943.83005416227422</v>
      </c>
      <c r="CF178" s="85">
        <f t="shared" ca="1" si="274"/>
        <v>1122.3471258398577</v>
      </c>
      <c r="CG178" s="85">
        <f t="shared" ca="1" si="275"/>
        <v>887.26784422124399</v>
      </c>
      <c r="CH178" s="85">
        <f t="shared" ca="1" si="276"/>
        <v>1025.6762989971448</v>
      </c>
      <c r="CI178" s="85">
        <f t="shared" ca="1" si="277"/>
        <v>952.05761675424299</v>
      </c>
      <c r="CJ178" s="85">
        <f t="shared" ca="1" si="278"/>
        <v>924.76127547005115</v>
      </c>
      <c r="CK178" s="85">
        <f t="shared" ca="1" si="279"/>
        <v>977.92742841532674</v>
      </c>
      <c r="CL178" s="85">
        <f t="shared" ca="1" si="280"/>
        <v>931.88590489768535</v>
      </c>
      <c r="CM178" s="85">
        <f t="shared" ca="1" si="281"/>
        <v>1113.3971007733094</v>
      </c>
      <c r="CN178" s="85">
        <f t="shared" ca="1" si="282"/>
        <v>844.23927282344448</v>
      </c>
      <c r="CO178" s="85">
        <f t="shared" ca="1" si="283"/>
        <v>928.34151987595169</v>
      </c>
      <c r="CP178" s="85">
        <f t="shared" ca="1" si="284"/>
        <v>1091.8465756466207</v>
      </c>
      <c r="CQ178" s="85">
        <f t="shared" ca="1" si="285"/>
        <v>992.96036332238589</v>
      </c>
      <c r="CR178" s="85">
        <f t="shared" ca="1" si="286"/>
        <v>1057.9413848550143</v>
      </c>
      <c r="CS178" s="85">
        <f t="shared" ca="1" si="287"/>
        <v>893.49720121122778</v>
      </c>
      <c r="CT178" s="85">
        <f t="shared" ca="1" si="288"/>
        <v>885.71020957309042</v>
      </c>
      <c r="CU178" s="85">
        <f t="shared" ca="1" si="289"/>
        <v>1312.7934439463481</v>
      </c>
      <c r="CV178" s="85">
        <f t="shared" ca="1" si="290"/>
        <v>940.60923824546433</v>
      </c>
      <c r="CW178" s="85">
        <f t="shared" ca="1" si="291"/>
        <v>980.98942409610538</v>
      </c>
    </row>
    <row r="179" spans="1:101" x14ac:dyDescent="0.2">
      <c r="A179" s="115">
        <v>176</v>
      </c>
      <c r="B179" s="85">
        <f t="shared" ca="1" si="202"/>
        <v>788.02365763462512</v>
      </c>
      <c r="C179" s="85">
        <f t="shared" ca="1" si="204"/>
        <v>1011.3086028407188</v>
      </c>
      <c r="D179" s="85">
        <f t="shared" ca="1" si="205"/>
        <v>1000.5254241049166</v>
      </c>
      <c r="E179" s="85">
        <f t="shared" ca="1" si="206"/>
        <v>900.39783297711995</v>
      </c>
      <c r="F179" s="85">
        <f t="shared" ca="1" si="207"/>
        <v>917.42486380837158</v>
      </c>
      <c r="G179" s="85">
        <f t="shared" ca="1" si="208"/>
        <v>1008.5905350186615</v>
      </c>
      <c r="H179" s="85">
        <f t="shared" ca="1" si="209"/>
        <v>1024.5254146943155</v>
      </c>
      <c r="I179" s="85">
        <f t="shared" ca="1" si="210"/>
        <v>1150.1672669231696</v>
      </c>
      <c r="J179" s="85">
        <f t="shared" ca="1" si="211"/>
        <v>963.9141421815749</v>
      </c>
      <c r="K179" s="85">
        <f t="shared" ca="1" si="212"/>
        <v>1089.042254271505</v>
      </c>
      <c r="L179" s="85">
        <f t="shared" ca="1" si="213"/>
        <v>1126.5967464228747</v>
      </c>
      <c r="M179" s="85">
        <f t="shared" ca="1" si="214"/>
        <v>836.07720507054978</v>
      </c>
      <c r="N179" s="85">
        <f t="shared" ca="1" si="215"/>
        <v>992.17027920045678</v>
      </c>
      <c r="O179" s="85">
        <f t="shared" ca="1" si="216"/>
        <v>968.07747090690941</v>
      </c>
      <c r="P179" s="85">
        <f t="shared" ca="1" si="217"/>
        <v>1125.9773862229836</v>
      </c>
      <c r="Q179" s="85">
        <f t="shared" ca="1" si="218"/>
        <v>1066.5981699249583</v>
      </c>
      <c r="R179" s="85">
        <f t="shared" ca="1" si="219"/>
        <v>994.16740301984748</v>
      </c>
      <c r="S179" s="85">
        <f t="shared" ca="1" si="220"/>
        <v>1010.518276335656</v>
      </c>
      <c r="T179" s="85">
        <f t="shared" ca="1" si="221"/>
        <v>971.12302152486814</v>
      </c>
      <c r="U179" s="85">
        <f t="shared" ca="1" si="222"/>
        <v>942.31080950429646</v>
      </c>
      <c r="V179" s="85">
        <f t="shared" ca="1" si="223"/>
        <v>1162.7250121504951</v>
      </c>
      <c r="W179" s="85">
        <f t="shared" ca="1" si="224"/>
        <v>993.05845285448993</v>
      </c>
      <c r="X179" s="85">
        <f t="shared" ca="1" si="225"/>
        <v>1093.1443876118915</v>
      </c>
      <c r="Y179" s="85">
        <f t="shared" ca="1" si="226"/>
        <v>953.29564112607966</v>
      </c>
      <c r="Z179" s="85">
        <f t="shared" ca="1" si="227"/>
        <v>1019.130435548762</v>
      </c>
      <c r="AA179" s="85">
        <f t="shared" ca="1" si="228"/>
        <v>920.231671433526</v>
      </c>
      <c r="AB179" s="85">
        <f t="shared" ca="1" si="229"/>
        <v>1232.2385462205525</v>
      </c>
      <c r="AC179" s="85">
        <f t="shared" ca="1" si="230"/>
        <v>1032.4530347455263</v>
      </c>
      <c r="AD179" s="85">
        <f t="shared" ca="1" si="231"/>
        <v>1210.5559174767964</v>
      </c>
      <c r="AE179" s="85">
        <f t="shared" ca="1" si="232"/>
        <v>1329.0999193642535</v>
      </c>
      <c r="AF179" s="85">
        <f t="shared" ca="1" si="233"/>
        <v>892.55925832054777</v>
      </c>
      <c r="AG179" s="85">
        <f t="shared" ca="1" si="234"/>
        <v>1107.1146825683311</v>
      </c>
      <c r="AH179" s="85">
        <f t="shared" ca="1" si="235"/>
        <v>902.04536747630777</v>
      </c>
      <c r="AI179" s="85">
        <f t="shared" ca="1" si="236"/>
        <v>1065.3803074380428</v>
      </c>
      <c r="AJ179" s="85">
        <f t="shared" ca="1" si="237"/>
        <v>1133.8227694150382</v>
      </c>
      <c r="AK179" s="85">
        <f t="shared" ca="1" si="238"/>
        <v>1040.3887218242448</v>
      </c>
      <c r="AL179" s="85">
        <f t="shared" ca="1" si="239"/>
        <v>1036.3192991572453</v>
      </c>
      <c r="AM179" s="85">
        <f t="shared" ca="1" si="240"/>
        <v>939.91382274253442</v>
      </c>
      <c r="AN179" s="85">
        <f t="shared" ca="1" si="241"/>
        <v>1118.4022989436278</v>
      </c>
      <c r="AO179" s="85">
        <f t="shared" ca="1" si="242"/>
        <v>1266.489931351721</v>
      </c>
      <c r="AP179" s="85">
        <f t="shared" ca="1" si="243"/>
        <v>1116.9943687338789</v>
      </c>
      <c r="AQ179" s="85">
        <f t="shared" ca="1" si="244"/>
        <v>922.58622075482526</v>
      </c>
      <c r="AR179" s="85">
        <f t="shared" ca="1" si="245"/>
        <v>1025.2074368718488</v>
      </c>
      <c r="AS179" s="85">
        <f t="shared" ca="1" si="246"/>
        <v>916.0195531136651</v>
      </c>
      <c r="AT179" s="85">
        <f t="shared" ca="1" si="247"/>
        <v>991.34203105644031</v>
      </c>
      <c r="AU179" s="85">
        <f t="shared" ca="1" si="248"/>
        <v>1096.4267732053518</v>
      </c>
      <c r="AV179" s="85">
        <f t="shared" ca="1" si="249"/>
        <v>1059.9860064844004</v>
      </c>
      <c r="AW179" s="85">
        <f t="shared" ca="1" si="250"/>
        <v>1093.6200992175884</v>
      </c>
      <c r="AX179" s="85">
        <f t="shared" ca="1" si="251"/>
        <v>1165.0898792509699</v>
      </c>
      <c r="AY179" s="85">
        <f t="shared" ca="1" si="252"/>
        <v>1162.6310234980911</v>
      </c>
      <c r="AZ179" s="85">
        <f t="shared" ca="1" si="253"/>
        <v>1083.8461399013709</v>
      </c>
      <c r="BA179" s="85">
        <f t="shared" ca="1" si="254"/>
        <v>1119.2475906126042</v>
      </c>
      <c r="BB179" s="85">
        <f t="shared" ca="1" si="255"/>
        <v>974.62391241937939</v>
      </c>
      <c r="BC179" s="85">
        <f t="shared" ca="1" si="256"/>
        <v>1135.3586175320017</v>
      </c>
      <c r="BD179" s="85">
        <f t="shared" ca="1" si="257"/>
        <v>1070.9591466793113</v>
      </c>
      <c r="BE179" s="85">
        <f t="shared" ca="1" si="258"/>
        <v>953.97878492561426</v>
      </c>
      <c r="BF179" s="85">
        <f t="shared" ca="1" si="259"/>
        <v>965.23978302651506</v>
      </c>
      <c r="BG179" s="85">
        <f t="shared" ca="1" si="260"/>
        <v>912.76212949714534</v>
      </c>
      <c r="BH179" s="85">
        <f t="shared" ca="1" si="261"/>
        <v>1138.1835015491934</v>
      </c>
      <c r="BI179" s="85">
        <f t="shared" ca="1" si="262"/>
        <v>935.73786431487451</v>
      </c>
      <c r="BJ179" s="85">
        <f t="shared" ca="1" si="263"/>
        <v>1071.5368017519183</v>
      </c>
      <c r="BK179" s="85">
        <f t="shared" ca="1" si="264"/>
        <v>1000.2594769568672</v>
      </c>
      <c r="BL179" s="85">
        <f t="shared" ca="1" si="265"/>
        <v>969.82943697038945</v>
      </c>
      <c r="BM179" s="85">
        <f t="shared" ca="1" si="266"/>
        <v>979.68468199313827</v>
      </c>
      <c r="BN179" s="85">
        <f t="shared" ca="1" si="203"/>
        <v>1125.281355830246</v>
      </c>
      <c r="BO179" s="85">
        <f t="shared" ca="1" si="292"/>
        <v>1223.298200426796</v>
      </c>
      <c r="BP179" s="85">
        <f t="shared" ca="1" si="293"/>
        <v>933.64139608253163</v>
      </c>
      <c r="BQ179" s="85">
        <f t="shared" ca="1" si="294"/>
        <v>1024.2230963635864</v>
      </c>
      <c r="BR179" s="85">
        <f t="shared" ca="1" si="295"/>
        <v>887.68225395290438</v>
      </c>
      <c r="BS179" s="85">
        <f t="shared" ca="1" si="296"/>
        <v>1066.5244436011972</v>
      </c>
      <c r="BT179" s="85">
        <f t="shared" ca="1" si="297"/>
        <v>1179.952024408253</v>
      </c>
      <c r="BU179" s="85">
        <f t="shared" ca="1" si="298"/>
        <v>1010.6335744448646</v>
      </c>
      <c r="BV179" s="85">
        <f t="shared" ca="1" si="299"/>
        <v>982.38815815663065</v>
      </c>
      <c r="BW179" s="85">
        <f t="shared" ca="1" si="300"/>
        <v>1105.9187675621756</v>
      </c>
      <c r="BX179" s="85">
        <f t="shared" ca="1" si="301"/>
        <v>1058.0578950779379</v>
      </c>
      <c r="BY179" s="85">
        <f t="shared" ca="1" si="267"/>
        <v>975.96772057550982</v>
      </c>
      <c r="BZ179" s="85">
        <f t="shared" ca="1" si="268"/>
        <v>971.55185850855378</v>
      </c>
      <c r="CA179" s="85">
        <f t="shared" ca="1" si="269"/>
        <v>1004.7567989096143</v>
      </c>
      <c r="CB179" s="85">
        <f t="shared" ca="1" si="270"/>
        <v>949.33108834579286</v>
      </c>
      <c r="CC179" s="85">
        <f t="shared" ca="1" si="271"/>
        <v>1122.9546699400078</v>
      </c>
      <c r="CD179" s="85">
        <f t="shared" ca="1" si="272"/>
        <v>1224.0494793984649</v>
      </c>
      <c r="CE179" s="85">
        <f t="shared" ca="1" si="273"/>
        <v>951.63880157271899</v>
      </c>
      <c r="CF179" s="85">
        <f t="shared" ca="1" si="274"/>
        <v>1136.6121853059799</v>
      </c>
      <c r="CG179" s="85">
        <f t="shared" ca="1" si="275"/>
        <v>898.94549726450873</v>
      </c>
      <c r="CH179" s="85">
        <f t="shared" ca="1" si="276"/>
        <v>1045.3816169349118</v>
      </c>
      <c r="CI179" s="85">
        <f t="shared" ca="1" si="277"/>
        <v>969.89303444644895</v>
      </c>
      <c r="CJ179" s="85">
        <f t="shared" ca="1" si="278"/>
        <v>944.64593082554518</v>
      </c>
      <c r="CK179" s="85">
        <f t="shared" ca="1" si="279"/>
        <v>988.48689526012743</v>
      </c>
      <c r="CL179" s="85">
        <f t="shared" ca="1" si="280"/>
        <v>944.56136620454708</v>
      </c>
      <c r="CM179" s="85">
        <f t="shared" ca="1" si="281"/>
        <v>1125.8820763344984</v>
      </c>
      <c r="CN179" s="85">
        <f t="shared" ca="1" si="282"/>
        <v>854.11166039087743</v>
      </c>
      <c r="CO179" s="85">
        <f t="shared" ca="1" si="283"/>
        <v>942.15100417882309</v>
      </c>
      <c r="CP179" s="85">
        <f t="shared" ca="1" si="284"/>
        <v>1113.9527151213351</v>
      </c>
      <c r="CQ179" s="85">
        <f t="shared" ca="1" si="285"/>
        <v>1006.4526316089408</v>
      </c>
      <c r="CR179" s="85">
        <f t="shared" ca="1" si="286"/>
        <v>1058.0365455392416</v>
      </c>
      <c r="CS179" s="85">
        <f t="shared" ca="1" si="287"/>
        <v>897.18413362414606</v>
      </c>
      <c r="CT179" s="85">
        <f t="shared" ca="1" si="288"/>
        <v>894.52058889405112</v>
      </c>
      <c r="CU179" s="85">
        <f t="shared" ca="1" si="289"/>
        <v>1317.3501908992025</v>
      </c>
      <c r="CV179" s="85">
        <f t="shared" ca="1" si="290"/>
        <v>948.33942575515152</v>
      </c>
      <c r="CW179" s="85">
        <f t="shared" ca="1" si="291"/>
        <v>985.21964740900432</v>
      </c>
    </row>
    <row r="180" spans="1:101" x14ac:dyDescent="0.2">
      <c r="A180" s="115">
        <v>177</v>
      </c>
      <c r="B180" s="85">
        <f t="shared" ca="1" si="202"/>
        <v>801.11015092791672</v>
      </c>
      <c r="C180" s="85">
        <f t="shared" ca="1" si="204"/>
        <v>1017.0560450688911</v>
      </c>
      <c r="D180" s="85">
        <f t="shared" ca="1" si="205"/>
        <v>1021.2723144979948</v>
      </c>
      <c r="E180" s="85">
        <f t="shared" ca="1" si="206"/>
        <v>911.27574026401351</v>
      </c>
      <c r="F180" s="85">
        <f t="shared" ca="1" si="207"/>
        <v>936.93851744959056</v>
      </c>
      <c r="G180" s="85">
        <f t="shared" ca="1" si="208"/>
        <v>1030.7006494412778</v>
      </c>
      <c r="H180" s="85">
        <f t="shared" ca="1" si="209"/>
        <v>1040.6919809631809</v>
      </c>
      <c r="I180" s="85">
        <f t="shared" ca="1" si="210"/>
        <v>1173.6978682138008</v>
      </c>
      <c r="J180" s="85">
        <f t="shared" ca="1" si="211"/>
        <v>982.18249863098117</v>
      </c>
      <c r="K180" s="85">
        <f t="shared" ca="1" si="212"/>
        <v>1100.7859947108734</v>
      </c>
      <c r="L180" s="85">
        <f t="shared" ca="1" si="213"/>
        <v>1137.074992861448</v>
      </c>
      <c r="M180" s="85">
        <f t="shared" ca="1" si="214"/>
        <v>848.82315685411618</v>
      </c>
      <c r="N180" s="85">
        <f t="shared" ca="1" si="215"/>
        <v>1017.9851292065541</v>
      </c>
      <c r="O180" s="85">
        <f t="shared" ca="1" si="216"/>
        <v>970.40892479752233</v>
      </c>
      <c r="P180" s="85">
        <f t="shared" ca="1" si="217"/>
        <v>1132.7645844214533</v>
      </c>
      <c r="Q180" s="85">
        <f t="shared" ca="1" si="218"/>
        <v>1072.9014102025762</v>
      </c>
      <c r="R180" s="85">
        <f t="shared" ca="1" si="219"/>
        <v>1015.4718478869228</v>
      </c>
      <c r="S180" s="85">
        <f t="shared" ca="1" si="220"/>
        <v>1023.187280715039</v>
      </c>
      <c r="T180" s="85">
        <f t="shared" ca="1" si="221"/>
        <v>988.1708103917847</v>
      </c>
      <c r="U180" s="85">
        <f t="shared" ca="1" si="222"/>
        <v>948.81453843452789</v>
      </c>
      <c r="V180" s="85">
        <f t="shared" ca="1" si="223"/>
        <v>1170.1331959384381</v>
      </c>
      <c r="W180" s="85">
        <f t="shared" ca="1" si="224"/>
        <v>1003.5186700824618</v>
      </c>
      <c r="X180" s="85">
        <f t="shared" ca="1" si="225"/>
        <v>1095.3455763320087</v>
      </c>
      <c r="Y180" s="85">
        <f t="shared" ca="1" si="226"/>
        <v>964.69207020466149</v>
      </c>
      <c r="Z180" s="85">
        <f t="shared" ca="1" si="227"/>
        <v>1030.064502304298</v>
      </c>
      <c r="AA180" s="85">
        <f t="shared" ca="1" si="228"/>
        <v>948.57946138683735</v>
      </c>
      <c r="AB180" s="85">
        <f t="shared" ca="1" si="229"/>
        <v>1255.6629938268509</v>
      </c>
      <c r="AC180" s="85">
        <f t="shared" ca="1" si="230"/>
        <v>1046.9463056574418</v>
      </c>
      <c r="AD180" s="85">
        <f t="shared" ca="1" si="231"/>
        <v>1225.4388426048563</v>
      </c>
      <c r="AE180" s="85">
        <f t="shared" ca="1" si="232"/>
        <v>1351.7111382268281</v>
      </c>
      <c r="AF180" s="85">
        <f t="shared" ca="1" si="233"/>
        <v>897.67210450132393</v>
      </c>
      <c r="AG180" s="85">
        <f t="shared" ca="1" si="234"/>
        <v>1129.7914954854659</v>
      </c>
      <c r="AH180" s="85">
        <f t="shared" ca="1" si="235"/>
        <v>906.71156553929472</v>
      </c>
      <c r="AI180" s="85">
        <f t="shared" ca="1" si="236"/>
        <v>1069.5125805138043</v>
      </c>
      <c r="AJ180" s="85">
        <f t="shared" ca="1" si="237"/>
        <v>1148.2449139731327</v>
      </c>
      <c r="AK180" s="85">
        <f t="shared" ca="1" si="238"/>
        <v>1046.1832879166727</v>
      </c>
      <c r="AL180" s="85">
        <f t="shared" ca="1" si="239"/>
        <v>1053.019748981055</v>
      </c>
      <c r="AM180" s="85">
        <f t="shared" ca="1" si="240"/>
        <v>944.26551783473587</v>
      </c>
      <c r="AN180" s="85">
        <f t="shared" ca="1" si="241"/>
        <v>1139.0438779029334</v>
      </c>
      <c r="AO180" s="85">
        <f t="shared" ca="1" si="242"/>
        <v>1263.689997468206</v>
      </c>
      <c r="AP180" s="85">
        <f t="shared" ca="1" si="243"/>
        <v>1157.6667699867462</v>
      </c>
      <c r="AQ180" s="85">
        <f t="shared" ca="1" si="244"/>
        <v>929.82881541311667</v>
      </c>
      <c r="AR180" s="85">
        <f t="shared" ca="1" si="245"/>
        <v>1036.8830496924079</v>
      </c>
      <c r="AS180" s="85">
        <f t="shared" ca="1" si="246"/>
        <v>929.27213510651973</v>
      </c>
      <c r="AT180" s="85">
        <f t="shared" ca="1" si="247"/>
        <v>1006.260048659717</v>
      </c>
      <c r="AU180" s="85">
        <f t="shared" ca="1" si="248"/>
        <v>1108.0214645642445</v>
      </c>
      <c r="AV180" s="85">
        <f t="shared" ca="1" si="249"/>
        <v>1085.2960900813168</v>
      </c>
      <c r="AW180" s="85">
        <f t="shared" ca="1" si="250"/>
        <v>1116.1236803588865</v>
      </c>
      <c r="AX180" s="85">
        <f t="shared" ca="1" si="251"/>
        <v>1191.9016875047778</v>
      </c>
      <c r="AY180" s="85">
        <f t="shared" ca="1" si="252"/>
        <v>1184.6988015007371</v>
      </c>
      <c r="AZ180" s="85">
        <f t="shared" ca="1" si="253"/>
        <v>1095.9980825000541</v>
      </c>
      <c r="BA180" s="85">
        <f t="shared" ca="1" si="254"/>
        <v>1130.3197950693591</v>
      </c>
      <c r="BB180" s="85">
        <f t="shared" ca="1" si="255"/>
        <v>987.4018131302447</v>
      </c>
      <c r="BC180" s="85">
        <f t="shared" ca="1" si="256"/>
        <v>1166.8999125362532</v>
      </c>
      <c r="BD180" s="85">
        <f t="shared" ca="1" si="257"/>
        <v>1098.8853171631822</v>
      </c>
      <c r="BE180" s="85">
        <f t="shared" ca="1" si="258"/>
        <v>963.4039831770159</v>
      </c>
      <c r="BF180" s="85">
        <f t="shared" ca="1" si="259"/>
        <v>979.56964520987196</v>
      </c>
      <c r="BG180" s="85">
        <f t="shared" ca="1" si="260"/>
        <v>923.85270586820445</v>
      </c>
      <c r="BH180" s="85">
        <f t="shared" ca="1" si="261"/>
        <v>1151.0350960050712</v>
      </c>
      <c r="BI180" s="85">
        <f t="shared" ca="1" si="262"/>
        <v>942.53679467395068</v>
      </c>
      <c r="BJ180" s="85">
        <f t="shared" ca="1" si="263"/>
        <v>1085.2549322471027</v>
      </c>
      <c r="BK180" s="85">
        <f t="shared" ca="1" si="264"/>
        <v>1018.2137420516514</v>
      </c>
      <c r="BL180" s="85">
        <f t="shared" ca="1" si="265"/>
        <v>978.86836730920072</v>
      </c>
      <c r="BM180" s="85">
        <f t="shared" ca="1" si="266"/>
        <v>1000.2282364034417</v>
      </c>
      <c r="BN180" s="85">
        <f t="shared" ca="1" si="203"/>
        <v>1136.1001928822002</v>
      </c>
      <c r="BO180" s="85">
        <f t="shared" ca="1" si="292"/>
        <v>1223.1152468497457</v>
      </c>
      <c r="BP180" s="85">
        <f t="shared" ca="1" si="293"/>
        <v>956.70606943193536</v>
      </c>
      <c r="BQ180" s="85">
        <f t="shared" ca="1" si="294"/>
        <v>1036.4958876038961</v>
      </c>
      <c r="BR180" s="85">
        <f t="shared" ca="1" si="295"/>
        <v>910.10812660676379</v>
      </c>
      <c r="BS180" s="85">
        <f t="shared" ca="1" si="296"/>
        <v>1077.7045396644096</v>
      </c>
      <c r="BT180" s="85">
        <f t="shared" ca="1" si="297"/>
        <v>1195.7470663847851</v>
      </c>
      <c r="BU180" s="85">
        <f t="shared" ca="1" si="298"/>
        <v>1009.4477607971968</v>
      </c>
      <c r="BV180" s="85">
        <f t="shared" ca="1" si="299"/>
        <v>989.28896885606036</v>
      </c>
      <c r="BW180" s="85">
        <f t="shared" ca="1" si="300"/>
        <v>1117.9443205501163</v>
      </c>
      <c r="BX180" s="85">
        <f t="shared" ca="1" si="301"/>
        <v>1074.5828509433729</v>
      </c>
      <c r="BY180" s="85">
        <f t="shared" ca="1" si="267"/>
        <v>989.43859178154958</v>
      </c>
      <c r="BZ180" s="85">
        <f t="shared" ca="1" si="268"/>
        <v>981.46943119692844</v>
      </c>
      <c r="CA180" s="85">
        <f t="shared" ca="1" si="269"/>
        <v>1019.0162193086265</v>
      </c>
      <c r="CB180" s="85">
        <f t="shared" ca="1" si="270"/>
        <v>949.82553075047429</v>
      </c>
      <c r="CC180" s="85">
        <f t="shared" ca="1" si="271"/>
        <v>1138.0592510704121</v>
      </c>
      <c r="CD180" s="85">
        <f t="shared" ca="1" si="272"/>
        <v>1252.3285900454594</v>
      </c>
      <c r="CE180" s="85">
        <f t="shared" ca="1" si="273"/>
        <v>970.86687597009131</v>
      </c>
      <c r="CF180" s="85">
        <f t="shared" ca="1" si="274"/>
        <v>1137.6453960863821</v>
      </c>
      <c r="CG180" s="85">
        <f t="shared" ca="1" si="275"/>
        <v>908.28992563837596</v>
      </c>
      <c r="CH180" s="85">
        <f t="shared" ca="1" si="276"/>
        <v>1062.5181140676984</v>
      </c>
      <c r="CI180" s="85">
        <f t="shared" ca="1" si="277"/>
        <v>981.08997704340618</v>
      </c>
      <c r="CJ180" s="85">
        <f t="shared" ca="1" si="278"/>
        <v>957.30802268306275</v>
      </c>
      <c r="CK180" s="85">
        <f t="shared" ca="1" si="279"/>
        <v>994.75096988105167</v>
      </c>
      <c r="CL180" s="85">
        <f t="shared" ca="1" si="280"/>
        <v>947.61470695257344</v>
      </c>
      <c r="CM180" s="85">
        <f t="shared" ca="1" si="281"/>
        <v>1134.831047853017</v>
      </c>
      <c r="CN180" s="85">
        <f t="shared" ca="1" si="282"/>
        <v>862.84995623207953</v>
      </c>
      <c r="CO180" s="85">
        <f t="shared" ca="1" si="283"/>
        <v>964.13074585009792</v>
      </c>
      <c r="CP180" s="85">
        <f t="shared" ca="1" si="284"/>
        <v>1133.6274570140786</v>
      </c>
      <c r="CQ180" s="85">
        <f t="shared" ca="1" si="285"/>
        <v>1017.727490541384</v>
      </c>
      <c r="CR180" s="85">
        <f t="shared" ca="1" si="286"/>
        <v>1062.8510342963439</v>
      </c>
      <c r="CS180" s="85">
        <f t="shared" ca="1" si="287"/>
        <v>914.24007713769515</v>
      </c>
      <c r="CT180" s="85">
        <f t="shared" ca="1" si="288"/>
        <v>907.85181150434744</v>
      </c>
      <c r="CU180" s="85">
        <f t="shared" ca="1" si="289"/>
        <v>1341.1361078451189</v>
      </c>
      <c r="CV180" s="85">
        <f t="shared" ca="1" si="290"/>
        <v>967.72496992566062</v>
      </c>
      <c r="CW180" s="85">
        <f t="shared" ca="1" si="291"/>
        <v>1003.064696863132</v>
      </c>
    </row>
    <row r="181" spans="1:101" x14ac:dyDescent="0.2">
      <c r="A181" s="115">
        <v>178</v>
      </c>
      <c r="B181" s="85">
        <f t="shared" ca="1" si="202"/>
        <v>808.57248529646108</v>
      </c>
      <c r="C181" s="85">
        <f t="shared" ca="1" si="204"/>
        <v>1024.0691686435525</v>
      </c>
      <c r="D181" s="85">
        <f t="shared" ca="1" si="205"/>
        <v>1037.370302609</v>
      </c>
      <c r="E181" s="85">
        <f t="shared" ca="1" si="206"/>
        <v>925.19041958517391</v>
      </c>
      <c r="F181" s="85">
        <f t="shared" ca="1" si="207"/>
        <v>948.70699997065901</v>
      </c>
      <c r="G181" s="85">
        <f t="shared" ca="1" si="208"/>
        <v>1051.4575950946576</v>
      </c>
      <c r="H181" s="85">
        <f t="shared" ca="1" si="209"/>
        <v>1044.043329716056</v>
      </c>
      <c r="I181" s="85">
        <f t="shared" ca="1" si="210"/>
        <v>1174.8329956666519</v>
      </c>
      <c r="J181" s="85">
        <f t="shared" ca="1" si="211"/>
        <v>993.35028247876915</v>
      </c>
      <c r="K181" s="85">
        <f t="shared" ca="1" si="212"/>
        <v>1117.7166356309228</v>
      </c>
      <c r="L181" s="85">
        <f t="shared" ca="1" si="213"/>
        <v>1153.1691969623373</v>
      </c>
      <c r="M181" s="85">
        <f t="shared" ca="1" si="214"/>
        <v>860.07089897504864</v>
      </c>
      <c r="N181" s="85">
        <f t="shared" ca="1" si="215"/>
        <v>1021.3324325982078</v>
      </c>
      <c r="O181" s="85">
        <f t="shared" ca="1" si="216"/>
        <v>979.59849097431527</v>
      </c>
      <c r="P181" s="85">
        <f t="shared" ca="1" si="217"/>
        <v>1138.1804195900493</v>
      </c>
      <c r="Q181" s="85">
        <f t="shared" ca="1" si="218"/>
        <v>1077.1515982401218</v>
      </c>
      <c r="R181" s="85">
        <f t="shared" ca="1" si="219"/>
        <v>1022.1094433938036</v>
      </c>
      <c r="S181" s="85">
        <f t="shared" ca="1" si="220"/>
        <v>1036.4088744535411</v>
      </c>
      <c r="T181" s="85">
        <f t="shared" ca="1" si="221"/>
        <v>995.430171265848</v>
      </c>
      <c r="U181" s="85">
        <f t="shared" ca="1" si="222"/>
        <v>946.6708137048339</v>
      </c>
      <c r="V181" s="85">
        <f t="shared" ca="1" si="223"/>
        <v>1175.9146955402962</v>
      </c>
      <c r="W181" s="85">
        <f t="shared" ca="1" si="224"/>
        <v>1015.257433734349</v>
      </c>
      <c r="X181" s="85">
        <f t="shared" ca="1" si="225"/>
        <v>1100.595869912524</v>
      </c>
      <c r="Y181" s="85">
        <f t="shared" ca="1" si="226"/>
        <v>979.07574858180101</v>
      </c>
      <c r="Z181" s="85">
        <f t="shared" ca="1" si="227"/>
        <v>1049.724837567222</v>
      </c>
      <c r="AA181" s="85">
        <f t="shared" ca="1" si="228"/>
        <v>954.74849867351634</v>
      </c>
      <c r="AB181" s="85">
        <f t="shared" ca="1" si="229"/>
        <v>1262.508449706821</v>
      </c>
      <c r="AC181" s="85">
        <f t="shared" ca="1" si="230"/>
        <v>1059.6522238388982</v>
      </c>
      <c r="AD181" s="85">
        <f t="shared" ca="1" si="231"/>
        <v>1260.0601164610423</v>
      </c>
      <c r="AE181" s="85">
        <f t="shared" ca="1" si="232"/>
        <v>1362.336512290758</v>
      </c>
      <c r="AF181" s="85">
        <f t="shared" ca="1" si="233"/>
        <v>913.76732602602112</v>
      </c>
      <c r="AG181" s="85">
        <f t="shared" ca="1" si="234"/>
        <v>1139.0849821207466</v>
      </c>
      <c r="AH181" s="85">
        <f t="shared" ca="1" si="235"/>
        <v>924.67942648831968</v>
      </c>
      <c r="AI181" s="85">
        <f t="shared" ca="1" si="236"/>
        <v>1083.5848367095552</v>
      </c>
      <c r="AJ181" s="85">
        <f t="shared" ca="1" si="237"/>
        <v>1164.6776685705802</v>
      </c>
      <c r="AK181" s="85">
        <f t="shared" ca="1" si="238"/>
        <v>1047.6130182693378</v>
      </c>
      <c r="AL181" s="85">
        <f t="shared" ca="1" si="239"/>
        <v>1065.4936503445867</v>
      </c>
      <c r="AM181" s="85">
        <f t="shared" ca="1" si="240"/>
        <v>961.51880657656602</v>
      </c>
      <c r="AN181" s="85">
        <f t="shared" ca="1" si="241"/>
        <v>1154.3386295752816</v>
      </c>
      <c r="AO181" s="85">
        <f t="shared" ca="1" si="242"/>
        <v>1278.7792793372887</v>
      </c>
      <c r="AP181" s="85">
        <f t="shared" ca="1" si="243"/>
        <v>1183.1086720623116</v>
      </c>
      <c r="AQ181" s="85">
        <f t="shared" ca="1" si="244"/>
        <v>954.26461056488267</v>
      </c>
      <c r="AR181" s="85">
        <f t="shared" ca="1" si="245"/>
        <v>1045.9311062281881</v>
      </c>
      <c r="AS181" s="85">
        <f t="shared" ca="1" si="246"/>
        <v>950.49726913593258</v>
      </c>
      <c r="AT181" s="85">
        <f t="shared" ca="1" si="247"/>
        <v>1030.2627364510697</v>
      </c>
      <c r="AU181" s="85">
        <f t="shared" ca="1" si="248"/>
        <v>1122.6339174005782</v>
      </c>
      <c r="AV181" s="85">
        <f t="shared" ca="1" si="249"/>
        <v>1112.7195604613805</v>
      </c>
      <c r="AW181" s="85">
        <f t="shared" ca="1" si="250"/>
        <v>1125.9823347617616</v>
      </c>
      <c r="AX181" s="85">
        <f t="shared" ca="1" si="251"/>
        <v>1191.3589810722963</v>
      </c>
      <c r="AY181" s="85">
        <f t="shared" ca="1" si="252"/>
        <v>1198.0744408091161</v>
      </c>
      <c r="AZ181" s="85">
        <f t="shared" ca="1" si="253"/>
        <v>1106.850003796103</v>
      </c>
      <c r="BA181" s="85">
        <f t="shared" ca="1" si="254"/>
        <v>1142.1346867160364</v>
      </c>
      <c r="BB181" s="85">
        <f t="shared" ca="1" si="255"/>
        <v>987.99940509333419</v>
      </c>
      <c r="BC181" s="85">
        <f t="shared" ca="1" si="256"/>
        <v>1181.8520025961836</v>
      </c>
      <c r="BD181" s="85">
        <f t="shared" ca="1" si="257"/>
        <v>1114.1036686985169</v>
      </c>
      <c r="BE181" s="85">
        <f t="shared" ca="1" si="258"/>
        <v>978.37385638416129</v>
      </c>
      <c r="BF181" s="85">
        <f t="shared" ca="1" si="259"/>
        <v>987.54251100853014</v>
      </c>
      <c r="BG181" s="85">
        <f t="shared" ca="1" si="260"/>
        <v>948.4151498282871</v>
      </c>
      <c r="BH181" s="85">
        <f t="shared" ca="1" si="261"/>
        <v>1171.7009485899173</v>
      </c>
      <c r="BI181" s="85">
        <f t="shared" ca="1" si="262"/>
        <v>959.4894541142254</v>
      </c>
      <c r="BJ181" s="85">
        <f t="shared" ca="1" si="263"/>
        <v>1102.5428070029589</v>
      </c>
      <c r="BK181" s="85">
        <f t="shared" ca="1" si="264"/>
        <v>1028.5339674565259</v>
      </c>
      <c r="BL181" s="85">
        <f t="shared" ca="1" si="265"/>
        <v>988.919080278563</v>
      </c>
      <c r="BM181" s="85">
        <f t="shared" ca="1" si="266"/>
        <v>1024.5972033109922</v>
      </c>
      <c r="BN181" s="85">
        <f t="shared" ca="1" si="203"/>
        <v>1162.5088063258031</v>
      </c>
      <c r="BO181" s="85">
        <f t="shared" ca="1" si="292"/>
        <v>1240.0936347544709</v>
      </c>
      <c r="BP181" s="85">
        <f t="shared" ca="1" si="293"/>
        <v>973.23684724201576</v>
      </c>
      <c r="BQ181" s="85">
        <f t="shared" ca="1" si="294"/>
        <v>1054.0709778345936</v>
      </c>
      <c r="BR181" s="85">
        <f t="shared" ca="1" si="295"/>
        <v>928.17862896567476</v>
      </c>
      <c r="BS181" s="85">
        <f t="shared" ca="1" si="296"/>
        <v>1098.8349225810373</v>
      </c>
      <c r="BT181" s="85">
        <f t="shared" ca="1" si="297"/>
        <v>1203.3950668239377</v>
      </c>
      <c r="BU181" s="85">
        <f t="shared" ca="1" si="298"/>
        <v>1026.782605128355</v>
      </c>
      <c r="BV181" s="85">
        <f t="shared" ca="1" si="299"/>
        <v>1007.3889286862175</v>
      </c>
      <c r="BW181" s="85">
        <f t="shared" ca="1" si="300"/>
        <v>1132.2395423195817</v>
      </c>
      <c r="BX181" s="85">
        <f t="shared" ca="1" si="301"/>
        <v>1091.4968967108043</v>
      </c>
      <c r="BY181" s="85">
        <f t="shared" ca="1" si="267"/>
        <v>986.62905982517816</v>
      </c>
      <c r="BZ181" s="85">
        <f t="shared" ca="1" si="268"/>
        <v>992.73286013138795</v>
      </c>
      <c r="CA181" s="85">
        <f t="shared" ca="1" si="269"/>
        <v>1028.3865777743129</v>
      </c>
      <c r="CB181" s="85">
        <f t="shared" ca="1" si="270"/>
        <v>959.77684511254324</v>
      </c>
      <c r="CC181" s="85">
        <f t="shared" ca="1" si="271"/>
        <v>1138.3812584826176</v>
      </c>
      <c r="CD181" s="85">
        <f t="shared" ca="1" si="272"/>
        <v>1265.5968383604406</v>
      </c>
      <c r="CE181" s="85">
        <f t="shared" ca="1" si="273"/>
        <v>991.81937393210569</v>
      </c>
      <c r="CF181" s="85">
        <f t="shared" ca="1" si="274"/>
        <v>1148.5354513154753</v>
      </c>
      <c r="CG181" s="85">
        <f t="shared" ca="1" si="275"/>
        <v>912.1431287804445</v>
      </c>
      <c r="CH181" s="85">
        <f t="shared" ca="1" si="276"/>
        <v>1074.5781293850077</v>
      </c>
      <c r="CI181" s="85">
        <f t="shared" ca="1" si="277"/>
        <v>986.51938422737749</v>
      </c>
      <c r="CJ181" s="85">
        <f t="shared" ca="1" si="278"/>
        <v>970.7138264077164</v>
      </c>
      <c r="CK181" s="85">
        <f t="shared" ca="1" si="279"/>
        <v>1010.3946066782164</v>
      </c>
      <c r="CL181" s="85">
        <f t="shared" ca="1" si="280"/>
        <v>958.26681334185889</v>
      </c>
      <c r="CM181" s="85">
        <f t="shared" ca="1" si="281"/>
        <v>1141.479067087093</v>
      </c>
      <c r="CN181" s="85">
        <f t="shared" ca="1" si="282"/>
        <v>859.24833215404635</v>
      </c>
      <c r="CO181" s="85">
        <f t="shared" ca="1" si="283"/>
        <v>982.24274300512513</v>
      </c>
      <c r="CP181" s="85">
        <f t="shared" ca="1" si="284"/>
        <v>1145.23950535116</v>
      </c>
      <c r="CQ181" s="85">
        <f t="shared" ca="1" si="285"/>
        <v>1026.2962028199377</v>
      </c>
      <c r="CR181" s="85">
        <f t="shared" ca="1" si="286"/>
        <v>1064.2595815228606</v>
      </c>
      <c r="CS181" s="85">
        <f t="shared" ca="1" si="287"/>
        <v>932.25204983316894</v>
      </c>
      <c r="CT181" s="85">
        <f t="shared" ca="1" si="288"/>
        <v>918.77250529480705</v>
      </c>
      <c r="CU181" s="85">
        <f t="shared" ca="1" si="289"/>
        <v>1347.7018969245387</v>
      </c>
      <c r="CV181" s="85">
        <f t="shared" ca="1" si="290"/>
        <v>969.29937566491151</v>
      </c>
      <c r="CW181" s="85">
        <f t="shared" ca="1" si="291"/>
        <v>1014.6131409310771</v>
      </c>
    </row>
    <row r="182" spans="1:101" x14ac:dyDescent="0.2">
      <c r="A182" s="115">
        <v>179</v>
      </c>
      <c r="B182" s="85">
        <f t="shared" ca="1" si="202"/>
        <v>810.67390177826576</v>
      </c>
      <c r="C182" s="85">
        <f t="shared" ca="1" si="204"/>
        <v>1039.8996143054812</v>
      </c>
      <c r="D182" s="85">
        <f t="shared" ca="1" si="205"/>
        <v>1052.0496013347611</v>
      </c>
      <c r="E182" s="85">
        <f t="shared" ca="1" si="206"/>
        <v>949.08728083402536</v>
      </c>
      <c r="F182" s="85">
        <f t="shared" ca="1" si="207"/>
        <v>977.56350687271299</v>
      </c>
      <c r="G182" s="85">
        <f t="shared" ca="1" si="208"/>
        <v>1069.9739884031742</v>
      </c>
      <c r="H182" s="85">
        <f t="shared" ca="1" si="209"/>
        <v>1055.4596270914492</v>
      </c>
      <c r="I182" s="85">
        <f t="shared" ca="1" si="210"/>
        <v>1188.1510373490437</v>
      </c>
      <c r="J182" s="85">
        <f t="shared" ca="1" si="211"/>
        <v>991.69132732543426</v>
      </c>
      <c r="K182" s="85">
        <f t="shared" ca="1" si="212"/>
        <v>1135.9404218139973</v>
      </c>
      <c r="L182" s="85">
        <f t="shared" ca="1" si="213"/>
        <v>1161.6607892813756</v>
      </c>
      <c r="M182" s="85">
        <f t="shared" ca="1" si="214"/>
        <v>878.55909440897699</v>
      </c>
      <c r="N182" s="85">
        <f t="shared" ca="1" si="215"/>
        <v>1033.4224351037585</v>
      </c>
      <c r="O182" s="85">
        <f t="shared" ca="1" si="216"/>
        <v>986.29253989084509</v>
      </c>
      <c r="P182" s="85">
        <f t="shared" ca="1" si="217"/>
        <v>1145.3661439447146</v>
      </c>
      <c r="Q182" s="85">
        <f t="shared" ca="1" si="218"/>
        <v>1086.9349944040891</v>
      </c>
      <c r="R182" s="85">
        <f t="shared" ca="1" si="219"/>
        <v>1028.0729831516476</v>
      </c>
      <c r="S182" s="85">
        <f t="shared" ca="1" si="220"/>
        <v>1058.099958901699</v>
      </c>
      <c r="T182" s="85">
        <f t="shared" ca="1" si="221"/>
        <v>1009.1250336617122</v>
      </c>
      <c r="U182" s="85">
        <f t="shared" ca="1" si="222"/>
        <v>969.00114591466001</v>
      </c>
      <c r="V182" s="85">
        <f t="shared" ca="1" si="223"/>
        <v>1192.5639651149645</v>
      </c>
      <c r="W182" s="85">
        <f t="shared" ca="1" si="224"/>
        <v>1030.8219028170215</v>
      </c>
      <c r="X182" s="85">
        <f t="shared" ca="1" si="225"/>
        <v>1116.5355823949328</v>
      </c>
      <c r="Y182" s="85">
        <f t="shared" ca="1" si="226"/>
        <v>1004.3365971619389</v>
      </c>
      <c r="Z182" s="85">
        <f t="shared" ca="1" si="227"/>
        <v>1062.6177369629024</v>
      </c>
      <c r="AA182" s="85">
        <f t="shared" ca="1" si="228"/>
        <v>968.63174065265753</v>
      </c>
      <c r="AB182" s="85">
        <f t="shared" ca="1" si="229"/>
        <v>1278.2801802482379</v>
      </c>
      <c r="AC182" s="85">
        <f t="shared" ca="1" si="230"/>
        <v>1070.380976841748</v>
      </c>
      <c r="AD182" s="85">
        <f t="shared" ca="1" si="231"/>
        <v>1256.6085770276256</v>
      </c>
      <c r="AE182" s="85">
        <f t="shared" ca="1" si="232"/>
        <v>1376.9455585182873</v>
      </c>
      <c r="AF182" s="85">
        <f t="shared" ca="1" si="233"/>
        <v>917.72903899629284</v>
      </c>
      <c r="AG182" s="85">
        <f t="shared" ca="1" si="234"/>
        <v>1168.917289760936</v>
      </c>
      <c r="AH182" s="85">
        <f t="shared" ca="1" si="235"/>
        <v>938.15693001112902</v>
      </c>
      <c r="AI182" s="85">
        <f t="shared" ca="1" si="236"/>
        <v>1092.0873017924143</v>
      </c>
      <c r="AJ182" s="85">
        <f t="shared" ca="1" si="237"/>
        <v>1190.7852856596012</v>
      </c>
      <c r="AK182" s="85">
        <f t="shared" ca="1" si="238"/>
        <v>1061.916054726215</v>
      </c>
      <c r="AL182" s="85">
        <f t="shared" ca="1" si="239"/>
        <v>1080.7685093449311</v>
      </c>
      <c r="AM182" s="85">
        <f t="shared" ca="1" si="240"/>
        <v>972.46720412838636</v>
      </c>
      <c r="AN182" s="85">
        <f t="shared" ca="1" si="241"/>
        <v>1178.5091937131322</v>
      </c>
      <c r="AO182" s="85">
        <f t="shared" ca="1" si="242"/>
        <v>1290.4320950013464</v>
      </c>
      <c r="AP182" s="85">
        <f t="shared" ca="1" si="243"/>
        <v>1202.9769661985706</v>
      </c>
      <c r="AQ182" s="85">
        <f t="shared" ca="1" si="244"/>
        <v>961.03559682331206</v>
      </c>
      <c r="AR182" s="85">
        <f t="shared" ca="1" si="245"/>
        <v>1061.8905257691652</v>
      </c>
      <c r="AS182" s="85">
        <f t="shared" ca="1" si="246"/>
        <v>980.63155563065607</v>
      </c>
      <c r="AT182" s="85">
        <f t="shared" ca="1" si="247"/>
        <v>1035.9722935562143</v>
      </c>
      <c r="AU182" s="85">
        <f t="shared" ca="1" si="248"/>
        <v>1147.3778233513069</v>
      </c>
      <c r="AV182" s="85">
        <f t="shared" ca="1" si="249"/>
        <v>1126.9202435472953</v>
      </c>
      <c r="AW182" s="85">
        <f t="shared" ca="1" si="250"/>
        <v>1146.5017504363211</v>
      </c>
      <c r="AX182" s="85">
        <f t="shared" ca="1" si="251"/>
        <v>1208.3816436276118</v>
      </c>
      <c r="AY182" s="85">
        <f t="shared" ca="1" si="252"/>
        <v>1200.2968540562845</v>
      </c>
      <c r="AZ182" s="85">
        <f t="shared" ca="1" si="253"/>
        <v>1124.5219029666491</v>
      </c>
      <c r="BA182" s="85">
        <f t="shared" ca="1" si="254"/>
        <v>1162.7421904317632</v>
      </c>
      <c r="BB182" s="85">
        <f t="shared" ca="1" si="255"/>
        <v>999.23052428693177</v>
      </c>
      <c r="BC182" s="85">
        <f t="shared" ca="1" si="256"/>
        <v>1194.7315337012731</v>
      </c>
      <c r="BD182" s="85">
        <f t="shared" ca="1" si="257"/>
        <v>1129.8359988515931</v>
      </c>
      <c r="BE182" s="85">
        <f t="shared" ca="1" si="258"/>
        <v>995.99911973463543</v>
      </c>
      <c r="BF182" s="85">
        <f t="shared" ca="1" si="259"/>
        <v>1001.5766766051585</v>
      </c>
      <c r="BG182" s="85">
        <f t="shared" ca="1" si="260"/>
        <v>954.9937990926154</v>
      </c>
      <c r="BH182" s="85">
        <f t="shared" ca="1" si="261"/>
        <v>1183.9342329587555</v>
      </c>
      <c r="BI182" s="85">
        <f t="shared" ca="1" si="262"/>
        <v>977.50477257126522</v>
      </c>
      <c r="BJ182" s="85">
        <f t="shared" ca="1" si="263"/>
        <v>1115.9870344393169</v>
      </c>
      <c r="BK182" s="85">
        <f t="shared" ca="1" si="264"/>
        <v>1045.8770099389301</v>
      </c>
      <c r="BL182" s="85">
        <f t="shared" ca="1" si="265"/>
        <v>990.8242014924474</v>
      </c>
      <c r="BM182" s="85">
        <f t="shared" ca="1" si="266"/>
        <v>1051.7929882497704</v>
      </c>
      <c r="BN182" s="85">
        <f t="shared" ca="1" si="203"/>
        <v>1170.6163721498824</v>
      </c>
      <c r="BO182" s="85">
        <f t="shared" ca="1" si="292"/>
        <v>1247.8030600468301</v>
      </c>
      <c r="BP182" s="85">
        <f t="shared" ca="1" si="293"/>
        <v>992.39713510037041</v>
      </c>
      <c r="BQ182" s="85">
        <f t="shared" ca="1" si="294"/>
        <v>1067.3865274323307</v>
      </c>
      <c r="BR182" s="85">
        <f t="shared" ca="1" si="295"/>
        <v>949.32227588610453</v>
      </c>
      <c r="BS182" s="85">
        <f t="shared" ca="1" si="296"/>
        <v>1115.3797821907274</v>
      </c>
      <c r="BT182" s="85">
        <f t="shared" ca="1" si="297"/>
        <v>1217.7866876238902</v>
      </c>
      <c r="BU182" s="85">
        <f t="shared" ca="1" si="298"/>
        <v>1044.5882459513057</v>
      </c>
      <c r="BV182" s="85">
        <f t="shared" ca="1" si="299"/>
        <v>1008.9714858262909</v>
      </c>
      <c r="BW182" s="85">
        <f t="shared" ca="1" si="300"/>
        <v>1159.4359491449841</v>
      </c>
      <c r="BX182" s="85">
        <f t="shared" ca="1" si="301"/>
        <v>1108.5958458177986</v>
      </c>
      <c r="BY182" s="85">
        <f t="shared" ca="1" si="267"/>
        <v>991.61211823511849</v>
      </c>
      <c r="BZ182" s="85">
        <f t="shared" ca="1" si="268"/>
        <v>1002.6631899551654</v>
      </c>
      <c r="CA182" s="85">
        <f t="shared" ca="1" si="269"/>
        <v>1027.4597917562046</v>
      </c>
      <c r="CB182" s="85">
        <f t="shared" ca="1" si="270"/>
        <v>968.98482870270004</v>
      </c>
      <c r="CC182" s="85">
        <f t="shared" ca="1" si="271"/>
        <v>1153.9250697155833</v>
      </c>
      <c r="CD182" s="85">
        <f t="shared" ca="1" si="272"/>
        <v>1281.796281760842</v>
      </c>
      <c r="CE182" s="85">
        <f t="shared" ca="1" si="273"/>
        <v>995.86209395022638</v>
      </c>
      <c r="CF182" s="85">
        <f t="shared" ca="1" si="274"/>
        <v>1153.1916781360871</v>
      </c>
      <c r="CG182" s="85">
        <f t="shared" ca="1" si="275"/>
        <v>918.96005271096737</v>
      </c>
      <c r="CH182" s="85">
        <f t="shared" ca="1" si="276"/>
        <v>1094.9587820985787</v>
      </c>
      <c r="CI182" s="85">
        <f t="shared" ca="1" si="277"/>
        <v>1002.9046370791353</v>
      </c>
      <c r="CJ182" s="85">
        <f t="shared" ca="1" si="278"/>
        <v>976.11904129719892</v>
      </c>
      <c r="CK182" s="85">
        <f t="shared" ca="1" si="279"/>
        <v>1025.8156723967802</v>
      </c>
      <c r="CL182" s="85">
        <f t="shared" ca="1" si="280"/>
        <v>959.47309378094087</v>
      </c>
      <c r="CM182" s="85">
        <f t="shared" ca="1" si="281"/>
        <v>1161.2476464208776</v>
      </c>
      <c r="CN182" s="85">
        <f t="shared" ca="1" si="282"/>
        <v>869.05181664405268</v>
      </c>
      <c r="CO182" s="85">
        <f t="shared" ca="1" si="283"/>
        <v>1007.1929783497155</v>
      </c>
      <c r="CP182" s="85">
        <f t="shared" ca="1" si="284"/>
        <v>1148.1197511965349</v>
      </c>
      <c r="CQ182" s="85">
        <f t="shared" ca="1" si="285"/>
        <v>1042.910245457997</v>
      </c>
      <c r="CR182" s="85">
        <f t="shared" ca="1" si="286"/>
        <v>1097.0770117257816</v>
      </c>
      <c r="CS182" s="85">
        <f t="shared" ca="1" si="287"/>
        <v>936.9239686489326</v>
      </c>
      <c r="CT182" s="85">
        <f t="shared" ca="1" si="288"/>
        <v>927.24440650418148</v>
      </c>
      <c r="CU182" s="85">
        <f t="shared" ca="1" si="289"/>
        <v>1359.9381371107879</v>
      </c>
      <c r="CV182" s="85">
        <f t="shared" ca="1" si="290"/>
        <v>983.34247472794266</v>
      </c>
      <c r="CW182" s="85">
        <f t="shared" ca="1" si="291"/>
        <v>1012.2222246879869</v>
      </c>
    </row>
    <row r="183" spans="1:101" x14ac:dyDescent="0.2">
      <c r="A183" s="115">
        <v>180</v>
      </c>
      <c r="B183" s="85">
        <f t="shared" ca="1" si="202"/>
        <v>819.40689564331683</v>
      </c>
      <c r="C183" s="85">
        <f t="shared" ca="1" si="204"/>
        <v>1050.8722222663243</v>
      </c>
      <c r="D183" s="85">
        <f t="shared" ca="1" si="205"/>
        <v>1070.2766600899699</v>
      </c>
      <c r="E183" s="85">
        <f t="shared" ca="1" si="206"/>
        <v>969.42981959566146</v>
      </c>
      <c r="F183" s="85">
        <f t="shared" ca="1" si="207"/>
        <v>994.35748647643925</v>
      </c>
      <c r="G183" s="85">
        <f t="shared" ca="1" si="208"/>
        <v>1081.389482700572</v>
      </c>
      <c r="H183" s="85">
        <f t="shared" ca="1" si="209"/>
        <v>1081.5138183926704</v>
      </c>
      <c r="I183" s="85">
        <f t="shared" ca="1" si="210"/>
        <v>1184.8736197089193</v>
      </c>
      <c r="J183" s="85">
        <f t="shared" ca="1" si="211"/>
        <v>1001.3513063038228</v>
      </c>
      <c r="K183" s="85">
        <f t="shared" ca="1" si="212"/>
        <v>1147.3499228459596</v>
      </c>
      <c r="L183" s="85">
        <f t="shared" ca="1" si="213"/>
        <v>1180.3983362157164</v>
      </c>
      <c r="M183" s="85">
        <f t="shared" ca="1" si="214"/>
        <v>893.27111115015975</v>
      </c>
      <c r="N183" s="85">
        <f t="shared" ca="1" si="215"/>
        <v>1042.6736716477401</v>
      </c>
      <c r="O183" s="85">
        <f t="shared" ca="1" si="216"/>
        <v>993.25317062904526</v>
      </c>
      <c r="P183" s="85">
        <f t="shared" ca="1" si="217"/>
        <v>1177.0947078697154</v>
      </c>
      <c r="Q183" s="85">
        <f t="shared" ca="1" si="218"/>
        <v>1098.90249255954</v>
      </c>
      <c r="R183" s="85">
        <f t="shared" ca="1" si="219"/>
        <v>1037.2955949554375</v>
      </c>
      <c r="S183" s="85">
        <f t="shared" ca="1" si="220"/>
        <v>1072.2875864038369</v>
      </c>
      <c r="T183" s="85">
        <f t="shared" ca="1" si="221"/>
        <v>1034.9100240895291</v>
      </c>
      <c r="U183" s="85">
        <f t="shared" ca="1" si="222"/>
        <v>984.7779505181129</v>
      </c>
      <c r="V183" s="85">
        <f t="shared" ca="1" si="223"/>
        <v>1214.1290575917935</v>
      </c>
      <c r="W183" s="85">
        <f t="shared" ca="1" si="224"/>
        <v>1044.5003977549666</v>
      </c>
      <c r="X183" s="85">
        <f t="shared" ca="1" si="225"/>
        <v>1126.294074003878</v>
      </c>
      <c r="Y183" s="85">
        <f t="shared" ca="1" si="226"/>
        <v>1020.8453002912</v>
      </c>
      <c r="Z183" s="85">
        <f t="shared" ca="1" si="227"/>
        <v>1070.2196619335555</v>
      </c>
      <c r="AA183" s="85">
        <f t="shared" ca="1" si="228"/>
        <v>974.06515561369019</v>
      </c>
      <c r="AB183" s="85">
        <f t="shared" ca="1" si="229"/>
        <v>1290.1283946410915</v>
      </c>
      <c r="AC183" s="85">
        <f t="shared" ca="1" si="230"/>
        <v>1089.073528015964</v>
      </c>
      <c r="AD183" s="85">
        <f t="shared" ca="1" si="231"/>
        <v>1270.8572710224669</v>
      </c>
      <c r="AE183" s="85">
        <f t="shared" ca="1" si="232"/>
        <v>1411.073043905343</v>
      </c>
      <c r="AF183" s="85">
        <f t="shared" ca="1" si="233"/>
        <v>920.72565984094251</v>
      </c>
      <c r="AG183" s="85">
        <f t="shared" ca="1" si="234"/>
        <v>1190.8235898606813</v>
      </c>
      <c r="AH183" s="85">
        <f t="shared" ca="1" si="235"/>
        <v>944.85170906760754</v>
      </c>
      <c r="AI183" s="85">
        <f t="shared" ca="1" si="236"/>
        <v>1105.7595651829629</v>
      </c>
      <c r="AJ183" s="85">
        <f t="shared" ca="1" si="237"/>
        <v>1199.4263133786792</v>
      </c>
      <c r="AK183" s="85">
        <f t="shared" ca="1" si="238"/>
        <v>1088.3475122355583</v>
      </c>
      <c r="AL183" s="85">
        <f t="shared" ca="1" si="239"/>
        <v>1105.3377126583644</v>
      </c>
      <c r="AM183" s="85">
        <f t="shared" ca="1" si="240"/>
        <v>975.17826530352352</v>
      </c>
      <c r="AN183" s="85">
        <f t="shared" ca="1" si="241"/>
        <v>1187.9568276788057</v>
      </c>
      <c r="AO183" s="85">
        <f t="shared" ca="1" si="242"/>
        <v>1312.0673080178776</v>
      </c>
      <c r="AP183" s="85">
        <f t="shared" ca="1" si="243"/>
        <v>1220.274088032867</v>
      </c>
      <c r="AQ183" s="85">
        <f t="shared" ca="1" si="244"/>
        <v>968.07774338412912</v>
      </c>
      <c r="AR183" s="85">
        <f t="shared" ca="1" si="245"/>
        <v>1081.6042815825997</v>
      </c>
      <c r="AS183" s="85">
        <f t="shared" ca="1" si="246"/>
        <v>997.80600768641011</v>
      </c>
      <c r="AT183" s="85">
        <f t="shared" ca="1" si="247"/>
        <v>1054.1533738819819</v>
      </c>
      <c r="AU183" s="85">
        <f t="shared" ca="1" si="248"/>
        <v>1167.0290791192908</v>
      </c>
      <c r="AV183" s="85">
        <f t="shared" ca="1" si="249"/>
        <v>1143.9204801374126</v>
      </c>
      <c r="AW183" s="85">
        <f t="shared" ca="1" si="250"/>
        <v>1158.8589948594172</v>
      </c>
      <c r="AX183" s="85">
        <f t="shared" ca="1" si="251"/>
        <v>1230.4219210957092</v>
      </c>
      <c r="AY183" s="85">
        <f t="shared" ca="1" si="252"/>
        <v>1223.5164704406945</v>
      </c>
      <c r="AZ183" s="85">
        <f t="shared" ca="1" si="253"/>
        <v>1142.76474532764</v>
      </c>
      <c r="BA183" s="85">
        <f t="shared" ca="1" si="254"/>
        <v>1188.4704234193348</v>
      </c>
      <c r="BB183" s="85">
        <f t="shared" ca="1" si="255"/>
        <v>1010.154122384398</v>
      </c>
      <c r="BC183" s="85">
        <f t="shared" ca="1" si="256"/>
        <v>1216.8599224176933</v>
      </c>
      <c r="BD183" s="85">
        <f t="shared" ca="1" si="257"/>
        <v>1147.2795287413253</v>
      </c>
      <c r="BE183" s="85">
        <f t="shared" ca="1" si="258"/>
        <v>1008.8786801426995</v>
      </c>
      <c r="BF183" s="85">
        <f t="shared" ca="1" si="259"/>
        <v>1018.9676267704649</v>
      </c>
      <c r="BG183" s="85">
        <f t="shared" ca="1" si="260"/>
        <v>966.33966624675941</v>
      </c>
      <c r="BH183" s="85">
        <f t="shared" ca="1" si="261"/>
        <v>1204.1543964817183</v>
      </c>
      <c r="BI183" s="85">
        <f t="shared" ca="1" si="262"/>
        <v>985.69667390096333</v>
      </c>
      <c r="BJ183" s="85">
        <f t="shared" ca="1" si="263"/>
        <v>1128.0323752170034</v>
      </c>
      <c r="BK183" s="85">
        <f t="shared" ca="1" si="264"/>
        <v>1059.0212136206344</v>
      </c>
      <c r="BL183" s="85">
        <f t="shared" ca="1" si="265"/>
        <v>1001.6475746541925</v>
      </c>
      <c r="BM183" s="85">
        <f t="shared" ca="1" si="266"/>
        <v>1066.7022639101297</v>
      </c>
      <c r="BN183" s="85">
        <f t="shared" ca="1" si="203"/>
        <v>1187.6232133006872</v>
      </c>
      <c r="BO183" s="85">
        <f t="shared" ca="1" si="292"/>
        <v>1268.1556578415548</v>
      </c>
      <c r="BP183" s="85">
        <f t="shared" ca="1" si="293"/>
        <v>1009.1358623983881</v>
      </c>
      <c r="BQ183" s="85">
        <f t="shared" ca="1" si="294"/>
        <v>1089.3630754083599</v>
      </c>
      <c r="BR183" s="85">
        <f t="shared" ca="1" si="295"/>
        <v>961.57774425925891</v>
      </c>
      <c r="BS183" s="85">
        <f t="shared" ca="1" si="296"/>
        <v>1130.8081144872035</v>
      </c>
      <c r="BT183" s="85">
        <f t="shared" ca="1" si="297"/>
        <v>1241.9526041717604</v>
      </c>
      <c r="BU183" s="85">
        <f t="shared" ca="1" si="298"/>
        <v>1044.8289297097101</v>
      </c>
      <c r="BV183" s="85">
        <f t="shared" ca="1" si="299"/>
        <v>1020.6972605172048</v>
      </c>
      <c r="BW183" s="85">
        <f t="shared" ca="1" si="300"/>
        <v>1171.6338373021126</v>
      </c>
      <c r="BX183" s="85">
        <f t="shared" ca="1" si="301"/>
        <v>1114.940603633846</v>
      </c>
      <c r="BY183" s="85">
        <f t="shared" ca="1" si="267"/>
        <v>1013.2486774313282</v>
      </c>
      <c r="BZ183" s="85">
        <f t="shared" ca="1" si="268"/>
        <v>1022.8982427655114</v>
      </c>
      <c r="CA183" s="85">
        <f t="shared" ca="1" si="269"/>
        <v>1032.709454556747</v>
      </c>
      <c r="CB183" s="85">
        <f t="shared" ca="1" si="270"/>
        <v>976.98367725632613</v>
      </c>
      <c r="CC183" s="85">
        <f t="shared" ca="1" si="271"/>
        <v>1153.863535742247</v>
      </c>
      <c r="CD183" s="85">
        <f t="shared" ca="1" si="272"/>
        <v>1297.0496232462588</v>
      </c>
      <c r="CE183" s="85">
        <f t="shared" ca="1" si="273"/>
        <v>1022.3008969617741</v>
      </c>
      <c r="CF183" s="85">
        <f t="shared" ca="1" si="274"/>
        <v>1186.8743994492547</v>
      </c>
      <c r="CG183" s="85">
        <f t="shared" ca="1" si="275"/>
        <v>943.10949572002846</v>
      </c>
      <c r="CH183" s="85">
        <f t="shared" ca="1" si="276"/>
        <v>1112.7281326228006</v>
      </c>
      <c r="CI183" s="85">
        <f t="shared" ca="1" si="277"/>
        <v>1009.3775839426879</v>
      </c>
      <c r="CJ183" s="85">
        <f t="shared" ca="1" si="278"/>
        <v>988.85910150006862</v>
      </c>
      <c r="CK183" s="85">
        <f t="shared" ca="1" si="279"/>
        <v>1036.5663537280491</v>
      </c>
      <c r="CL183" s="85">
        <f t="shared" ca="1" si="280"/>
        <v>969.30110208845974</v>
      </c>
      <c r="CM183" s="85">
        <f t="shared" ca="1" si="281"/>
        <v>1183.0136667164666</v>
      </c>
      <c r="CN183" s="85">
        <f t="shared" ca="1" si="282"/>
        <v>880.15634759827253</v>
      </c>
      <c r="CO183" s="85">
        <f t="shared" ca="1" si="283"/>
        <v>1017.2309889181004</v>
      </c>
      <c r="CP183" s="85">
        <f t="shared" ca="1" si="284"/>
        <v>1177.423503181464</v>
      </c>
      <c r="CQ183" s="85">
        <f t="shared" ca="1" si="285"/>
        <v>1059.2559918794991</v>
      </c>
      <c r="CR183" s="85">
        <f t="shared" ca="1" si="286"/>
        <v>1100.963226098884</v>
      </c>
      <c r="CS183" s="85">
        <f t="shared" ca="1" si="287"/>
        <v>946.22354030947884</v>
      </c>
      <c r="CT183" s="85">
        <f t="shared" ca="1" si="288"/>
        <v>941.76907148887813</v>
      </c>
      <c r="CU183" s="85">
        <f t="shared" ca="1" si="289"/>
        <v>1391.6692123496864</v>
      </c>
      <c r="CV183" s="85">
        <f t="shared" ca="1" si="290"/>
        <v>998.23613321142125</v>
      </c>
      <c r="CW183" s="85">
        <f t="shared" ca="1" si="291"/>
        <v>1031.4443190175818</v>
      </c>
    </row>
    <row r="184" spans="1:101" x14ac:dyDescent="0.2">
      <c r="A184" s="115">
        <v>181</v>
      </c>
      <c r="B184" s="85">
        <f t="shared" ca="1" si="202"/>
        <v>825.24975125944309</v>
      </c>
      <c r="C184" s="85">
        <f t="shared" ca="1" si="204"/>
        <v>1077.8219638355888</v>
      </c>
      <c r="D184" s="85">
        <f t="shared" ca="1" si="205"/>
        <v>1091.3970651484074</v>
      </c>
      <c r="E184" s="85">
        <f t="shared" ca="1" si="206"/>
        <v>966.97199190642368</v>
      </c>
      <c r="F184" s="85">
        <f t="shared" ca="1" si="207"/>
        <v>1012.7907288836504</v>
      </c>
      <c r="G184" s="85">
        <f t="shared" ca="1" si="208"/>
        <v>1099.0229170056546</v>
      </c>
      <c r="H184" s="85">
        <f t="shared" ca="1" si="209"/>
        <v>1083.4085190491473</v>
      </c>
      <c r="I184" s="85">
        <f t="shared" ca="1" si="210"/>
        <v>1206.2683520555408</v>
      </c>
      <c r="J184" s="85">
        <f t="shared" ca="1" si="211"/>
        <v>1009.4321462151408</v>
      </c>
      <c r="K184" s="85">
        <f t="shared" ca="1" si="212"/>
        <v>1162.7171223335206</v>
      </c>
      <c r="L184" s="85">
        <f t="shared" ca="1" si="213"/>
        <v>1194.9200405726524</v>
      </c>
      <c r="M184" s="85">
        <f t="shared" ca="1" si="214"/>
        <v>897.84805685492665</v>
      </c>
      <c r="N184" s="85">
        <f t="shared" ca="1" si="215"/>
        <v>1058.9544254695509</v>
      </c>
      <c r="O184" s="85">
        <f t="shared" ca="1" si="216"/>
        <v>1008.4267905339091</v>
      </c>
      <c r="P184" s="85">
        <f t="shared" ca="1" si="217"/>
        <v>1183.2095277986987</v>
      </c>
      <c r="Q184" s="85">
        <f t="shared" ca="1" si="218"/>
        <v>1113.1627326500436</v>
      </c>
      <c r="R184" s="85">
        <f t="shared" ca="1" si="219"/>
        <v>1052.0752764915162</v>
      </c>
      <c r="S184" s="85">
        <f t="shared" ca="1" si="220"/>
        <v>1096.3827363505136</v>
      </c>
      <c r="T184" s="85">
        <f t="shared" ca="1" si="221"/>
        <v>1045.519156273529</v>
      </c>
      <c r="U184" s="85">
        <f t="shared" ca="1" si="222"/>
        <v>999.33983651708411</v>
      </c>
      <c r="V184" s="85">
        <f t="shared" ca="1" si="223"/>
        <v>1224.495405179711</v>
      </c>
      <c r="W184" s="85">
        <f t="shared" ca="1" si="224"/>
        <v>1059.6920282588446</v>
      </c>
      <c r="X184" s="85">
        <f t="shared" ca="1" si="225"/>
        <v>1134.3121942226549</v>
      </c>
      <c r="Y184" s="85">
        <f t="shared" ca="1" si="226"/>
        <v>1028.9403594452281</v>
      </c>
      <c r="Z184" s="85">
        <f t="shared" ca="1" si="227"/>
        <v>1080.1955723889473</v>
      </c>
      <c r="AA184" s="85">
        <f t="shared" ca="1" si="228"/>
        <v>985.321844381765</v>
      </c>
      <c r="AB184" s="85">
        <f t="shared" ca="1" si="229"/>
        <v>1300.8749236104811</v>
      </c>
      <c r="AC184" s="85">
        <f t="shared" ca="1" si="230"/>
        <v>1105.1245982933644</v>
      </c>
      <c r="AD184" s="85">
        <f t="shared" ca="1" si="231"/>
        <v>1281.3744918221914</v>
      </c>
      <c r="AE184" s="85">
        <f t="shared" ca="1" si="232"/>
        <v>1411.727866608248</v>
      </c>
      <c r="AF184" s="85">
        <f t="shared" ca="1" si="233"/>
        <v>929.94471291182515</v>
      </c>
      <c r="AG184" s="85">
        <f t="shared" ca="1" si="234"/>
        <v>1209.8753994237929</v>
      </c>
      <c r="AH184" s="85">
        <f t="shared" ca="1" si="235"/>
        <v>960.74804514453911</v>
      </c>
      <c r="AI184" s="85">
        <f t="shared" ca="1" si="236"/>
        <v>1123.6212135036187</v>
      </c>
      <c r="AJ184" s="85">
        <f t="shared" ca="1" si="237"/>
        <v>1218.2146224308995</v>
      </c>
      <c r="AK184" s="85">
        <f t="shared" ca="1" si="238"/>
        <v>1103.5659955389629</v>
      </c>
      <c r="AL184" s="85">
        <f t="shared" ca="1" si="239"/>
        <v>1126.6722817432842</v>
      </c>
      <c r="AM184" s="85">
        <f t="shared" ca="1" si="240"/>
        <v>996.22700696211848</v>
      </c>
      <c r="AN184" s="85">
        <f t="shared" ca="1" si="241"/>
        <v>1197.5381575795104</v>
      </c>
      <c r="AO184" s="85">
        <f t="shared" ca="1" si="242"/>
        <v>1320.5492037662732</v>
      </c>
      <c r="AP184" s="85">
        <f t="shared" ca="1" si="243"/>
        <v>1241.2752166957137</v>
      </c>
      <c r="AQ184" s="85">
        <f t="shared" ca="1" si="244"/>
        <v>977.38776840181129</v>
      </c>
      <c r="AR184" s="85">
        <f t="shared" ca="1" si="245"/>
        <v>1099.6833570930964</v>
      </c>
      <c r="AS184" s="85">
        <f t="shared" ca="1" si="246"/>
        <v>1008.4679162534024</v>
      </c>
      <c r="AT184" s="85">
        <f t="shared" ca="1" si="247"/>
        <v>1074.4888016873997</v>
      </c>
      <c r="AU184" s="85">
        <f t="shared" ca="1" si="248"/>
        <v>1184.3847542996079</v>
      </c>
      <c r="AV184" s="85">
        <f t="shared" ca="1" si="249"/>
        <v>1150.1063004667767</v>
      </c>
      <c r="AW184" s="85">
        <f t="shared" ca="1" si="250"/>
        <v>1179.690678657573</v>
      </c>
      <c r="AX184" s="85">
        <f t="shared" ca="1" si="251"/>
        <v>1246.4377940017466</v>
      </c>
      <c r="AY184" s="85">
        <f t="shared" ca="1" si="252"/>
        <v>1229.4012247814642</v>
      </c>
      <c r="AZ184" s="85">
        <f t="shared" ca="1" si="253"/>
        <v>1176.4737766924484</v>
      </c>
      <c r="BA184" s="85">
        <f t="shared" ca="1" si="254"/>
        <v>1218.3528174975129</v>
      </c>
      <c r="BB184" s="85">
        <f t="shared" ca="1" si="255"/>
        <v>1013.7858194245076</v>
      </c>
      <c r="BC184" s="85">
        <f t="shared" ca="1" si="256"/>
        <v>1232.2055031886391</v>
      </c>
      <c r="BD184" s="85">
        <f t="shared" ca="1" si="257"/>
        <v>1150.6981974632492</v>
      </c>
      <c r="BE184" s="85">
        <f t="shared" ca="1" si="258"/>
        <v>1025.8253876901997</v>
      </c>
      <c r="BF184" s="85">
        <f t="shared" ca="1" si="259"/>
        <v>1018.5247961272001</v>
      </c>
      <c r="BG184" s="85">
        <f t="shared" ca="1" si="260"/>
        <v>974.83637428412567</v>
      </c>
      <c r="BH184" s="85">
        <f t="shared" ca="1" si="261"/>
        <v>1220.3954846339327</v>
      </c>
      <c r="BI184" s="85">
        <f t="shared" ca="1" si="262"/>
        <v>1000.5413270907378</v>
      </c>
      <c r="BJ184" s="85">
        <f t="shared" ca="1" si="263"/>
        <v>1140.8477744218549</v>
      </c>
      <c r="BK184" s="85">
        <f t="shared" ca="1" si="264"/>
        <v>1068.3736210962645</v>
      </c>
      <c r="BL184" s="85">
        <f t="shared" ca="1" si="265"/>
        <v>1014.778190972915</v>
      </c>
      <c r="BM184" s="85">
        <f t="shared" ca="1" si="266"/>
        <v>1092.9615115247284</v>
      </c>
      <c r="BN184" s="85">
        <f t="shared" ca="1" si="203"/>
        <v>1197.0025593577948</v>
      </c>
      <c r="BO184" s="85">
        <f t="shared" ca="1" si="292"/>
        <v>1284.9711216832045</v>
      </c>
      <c r="BP184" s="85">
        <f t="shared" ca="1" si="293"/>
        <v>1042.1306773666199</v>
      </c>
      <c r="BQ184" s="85">
        <f t="shared" ca="1" si="294"/>
        <v>1106.9823467874287</v>
      </c>
      <c r="BR184" s="85">
        <f t="shared" ca="1" si="295"/>
        <v>970.50275666038249</v>
      </c>
      <c r="BS184" s="85">
        <f t="shared" ca="1" si="296"/>
        <v>1150.4020803420472</v>
      </c>
      <c r="BT184" s="85">
        <f t="shared" ca="1" si="297"/>
        <v>1262.0962800859254</v>
      </c>
      <c r="BU184" s="85">
        <f t="shared" ca="1" si="298"/>
        <v>1053.364846659261</v>
      </c>
      <c r="BV184" s="85">
        <f t="shared" ca="1" si="299"/>
        <v>1028.6444621337944</v>
      </c>
      <c r="BW184" s="85">
        <f t="shared" ca="1" si="300"/>
        <v>1183.39728349337</v>
      </c>
      <c r="BX184" s="85">
        <f t="shared" ca="1" si="301"/>
        <v>1140.7729661820276</v>
      </c>
      <c r="BY184" s="85">
        <f t="shared" ca="1" si="267"/>
        <v>1020.8736334649137</v>
      </c>
      <c r="BZ184" s="85">
        <f t="shared" ca="1" si="268"/>
        <v>1038.413737775526</v>
      </c>
      <c r="CA184" s="85">
        <f t="shared" ca="1" si="269"/>
        <v>1049.2383714456557</v>
      </c>
      <c r="CB184" s="85">
        <f t="shared" ca="1" si="270"/>
        <v>986.67014101638426</v>
      </c>
      <c r="CC184" s="85">
        <f t="shared" ca="1" si="271"/>
        <v>1167.4598297565674</v>
      </c>
      <c r="CD184" s="85">
        <f t="shared" ca="1" si="272"/>
        <v>1325.8093597152351</v>
      </c>
      <c r="CE184" s="85">
        <f t="shared" ca="1" si="273"/>
        <v>1041.4041009284254</v>
      </c>
      <c r="CF184" s="85">
        <f t="shared" ca="1" si="274"/>
        <v>1215.0438652931007</v>
      </c>
      <c r="CG184" s="85">
        <f t="shared" ca="1" si="275"/>
        <v>945.11727998460071</v>
      </c>
      <c r="CH184" s="85">
        <f t="shared" ca="1" si="276"/>
        <v>1115.745014531022</v>
      </c>
      <c r="CI184" s="85">
        <f t="shared" ca="1" si="277"/>
        <v>1009.616868971631</v>
      </c>
      <c r="CJ184" s="85">
        <f t="shared" ca="1" si="278"/>
        <v>998.7669940723365</v>
      </c>
      <c r="CK184" s="85">
        <f t="shared" ca="1" si="279"/>
        <v>1042.2937272526547</v>
      </c>
      <c r="CL184" s="85">
        <f t="shared" ca="1" si="280"/>
        <v>985.37431731673564</v>
      </c>
      <c r="CM184" s="85">
        <f t="shared" ca="1" si="281"/>
        <v>1208.9704171688927</v>
      </c>
      <c r="CN184" s="85">
        <f t="shared" ca="1" si="282"/>
        <v>891.22247624419128</v>
      </c>
      <c r="CO184" s="85">
        <f t="shared" ca="1" si="283"/>
        <v>1025.8475836463713</v>
      </c>
      <c r="CP184" s="85">
        <f t="shared" ca="1" si="284"/>
        <v>1193.9162996300629</v>
      </c>
      <c r="CQ184" s="85">
        <f t="shared" ca="1" si="285"/>
        <v>1068.233697334904</v>
      </c>
      <c r="CR184" s="85">
        <f t="shared" ca="1" si="286"/>
        <v>1114.1171825405552</v>
      </c>
      <c r="CS184" s="85">
        <f t="shared" ca="1" si="287"/>
        <v>946.7704485385691</v>
      </c>
      <c r="CT184" s="85">
        <f t="shared" ca="1" si="288"/>
        <v>952.15584578733308</v>
      </c>
      <c r="CU184" s="85">
        <f t="shared" ca="1" si="289"/>
        <v>1407.7863946464063</v>
      </c>
      <c r="CV184" s="85">
        <f t="shared" ca="1" si="290"/>
        <v>1002.3347821821709</v>
      </c>
      <c r="CW184" s="85">
        <f t="shared" ca="1" si="291"/>
        <v>1036.2231974428512</v>
      </c>
    </row>
    <row r="185" spans="1:101" x14ac:dyDescent="0.2">
      <c r="A185" s="115">
        <v>182</v>
      </c>
      <c r="B185" s="85">
        <f t="shared" ca="1" si="202"/>
        <v>844.20240843119313</v>
      </c>
      <c r="C185" s="85">
        <f t="shared" ca="1" si="204"/>
        <v>1096.196696386538</v>
      </c>
      <c r="D185" s="85">
        <f t="shared" ca="1" si="205"/>
        <v>1095.3215499542516</v>
      </c>
      <c r="E185" s="85">
        <f t="shared" ca="1" si="206"/>
        <v>971.80329421211616</v>
      </c>
      <c r="F185" s="85">
        <f t="shared" ca="1" si="207"/>
        <v>1037.3348425253739</v>
      </c>
      <c r="G185" s="85">
        <f t="shared" ca="1" si="208"/>
        <v>1108.635250611828</v>
      </c>
      <c r="H185" s="85">
        <f t="shared" ca="1" si="209"/>
        <v>1096.9123909728776</v>
      </c>
      <c r="I185" s="85">
        <f t="shared" ca="1" si="210"/>
        <v>1229.5912579338462</v>
      </c>
      <c r="J185" s="85">
        <f t="shared" ca="1" si="211"/>
        <v>1010.9673307164861</v>
      </c>
      <c r="K185" s="85">
        <f t="shared" ca="1" si="212"/>
        <v>1174.309723441655</v>
      </c>
      <c r="L185" s="85">
        <f t="shared" ca="1" si="213"/>
        <v>1208.6987441694409</v>
      </c>
      <c r="M185" s="85">
        <f t="shared" ca="1" si="214"/>
        <v>914.30511115075865</v>
      </c>
      <c r="N185" s="85">
        <f t="shared" ca="1" si="215"/>
        <v>1077.7252719252176</v>
      </c>
      <c r="O185" s="85">
        <f t="shared" ca="1" si="216"/>
        <v>1021.6555416362135</v>
      </c>
      <c r="P185" s="85">
        <f t="shared" ca="1" si="217"/>
        <v>1199.4227530966853</v>
      </c>
      <c r="Q185" s="85">
        <f t="shared" ca="1" si="218"/>
        <v>1129.4593402815497</v>
      </c>
      <c r="R185" s="85">
        <f t="shared" ca="1" si="219"/>
        <v>1057.4553787951372</v>
      </c>
      <c r="S185" s="85">
        <f t="shared" ca="1" si="220"/>
        <v>1116.801200090159</v>
      </c>
      <c r="T185" s="85">
        <f t="shared" ca="1" si="221"/>
        <v>1057.7359506045664</v>
      </c>
      <c r="U185" s="85">
        <f t="shared" ca="1" si="222"/>
        <v>997.69609622302971</v>
      </c>
      <c r="V185" s="85">
        <f t="shared" ca="1" si="223"/>
        <v>1231.4581899543139</v>
      </c>
      <c r="W185" s="85">
        <f t="shared" ca="1" si="224"/>
        <v>1059.1498730644803</v>
      </c>
      <c r="X185" s="85">
        <f t="shared" ca="1" si="225"/>
        <v>1147.0496242434442</v>
      </c>
      <c r="Y185" s="85">
        <f t="shared" ca="1" si="226"/>
        <v>1044.1936403607817</v>
      </c>
      <c r="Z185" s="85">
        <f t="shared" ca="1" si="227"/>
        <v>1102.0389323331954</v>
      </c>
      <c r="AA185" s="85">
        <f t="shared" ca="1" si="228"/>
        <v>1004.8573892061441</v>
      </c>
      <c r="AB185" s="85">
        <f t="shared" ca="1" si="229"/>
        <v>1317.061086245295</v>
      </c>
      <c r="AC185" s="85">
        <f t="shared" ca="1" si="230"/>
        <v>1114.3539490393428</v>
      </c>
      <c r="AD185" s="85">
        <f t="shared" ca="1" si="231"/>
        <v>1282.5195190016216</v>
      </c>
      <c r="AE185" s="85">
        <f t="shared" ca="1" si="232"/>
        <v>1428.3544298473976</v>
      </c>
      <c r="AF185" s="85">
        <f t="shared" ca="1" si="233"/>
        <v>939.21175801700269</v>
      </c>
      <c r="AG185" s="85">
        <f t="shared" ca="1" si="234"/>
        <v>1227.5241193830625</v>
      </c>
      <c r="AH185" s="85">
        <f t="shared" ca="1" si="235"/>
        <v>984.02538265813519</v>
      </c>
      <c r="AI185" s="85">
        <f t="shared" ca="1" si="236"/>
        <v>1137.2500730176746</v>
      </c>
      <c r="AJ185" s="85">
        <f t="shared" ca="1" si="237"/>
        <v>1235.7431342631612</v>
      </c>
      <c r="AK185" s="85">
        <f t="shared" ca="1" si="238"/>
        <v>1117.4737112339317</v>
      </c>
      <c r="AL185" s="85">
        <f t="shared" ca="1" si="239"/>
        <v>1148.9195107303146</v>
      </c>
      <c r="AM185" s="85">
        <f t="shared" ca="1" si="240"/>
        <v>1019.0649407597452</v>
      </c>
      <c r="AN185" s="85">
        <f t="shared" ca="1" si="241"/>
        <v>1213.2874338557253</v>
      </c>
      <c r="AO185" s="85">
        <f t="shared" ca="1" si="242"/>
        <v>1340.2509333673072</v>
      </c>
      <c r="AP185" s="85">
        <f t="shared" ca="1" si="243"/>
        <v>1258.2727300781601</v>
      </c>
      <c r="AQ185" s="85">
        <f t="shared" ca="1" si="244"/>
        <v>989.36358375943132</v>
      </c>
      <c r="AR185" s="85">
        <f t="shared" ca="1" si="245"/>
        <v>1120.2424986086876</v>
      </c>
      <c r="AS185" s="85">
        <f t="shared" ca="1" si="246"/>
        <v>1030.7763954326267</v>
      </c>
      <c r="AT185" s="85">
        <f t="shared" ca="1" si="247"/>
        <v>1084.5720516271688</v>
      </c>
      <c r="AU185" s="85">
        <f t="shared" ca="1" si="248"/>
        <v>1199.9441376695031</v>
      </c>
      <c r="AV185" s="85">
        <f t="shared" ca="1" si="249"/>
        <v>1168.384545413069</v>
      </c>
      <c r="AW185" s="85">
        <f t="shared" ca="1" si="250"/>
        <v>1208.7429643452692</v>
      </c>
      <c r="AX185" s="85">
        <f t="shared" ca="1" si="251"/>
        <v>1262.3671023536369</v>
      </c>
      <c r="AY185" s="85">
        <f t="shared" ca="1" si="252"/>
        <v>1258.8484732862896</v>
      </c>
      <c r="AZ185" s="85">
        <f t="shared" ca="1" si="253"/>
        <v>1197.322373489392</v>
      </c>
      <c r="BA185" s="85">
        <f t="shared" ca="1" si="254"/>
        <v>1226.5551724187173</v>
      </c>
      <c r="BB185" s="85">
        <f t="shared" ca="1" si="255"/>
        <v>1019.495458207877</v>
      </c>
      <c r="BC185" s="85">
        <f t="shared" ca="1" si="256"/>
        <v>1245.551042619247</v>
      </c>
      <c r="BD185" s="85">
        <f t="shared" ca="1" si="257"/>
        <v>1162.8103024585562</v>
      </c>
      <c r="BE185" s="85">
        <f t="shared" ca="1" si="258"/>
        <v>1034.4393228505403</v>
      </c>
      <c r="BF185" s="85">
        <f t="shared" ca="1" si="259"/>
        <v>1022.8944786403603</v>
      </c>
      <c r="BG185" s="85">
        <f t="shared" ca="1" si="260"/>
        <v>986.80175445904592</v>
      </c>
      <c r="BH185" s="85">
        <f t="shared" ca="1" si="261"/>
        <v>1234.2573527594498</v>
      </c>
      <c r="BI185" s="85">
        <f t="shared" ca="1" si="262"/>
        <v>1004.8811766249066</v>
      </c>
      <c r="BJ185" s="85">
        <f t="shared" ca="1" si="263"/>
        <v>1152.8096815815743</v>
      </c>
      <c r="BK185" s="85">
        <f t="shared" ca="1" si="264"/>
        <v>1073.1196406558054</v>
      </c>
      <c r="BL185" s="85">
        <f t="shared" ca="1" si="265"/>
        <v>1035.963900675122</v>
      </c>
      <c r="BM185" s="85">
        <f t="shared" ca="1" si="266"/>
        <v>1093.236689962054</v>
      </c>
      <c r="BN185" s="85">
        <f t="shared" ca="1" si="203"/>
        <v>1218.9409124159522</v>
      </c>
      <c r="BO185" s="85">
        <f t="shared" ca="1" si="292"/>
        <v>1293.6497959969124</v>
      </c>
      <c r="BP185" s="85">
        <f t="shared" ca="1" si="293"/>
        <v>1052.7089466365223</v>
      </c>
      <c r="BQ185" s="85">
        <f t="shared" ca="1" si="294"/>
        <v>1112.3540525543481</v>
      </c>
      <c r="BR185" s="85">
        <f t="shared" ca="1" si="295"/>
        <v>983.02360639433869</v>
      </c>
      <c r="BS185" s="85">
        <f t="shared" ca="1" si="296"/>
        <v>1168.5566714222336</v>
      </c>
      <c r="BT185" s="85">
        <f t="shared" ca="1" si="297"/>
        <v>1278.822958058628</v>
      </c>
      <c r="BU185" s="85">
        <f t="shared" ca="1" si="298"/>
        <v>1063.5638358810847</v>
      </c>
      <c r="BV185" s="85">
        <f t="shared" ca="1" si="299"/>
        <v>1045.3583157395922</v>
      </c>
      <c r="BW185" s="85">
        <f t="shared" ca="1" si="300"/>
        <v>1205.9690514740394</v>
      </c>
      <c r="BX185" s="85">
        <f t="shared" ca="1" si="301"/>
        <v>1146.5260323952389</v>
      </c>
      <c r="BY185" s="85">
        <f t="shared" ca="1" si="267"/>
        <v>1038.5664219090252</v>
      </c>
      <c r="BZ185" s="85">
        <f t="shared" ca="1" si="268"/>
        <v>1059.9092280028833</v>
      </c>
      <c r="CA185" s="85">
        <f t="shared" ca="1" si="269"/>
        <v>1060.6513121213241</v>
      </c>
      <c r="CB185" s="85">
        <f t="shared" ca="1" si="270"/>
        <v>1002.9624618419826</v>
      </c>
      <c r="CC185" s="85">
        <f t="shared" ca="1" si="271"/>
        <v>1184.7002706994256</v>
      </c>
      <c r="CD185" s="85">
        <f t="shared" ca="1" si="272"/>
        <v>1352.5431120884864</v>
      </c>
      <c r="CE185" s="85">
        <f t="shared" ca="1" si="273"/>
        <v>1047.8820773488681</v>
      </c>
      <c r="CF185" s="85">
        <f t="shared" ca="1" si="274"/>
        <v>1241.0234815963547</v>
      </c>
      <c r="CG185" s="85">
        <f t="shared" ca="1" si="275"/>
        <v>957.42314042120574</v>
      </c>
      <c r="CH185" s="85">
        <f t="shared" ca="1" si="276"/>
        <v>1134.5493433773418</v>
      </c>
      <c r="CI185" s="85">
        <f t="shared" ca="1" si="277"/>
        <v>1029.4104588974994</v>
      </c>
      <c r="CJ185" s="85">
        <f t="shared" ca="1" si="278"/>
        <v>1024.0794555050168</v>
      </c>
      <c r="CK185" s="85">
        <f t="shared" ca="1" si="279"/>
        <v>1066.9119243897267</v>
      </c>
      <c r="CL185" s="85">
        <f t="shared" ca="1" si="280"/>
        <v>997.74577540157713</v>
      </c>
      <c r="CM185" s="85">
        <f t="shared" ca="1" si="281"/>
        <v>1229.1214713197401</v>
      </c>
      <c r="CN185" s="85">
        <f t="shared" ca="1" si="282"/>
        <v>906.17810212845484</v>
      </c>
      <c r="CO185" s="85">
        <f t="shared" ca="1" si="283"/>
        <v>1039.5404356377105</v>
      </c>
      <c r="CP185" s="85">
        <f t="shared" ca="1" si="284"/>
        <v>1205.8619688888477</v>
      </c>
      <c r="CQ185" s="85">
        <f t="shared" ca="1" si="285"/>
        <v>1080.6626348074428</v>
      </c>
      <c r="CR185" s="85">
        <f t="shared" ca="1" si="286"/>
        <v>1137.278892648068</v>
      </c>
      <c r="CS185" s="85">
        <f t="shared" ca="1" si="287"/>
        <v>947.39102805685127</v>
      </c>
      <c r="CT185" s="85">
        <f t="shared" ca="1" si="288"/>
        <v>957.2590060886763</v>
      </c>
      <c r="CU185" s="85">
        <f t="shared" ca="1" si="289"/>
        <v>1436.7583275962586</v>
      </c>
      <c r="CV185" s="85">
        <f t="shared" ca="1" si="290"/>
        <v>1017.3583895000544</v>
      </c>
      <c r="CW185" s="85">
        <f t="shared" ca="1" si="291"/>
        <v>1046.6789348326784</v>
      </c>
    </row>
    <row r="186" spans="1:101" x14ac:dyDescent="0.2">
      <c r="A186" s="115">
        <v>183</v>
      </c>
      <c r="B186" s="85">
        <f t="shared" ca="1" si="202"/>
        <v>858.68137588948491</v>
      </c>
      <c r="C186" s="85">
        <f t="shared" ca="1" si="204"/>
        <v>1108.1642309369529</v>
      </c>
      <c r="D186" s="85">
        <f t="shared" ca="1" si="205"/>
        <v>1113.9860851506933</v>
      </c>
      <c r="E186" s="85">
        <f t="shared" ca="1" si="206"/>
        <v>992.94757107615453</v>
      </c>
      <c r="F186" s="85">
        <f t="shared" ca="1" si="207"/>
        <v>1043.249393376394</v>
      </c>
      <c r="G186" s="85">
        <f t="shared" ca="1" si="208"/>
        <v>1107.8811017238579</v>
      </c>
      <c r="H186" s="85">
        <f t="shared" ca="1" si="209"/>
        <v>1120.3464917830042</v>
      </c>
      <c r="I186" s="85">
        <f t="shared" ca="1" si="210"/>
        <v>1259.4920387211018</v>
      </c>
      <c r="J186" s="85">
        <f t="shared" ca="1" si="211"/>
        <v>1036.0739086566537</v>
      </c>
      <c r="K186" s="85">
        <f t="shared" ca="1" si="212"/>
        <v>1181.5957897495507</v>
      </c>
      <c r="L186" s="85">
        <f t="shared" ca="1" si="213"/>
        <v>1224.5175391214502</v>
      </c>
      <c r="M186" s="85">
        <f t="shared" ca="1" si="214"/>
        <v>927.82129836134789</v>
      </c>
      <c r="N186" s="85">
        <f t="shared" ca="1" si="215"/>
        <v>1089.1712126485033</v>
      </c>
      <c r="O186" s="85">
        <f t="shared" ca="1" si="216"/>
        <v>1035.3677931524721</v>
      </c>
      <c r="P186" s="85">
        <f t="shared" ca="1" si="217"/>
        <v>1205.2304585304607</v>
      </c>
      <c r="Q186" s="85">
        <f t="shared" ca="1" si="218"/>
        <v>1147.8804013341389</v>
      </c>
      <c r="R186" s="85">
        <f t="shared" ca="1" si="219"/>
        <v>1053.6901313465353</v>
      </c>
      <c r="S186" s="85">
        <f t="shared" ca="1" si="220"/>
        <v>1125.8686397180898</v>
      </c>
      <c r="T186" s="85">
        <f t="shared" ca="1" si="221"/>
        <v>1071.7409928518448</v>
      </c>
      <c r="U186" s="85">
        <f t="shared" ca="1" si="222"/>
        <v>1009.2016516841717</v>
      </c>
      <c r="V186" s="85">
        <f t="shared" ca="1" si="223"/>
        <v>1251.4305398104789</v>
      </c>
      <c r="W186" s="85">
        <f t="shared" ca="1" si="224"/>
        <v>1063.9087656780371</v>
      </c>
      <c r="X186" s="85">
        <f t="shared" ca="1" si="225"/>
        <v>1160.6219324008923</v>
      </c>
      <c r="Y186" s="85">
        <f t="shared" ca="1" si="226"/>
        <v>1054.4685175071349</v>
      </c>
      <c r="Z186" s="85">
        <f t="shared" ca="1" si="227"/>
        <v>1106.6652760247275</v>
      </c>
      <c r="AA186" s="85">
        <f t="shared" ca="1" si="228"/>
        <v>1018.7307226705524</v>
      </c>
      <c r="AB186" s="85">
        <f t="shared" ca="1" si="229"/>
        <v>1323.8568676156001</v>
      </c>
      <c r="AC186" s="85">
        <f t="shared" ca="1" si="230"/>
        <v>1115.672273787603</v>
      </c>
      <c r="AD186" s="85">
        <f t="shared" ca="1" si="231"/>
        <v>1287.2845676297316</v>
      </c>
      <c r="AE186" s="85">
        <f t="shared" ca="1" si="232"/>
        <v>1437.8897088346012</v>
      </c>
      <c r="AF186" s="85">
        <f t="shared" ca="1" si="233"/>
        <v>956.61962386531889</v>
      </c>
      <c r="AG186" s="85">
        <f t="shared" ca="1" si="234"/>
        <v>1239.1061294025808</v>
      </c>
      <c r="AH186" s="85">
        <f t="shared" ca="1" si="235"/>
        <v>1004.0955315183653</v>
      </c>
      <c r="AI186" s="85">
        <f t="shared" ca="1" si="236"/>
        <v>1146.1395915481889</v>
      </c>
      <c r="AJ186" s="85">
        <f t="shared" ca="1" si="237"/>
        <v>1260.9954207583314</v>
      </c>
      <c r="AK186" s="85">
        <f t="shared" ca="1" si="238"/>
        <v>1129.5785778369382</v>
      </c>
      <c r="AL186" s="85">
        <f t="shared" ca="1" si="239"/>
        <v>1165.4674567296659</v>
      </c>
      <c r="AM186" s="85">
        <f t="shared" ca="1" si="240"/>
        <v>1028.4675823268653</v>
      </c>
      <c r="AN186" s="85">
        <f t="shared" ca="1" si="241"/>
        <v>1223.2974791124866</v>
      </c>
      <c r="AO186" s="85">
        <f t="shared" ca="1" si="242"/>
        <v>1377.6553505371667</v>
      </c>
      <c r="AP186" s="85">
        <f t="shared" ca="1" si="243"/>
        <v>1268.6804467718769</v>
      </c>
      <c r="AQ186" s="85">
        <f t="shared" ca="1" si="244"/>
        <v>1010.8416443304694</v>
      </c>
      <c r="AR186" s="85">
        <f t="shared" ca="1" si="245"/>
        <v>1130.1221379361507</v>
      </c>
      <c r="AS186" s="85">
        <f t="shared" ca="1" si="246"/>
        <v>1052.0885728487392</v>
      </c>
      <c r="AT186" s="85">
        <f t="shared" ca="1" si="247"/>
        <v>1104.3657528983597</v>
      </c>
      <c r="AU186" s="85">
        <f t="shared" ca="1" si="248"/>
        <v>1210.1741507986501</v>
      </c>
      <c r="AV186" s="85">
        <f t="shared" ca="1" si="249"/>
        <v>1187.4530887627598</v>
      </c>
      <c r="AW186" s="85">
        <f t="shared" ca="1" si="250"/>
        <v>1218.8903079892302</v>
      </c>
      <c r="AX186" s="85">
        <f t="shared" ca="1" si="251"/>
        <v>1279.6497178035008</v>
      </c>
      <c r="AY186" s="85">
        <f t="shared" ca="1" si="252"/>
        <v>1278.4657024073442</v>
      </c>
      <c r="AZ186" s="85">
        <f t="shared" ca="1" si="253"/>
        <v>1203.6900355274654</v>
      </c>
      <c r="BA186" s="85">
        <f t="shared" ca="1" si="254"/>
        <v>1235.1494041363444</v>
      </c>
      <c r="BB186" s="85">
        <f t="shared" ca="1" si="255"/>
        <v>1038.0565728352167</v>
      </c>
      <c r="BC186" s="85">
        <f t="shared" ca="1" si="256"/>
        <v>1273.7420592274225</v>
      </c>
      <c r="BD186" s="85">
        <f t="shared" ca="1" si="257"/>
        <v>1167.0663626015278</v>
      </c>
      <c r="BE186" s="85">
        <f t="shared" ca="1" si="258"/>
        <v>1038.8252752705653</v>
      </c>
      <c r="BF186" s="85">
        <f t="shared" ca="1" si="259"/>
        <v>1029.3328116981581</v>
      </c>
      <c r="BG186" s="85">
        <f t="shared" ca="1" si="260"/>
        <v>1000.4574583210375</v>
      </c>
      <c r="BH186" s="85">
        <f t="shared" ca="1" si="261"/>
        <v>1230.2289652758554</v>
      </c>
      <c r="BI186" s="85">
        <f t="shared" ca="1" si="262"/>
        <v>1024.8608294231669</v>
      </c>
      <c r="BJ186" s="85">
        <f t="shared" ca="1" si="263"/>
        <v>1176.6203417217687</v>
      </c>
      <c r="BK186" s="85">
        <f t="shared" ca="1" si="264"/>
        <v>1081.3389400259514</v>
      </c>
      <c r="BL186" s="85">
        <f t="shared" ca="1" si="265"/>
        <v>1042.7577688188112</v>
      </c>
      <c r="BM186" s="85">
        <f t="shared" ca="1" si="266"/>
        <v>1121.7164407534924</v>
      </c>
      <c r="BN186" s="85">
        <f t="shared" ca="1" si="203"/>
        <v>1228.0449041664542</v>
      </c>
      <c r="BO186" s="85">
        <f t="shared" ca="1" si="292"/>
        <v>1317.6786056586604</v>
      </c>
      <c r="BP186" s="85">
        <f t="shared" ca="1" si="293"/>
        <v>1065.9069813707808</v>
      </c>
      <c r="BQ186" s="85">
        <f t="shared" ca="1" si="294"/>
        <v>1121.1645643535171</v>
      </c>
      <c r="BR186" s="85">
        <f t="shared" ca="1" si="295"/>
        <v>1007.7315725310066</v>
      </c>
      <c r="BS186" s="85">
        <f t="shared" ca="1" si="296"/>
        <v>1173.5962433199322</v>
      </c>
      <c r="BT186" s="85">
        <f t="shared" ca="1" si="297"/>
        <v>1304.440116448827</v>
      </c>
      <c r="BU186" s="85">
        <f t="shared" ca="1" si="298"/>
        <v>1075.7839114051517</v>
      </c>
      <c r="BV186" s="85">
        <f t="shared" ca="1" si="299"/>
        <v>1070.7351694116458</v>
      </c>
      <c r="BW186" s="85">
        <f t="shared" ca="1" si="300"/>
        <v>1220.2685939608871</v>
      </c>
      <c r="BX186" s="85">
        <f t="shared" ca="1" si="301"/>
        <v>1159.9540378064339</v>
      </c>
      <c r="BY186" s="85">
        <f t="shared" ca="1" si="267"/>
        <v>1059.7416575561247</v>
      </c>
      <c r="BZ186" s="85">
        <f t="shared" ca="1" si="268"/>
        <v>1068.1992801621877</v>
      </c>
      <c r="CA186" s="85">
        <f t="shared" ca="1" si="269"/>
        <v>1082.2563657959422</v>
      </c>
      <c r="CB186" s="85">
        <f t="shared" ca="1" si="270"/>
        <v>1011.5255196576009</v>
      </c>
      <c r="CC186" s="85">
        <f t="shared" ca="1" si="271"/>
        <v>1203.5795107265458</v>
      </c>
      <c r="CD186" s="85">
        <f t="shared" ca="1" si="272"/>
        <v>1364.3928293258509</v>
      </c>
      <c r="CE186" s="85">
        <f t="shared" ca="1" si="273"/>
        <v>1055.1963920493479</v>
      </c>
      <c r="CF186" s="85">
        <f t="shared" ca="1" si="274"/>
        <v>1266.1620923009773</v>
      </c>
      <c r="CG186" s="85">
        <f t="shared" ca="1" si="275"/>
        <v>967.00212466991286</v>
      </c>
      <c r="CH186" s="85">
        <f t="shared" ca="1" si="276"/>
        <v>1152.2215328726686</v>
      </c>
      <c r="CI186" s="85">
        <f t="shared" ca="1" si="277"/>
        <v>1046.4334602144202</v>
      </c>
      <c r="CJ186" s="85">
        <f t="shared" ca="1" si="278"/>
        <v>1031.6961391905581</v>
      </c>
      <c r="CK186" s="85">
        <f t="shared" ca="1" si="279"/>
        <v>1085.4169691542836</v>
      </c>
      <c r="CL186" s="85">
        <f t="shared" ca="1" si="280"/>
        <v>1014.102498848573</v>
      </c>
      <c r="CM186" s="85">
        <f t="shared" ca="1" si="281"/>
        <v>1245.3503841866279</v>
      </c>
      <c r="CN186" s="85">
        <f t="shared" ca="1" si="282"/>
        <v>913.0856074316664</v>
      </c>
      <c r="CO186" s="85">
        <f t="shared" ca="1" si="283"/>
        <v>1037.5239385539667</v>
      </c>
      <c r="CP186" s="85">
        <f t="shared" ca="1" si="284"/>
        <v>1235.2405393257668</v>
      </c>
      <c r="CQ186" s="85">
        <f t="shared" ca="1" si="285"/>
        <v>1086.9337295817322</v>
      </c>
      <c r="CR186" s="85">
        <f t="shared" ca="1" si="286"/>
        <v>1136.319765345489</v>
      </c>
      <c r="CS186" s="85">
        <f t="shared" ca="1" si="287"/>
        <v>950.61351403445838</v>
      </c>
      <c r="CT186" s="85">
        <f t="shared" ca="1" si="288"/>
        <v>963.1119511026792</v>
      </c>
      <c r="CU186" s="85">
        <f t="shared" ca="1" si="289"/>
        <v>1457.3060781633167</v>
      </c>
      <c r="CV186" s="85">
        <f t="shared" ca="1" si="290"/>
        <v>1035.0422365236659</v>
      </c>
      <c r="CW186" s="85">
        <f t="shared" ca="1" si="291"/>
        <v>1058.4009103851581</v>
      </c>
    </row>
    <row r="187" spans="1:101" x14ac:dyDescent="0.2">
      <c r="A187" s="115">
        <v>184</v>
      </c>
      <c r="B187" s="85">
        <f t="shared" ca="1" si="202"/>
        <v>871.81645811363535</v>
      </c>
      <c r="C187" s="85">
        <f t="shared" ca="1" si="204"/>
        <v>1115.8387492445838</v>
      </c>
      <c r="D187" s="85">
        <f t="shared" ca="1" si="205"/>
        <v>1127.8869864650576</v>
      </c>
      <c r="E187" s="85">
        <f t="shared" ca="1" si="206"/>
        <v>1001.1117188411228</v>
      </c>
      <c r="F187" s="85">
        <f t="shared" ca="1" si="207"/>
        <v>1067.6229872313379</v>
      </c>
      <c r="G187" s="85">
        <f t="shared" ca="1" si="208"/>
        <v>1119.6321400216023</v>
      </c>
      <c r="H187" s="85">
        <f t="shared" ca="1" si="209"/>
        <v>1131.7415565021445</v>
      </c>
      <c r="I187" s="85">
        <f t="shared" ca="1" si="210"/>
        <v>1286.6456898331023</v>
      </c>
      <c r="J187" s="85">
        <f t="shared" ca="1" si="211"/>
        <v>1052.4736124784117</v>
      </c>
      <c r="K187" s="85">
        <f t="shared" ca="1" si="212"/>
        <v>1210.7400843406481</v>
      </c>
      <c r="L187" s="85">
        <f t="shared" ca="1" si="213"/>
        <v>1236.4564902391758</v>
      </c>
      <c r="M187" s="85">
        <f t="shared" ca="1" si="214"/>
        <v>941.22905598753823</v>
      </c>
      <c r="N187" s="85">
        <f t="shared" ca="1" si="215"/>
        <v>1107.3941947135995</v>
      </c>
      <c r="O187" s="85">
        <f t="shared" ca="1" si="216"/>
        <v>1048.2999555391643</v>
      </c>
      <c r="P187" s="85">
        <f t="shared" ca="1" si="217"/>
        <v>1236.6830705093182</v>
      </c>
      <c r="Q187" s="85">
        <f t="shared" ca="1" si="218"/>
        <v>1175.6771167217746</v>
      </c>
      <c r="R187" s="85">
        <f t="shared" ca="1" si="219"/>
        <v>1069.4990108919469</v>
      </c>
      <c r="S187" s="85">
        <f t="shared" ca="1" si="220"/>
        <v>1141.5797115189916</v>
      </c>
      <c r="T187" s="85">
        <f t="shared" ca="1" si="221"/>
        <v>1079.3064909138698</v>
      </c>
      <c r="U187" s="85">
        <f t="shared" ca="1" si="222"/>
        <v>1019.5875789852906</v>
      </c>
      <c r="V187" s="85">
        <f t="shared" ca="1" si="223"/>
        <v>1268.3559029896817</v>
      </c>
      <c r="W187" s="85">
        <f t="shared" ca="1" si="224"/>
        <v>1076.6808767434636</v>
      </c>
      <c r="X187" s="85">
        <f t="shared" ca="1" si="225"/>
        <v>1159.6683258431669</v>
      </c>
      <c r="Y187" s="85">
        <f t="shared" ca="1" si="226"/>
        <v>1058.0090835950932</v>
      </c>
      <c r="Z187" s="85">
        <f t="shared" ca="1" si="227"/>
        <v>1109.7156502898717</v>
      </c>
      <c r="AA187" s="85">
        <f t="shared" ca="1" si="228"/>
        <v>1018.0853794804448</v>
      </c>
      <c r="AB187" s="85">
        <f t="shared" ca="1" si="229"/>
        <v>1339.4993596507936</v>
      </c>
      <c r="AC187" s="85">
        <f t="shared" ca="1" si="230"/>
        <v>1132.9692571094636</v>
      </c>
      <c r="AD187" s="85">
        <f t="shared" ca="1" si="231"/>
        <v>1302.7143323114215</v>
      </c>
      <c r="AE187" s="85">
        <f t="shared" ca="1" si="232"/>
        <v>1463.9579564590611</v>
      </c>
      <c r="AF187" s="85">
        <f t="shared" ca="1" si="233"/>
        <v>966.00650940440346</v>
      </c>
      <c r="AG187" s="85">
        <f t="shared" ca="1" si="234"/>
        <v>1261.4787824066336</v>
      </c>
      <c r="AH187" s="85">
        <f t="shared" ca="1" si="235"/>
        <v>1017.1163293078372</v>
      </c>
      <c r="AI187" s="85">
        <f t="shared" ca="1" si="236"/>
        <v>1163.7116995824017</v>
      </c>
      <c r="AJ187" s="85">
        <f t="shared" ca="1" si="237"/>
        <v>1292.3500250513366</v>
      </c>
      <c r="AK187" s="85">
        <f t="shared" ca="1" si="238"/>
        <v>1144.1618202822574</v>
      </c>
      <c r="AL187" s="85">
        <f t="shared" ca="1" si="239"/>
        <v>1173.4897879790444</v>
      </c>
      <c r="AM187" s="85">
        <f t="shared" ca="1" si="240"/>
        <v>1047.3118992152906</v>
      </c>
      <c r="AN187" s="85">
        <f t="shared" ca="1" si="241"/>
        <v>1232.7774896694891</v>
      </c>
      <c r="AO187" s="85">
        <f t="shared" ca="1" si="242"/>
        <v>1388.3460481383186</v>
      </c>
      <c r="AP187" s="85">
        <f t="shared" ca="1" si="243"/>
        <v>1280.6449992032558</v>
      </c>
      <c r="AQ187" s="85">
        <f t="shared" ca="1" si="244"/>
        <v>1020.649368646913</v>
      </c>
      <c r="AR187" s="85">
        <f t="shared" ca="1" si="245"/>
        <v>1142.0685475399086</v>
      </c>
      <c r="AS187" s="85">
        <f t="shared" ca="1" si="246"/>
        <v>1070.2877064346101</v>
      </c>
      <c r="AT187" s="85">
        <f t="shared" ca="1" si="247"/>
        <v>1127.5081577592002</v>
      </c>
      <c r="AU187" s="85">
        <f t="shared" ca="1" si="248"/>
        <v>1226.1277760084552</v>
      </c>
      <c r="AV187" s="85">
        <f t="shared" ca="1" si="249"/>
        <v>1203.2833144547922</v>
      </c>
      <c r="AW187" s="85">
        <f t="shared" ca="1" si="250"/>
        <v>1228.768648095398</v>
      </c>
      <c r="AX187" s="85">
        <f t="shared" ca="1" si="251"/>
        <v>1299.5369172139744</v>
      </c>
      <c r="AY187" s="85">
        <f t="shared" ca="1" si="252"/>
        <v>1306.4801495782599</v>
      </c>
      <c r="AZ187" s="85">
        <f t="shared" ca="1" si="253"/>
        <v>1222.6262778972946</v>
      </c>
      <c r="BA187" s="85">
        <f t="shared" ca="1" si="254"/>
        <v>1251.110048353934</v>
      </c>
      <c r="BB187" s="85">
        <f t="shared" ca="1" si="255"/>
        <v>1055.006304231955</v>
      </c>
      <c r="BC187" s="85">
        <f t="shared" ca="1" si="256"/>
        <v>1318.9924079083146</v>
      </c>
      <c r="BD187" s="85">
        <f t="shared" ca="1" si="257"/>
        <v>1183.4375089414675</v>
      </c>
      <c r="BE187" s="85">
        <f t="shared" ca="1" si="258"/>
        <v>1048.5124568255512</v>
      </c>
      <c r="BF187" s="85">
        <f t="shared" ca="1" si="259"/>
        <v>1040.7666268399337</v>
      </c>
      <c r="BG187" s="85">
        <f t="shared" ca="1" si="260"/>
        <v>1017.9024850670752</v>
      </c>
      <c r="BH187" s="85">
        <f t="shared" ca="1" si="261"/>
        <v>1238.8038416845077</v>
      </c>
      <c r="BI187" s="85">
        <f t="shared" ca="1" si="262"/>
        <v>1038.5945802691779</v>
      </c>
      <c r="BJ187" s="85">
        <f t="shared" ca="1" si="263"/>
        <v>1195.488001695478</v>
      </c>
      <c r="BK187" s="85">
        <f t="shared" ca="1" si="264"/>
        <v>1109.0970472535571</v>
      </c>
      <c r="BL187" s="85">
        <f t="shared" ca="1" si="265"/>
        <v>1045.217914918054</v>
      </c>
      <c r="BM187" s="85">
        <f t="shared" ca="1" si="266"/>
        <v>1138.5389003400119</v>
      </c>
      <c r="BN187" s="85">
        <f t="shared" ca="1" si="203"/>
        <v>1235.2571507071075</v>
      </c>
      <c r="BO187" s="85">
        <f t="shared" ca="1" si="292"/>
        <v>1330.6883768929922</v>
      </c>
      <c r="BP187" s="85">
        <f t="shared" ca="1" si="293"/>
        <v>1086.4148511127357</v>
      </c>
      <c r="BQ187" s="85">
        <f t="shared" ca="1" si="294"/>
        <v>1135.2771055191213</v>
      </c>
      <c r="BR187" s="85">
        <f t="shared" ca="1" si="295"/>
        <v>1007.083741332683</v>
      </c>
      <c r="BS187" s="85">
        <f t="shared" ca="1" si="296"/>
        <v>1194.482904080289</v>
      </c>
      <c r="BT187" s="85">
        <f t="shared" ca="1" si="297"/>
        <v>1317.9326770190467</v>
      </c>
      <c r="BU187" s="85">
        <f t="shared" ca="1" si="298"/>
        <v>1086.2780948656703</v>
      </c>
      <c r="BV187" s="85">
        <f t="shared" ca="1" si="299"/>
        <v>1092.9418230763038</v>
      </c>
      <c r="BW187" s="85">
        <f t="shared" ca="1" si="300"/>
        <v>1237.2690282200292</v>
      </c>
      <c r="BX187" s="85">
        <f t="shared" ca="1" si="301"/>
        <v>1164.9520542849173</v>
      </c>
      <c r="BY187" s="85">
        <f t="shared" ca="1" si="267"/>
        <v>1082.2515216667691</v>
      </c>
      <c r="BZ187" s="85">
        <f t="shared" ca="1" si="268"/>
        <v>1090.1563078439156</v>
      </c>
      <c r="CA187" s="85">
        <f t="shared" ca="1" si="269"/>
        <v>1098.0409417346684</v>
      </c>
      <c r="CB187" s="85">
        <f t="shared" ca="1" si="270"/>
        <v>1020.6743354815069</v>
      </c>
      <c r="CC187" s="85">
        <f t="shared" ca="1" si="271"/>
        <v>1217.7272691789235</v>
      </c>
      <c r="CD187" s="85">
        <f t="shared" ca="1" si="272"/>
        <v>1368.4520701963309</v>
      </c>
      <c r="CE187" s="85">
        <f t="shared" ca="1" si="273"/>
        <v>1077.0101467105965</v>
      </c>
      <c r="CF187" s="85">
        <f t="shared" ca="1" si="274"/>
        <v>1291.4922781837904</v>
      </c>
      <c r="CG187" s="85">
        <f t="shared" ca="1" si="275"/>
        <v>984.27612525907045</v>
      </c>
      <c r="CH187" s="85">
        <f t="shared" ca="1" si="276"/>
        <v>1164.3055776087742</v>
      </c>
      <c r="CI187" s="85">
        <f t="shared" ca="1" si="277"/>
        <v>1061.8823097691679</v>
      </c>
      <c r="CJ187" s="85">
        <f t="shared" ca="1" si="278"/>
        <v>1047.554430014171</v>
      </c>
      <c r="CK187" s="85">
        <f t="shared" ca="1" si="279"/>
        <v>1101.5115341301487</v>
      </c>
      <c r="CL187" s="85">
        <f t="shared" ca="1" si="280"/>
        <v>1036.4753867598238</v>
      </c>
      <c r="CM187" s="85">
        <f t="shared" ca="1" si="281"/>
        <v>1269.6732396818397</v>
      </c>
      <c r="CN187" s="85">
        <f t="shared" ca="1" si="282"/>
        <v>915.56655837108281</v>
      </c>
      <c r="CO187" s="85">
        <f t="shared" ca="1" si="283"/>
        <v>1049.1946043168884</v>
      </c>
      <c r="CP187" s="85">
        <f t="shared" ca="1" si="284"/>
        <v>1248.7603195683532</v>
      </c>
      <c r="CQ187" s="85">
        <f t="shared" ca="1" si="285"/>
        <v>1102.688560138085</v>
      </c>
      <c r="CR187" s="85">
        <f t="shared" ca="1" si="286"/>
        <v>1147.1809434557747</v>
      </c>
      <c r="CS187" s="85">
        <f t="shared" ca="1" si="287"/>
        <v>948.34657135290126</v>
      </c>
      <c r="CT187" s="85">
        <f t="shared" ca="1" si="288"/>
        <v>979.33187857038649</v>
      </c>
      <c r="CU187" s="85">
        <f t="shared" ca="1" si="289"/>
        <v>1483.818007975817</v>
      </c>
      <c r="CV187" s="85">
        <f t="shared" ca="1" si="290"/>
        <v>1044.759736361035</v>
      </c>
      <c r="CW187" s="85">
        <f t="shared" ca="1" si="291"/>
        <v>1073.7933210591898</v>
      </c>
    </row>
    <row r="188" spans="1:101" x14ac:dyDescent="0.2">
      <c r="A188" s="115">
        <v>185</v>
      </c>
      <c r="B188" s="85">
        <f t="shared" ca="1" si="202"/>
        <v>885.76066760540493</v>
      </c>
      <c r="C188" s="85">
        <f t="shared" ca="1" si="204"/>
        <v>1130.0148084118346</v>
      </c>
      <c r="D188" s="85">
        <f t="shared" ca="1" si="205"/>
        <v>1142.6009791750021</v>
      </c>
      <c r="E188" s="85">
        <f t="shared" ca="1" si="206"/>
        <v>1017.311469438122</v>
      </c>
      <c r="F188" s="85">
        <f t="shared" ca="1" si="207"/>
        <v>1081.5317987496169</v>
      </c>
      <c r="G188" s="85">
        <f t="shared" ca="1" si="208"/>
        <v>1134.9832721969703</v>
      </c>
      <c r="H188" s="85">
        <f t="shared" ca="1" si="209"/>
        <v>1148.4859755497148</v>
      </c>
      <c r="I188" s="85">
        <f t="shared" ca="1" si="210"/>
        <v>1296.7771502357759</v>
      </c>
      <c r="J188" s="85">
        <f t="shared" ca="1" si="211"/>
        <v>1074.6946731769613</v>
      </c>
      <c r="K188" s="85">
        <f t="shared" ca="1" si="212"/>
        <v>1226.4498769553047</v>
      </c>
      <c r="L188" s="85">
        <f t="shared" ca="1" si="213"/>
        <v>1252.8699967803022</v>
      </c>
      <c r="M188" s="85">
        <f t="shared" ca="1" si="214"/>
        <v>952.9984557809147</v>
      </c>
      <c r="N188" s="85">
        <f t="shared" ca="1" si="215"/>
        <v>1128.3418092666807</v>
      </c>
      <c r="O188" s="85">
        <f t="shared" ca="1" si="216"/>
        <v>1072.4640288795015</v>
      </c>
      <c r="P188" s="85">
        <f t="shared" ca="1" si="217"/>
        <v>1235.7755310584066</v>
      </c>
      <c r="Q188" s="85">
        <f t="shared" ca="1" si="218"/>
        <v>1190.8782119725072</v>
      </c>
      <c r="R188" s="85">
        <f t="shared" ca="1" si="219"/>
        <v>1079.3913249155955</v>
      </c>
      <c r="S188" s="85">
        <f t="shared" ca="1" si="220"/>
        <v>1157.7960212371192</v>
      </c>
      <c r="T188" s="85">
        <f t="shared" ca="1" si="221"/>
        <v>1105.5816712294954</v>
      </c>
      <c r="U188" s="85">
        <f t="shared" ca="1" si="222"/>
        <v>1036.6839896599117</v>
      </c>
      <c r="V188" s="85">
        <f t="shared" ca="1" si="223"/>
        <v>1279.9035412941157</v>
      </c>
      <c r="W188" s="85">
        <f t="shared" ca="1" si="224"/>
        <v>1089.3228488932402</v>
      </c>
      <c r="X188" s="85">
        <f t="shared" ca="1" si="225"/>
        <v>1168.9774951554646</v>
      </c>
      <c r="Y188" s="85">
        <f t="shared" ca="1" si="226"/>
        <v>1057.8538998783733</v>
      </c>
      <c r="Z188" s="85">
        <f t="shared" ca="1" si="227"/>
        <v>1133.4065873214233</v>
      </c>
      <c r="AA188" s="85">
        <f t="shared" ca="1" si="228"/>
        <v>1026.567864627981</v>
      </c>
      <c r="AB188" s="85">
        <f t="shared" ca="1" si="229"/>
        <v>1333.4602404468083</v>
      </c>
      <c r="AC188" s="85">
        <f t="shared" ca="1" si="230"/>
        <v>1160.8787614768623</v>
      </c>
      <c r="AD188" s="85">
        <f t="shared" ca="1" si="231"/>
        <v>1311.4725167416948</v>
      </c>
      <c r="AE188" s="85">
        <f t="shared" ca="1" si="232"/>
        <v>1484.7781076304657</v>
      </c>
      <c r="AF188" s="85">
        <f t="shared" ca="1" si="233"/>
        <v>978.61800463580903</v>
      </c>
      <c r="AG188" s="85">
        <f t="shared" ca="1" si="234"/>
        <v>1287.8722882593386</v>
      </c>
      <c r="AH188" s="85">
        <f t="shared" ca="1" si="235"/>
        <v>1034.8817387314798</v>
      </c>
      <c r="AI188" s="85">
        <f t="shared" ca="1" si="236"/>
        <v>1191.8483353689651</v>
      </c>
      <c r="AJ188" s="85">
        <f t="shared" ca="1" si="237"/>
        <v>1314.4692404649541</v>
      </c>
      <c r="AK188" s="85">
        <f t="shared" ca="1" si="238"/>
        <v>1166.1564929406518</v>
      </c>
      <c r="AL188" s="85">
        <f t="shared" ca="1" si="239"/>
        <v>1178.3097288770864</v>
      </c>
      <c r="AM188" s="85">
        <f t="shared" ca="1" si="240"/>
        <v>1073.0609449228091</v>
      </c>
      <c r="AN188" s="85">
        <f t="shared" ca="1" si="241"/>
        <v>1250.8833889543198</v>
      </c>
      <c r="AO188" s="85">
        <f t="shared" ca="1" si="242"/>
        <v>1428.829979615464</v>
      </c>
      <c r="AP188" s="85">
        <f t="shared" ca="1" si="243"/>
        <v>1317.4295932769412</v>
      </c>
      <c r="AQ188" s="85">
        <f t="shared" ca="1" si="244"/>
        <v>1034.9652925978719</v>
      </c>
      <c r="AR188" s="85">
        <f t="shared" ca="1" si="245"/>
        <v>1154.5950767238271</v>
      </c>
      <c r="AS188" s="85">
        <f t="shared" ca="1" si="246"/>
        <v>1093.9110581252296</v>
      </c>
      <c r="AT188" s="85">
        <f t="shared" ca="1" si="247"/>
        <v>1142.4034180233134</v>
      </c>
      <c r="AU188" s="85">
        <f t="shared" ca="1" si="248"/>
        <v>1230.8136320303611</v>
      </c>
      <c r="AV188" s="85">
        <f t="shared" ca="1" si="249"/>
        <v>1228.1473200238574</v>
      </c>
      <c r="AW188" s="85">
        <f t="shared" ca="1" si="250"/>
        <v>1245.5761176080739</v>
      </c>
      <c r="AX188" s="85">
        <f t="shared" ca="1" si="251"/>
        <v>1322.1995645867605</v>
      </c>
      <c r="AY188" s="85">
        <f t="shared" ca="1" si="252"/>
        <v>1316.1360376500684</v>
      </c>
      <c r="AZ188" s="85">
        <f t="shared" ca="1" si="253"/>
        <v>1237.1411724189416</v>
      </c>
      <c r="BA188" s="85">
        <f t="shared" ca="1" si="254"/>
        <v>1263.4375173369003</v>
      </c>
      <c r="BB188" s="85">
        <f t="shared" ca="1" si="255"/>
        <v>1071.2103130506832</v>
      </c>
      <c r="BC188" s="85">
        <f t="shared" ca="1" si="256"/>
        <v>1323.6186920389657</v>
      </c>
      <c r="BD188" s="85">
        <f t="shared" ca="1" si="257"/>
        <v>1189.3980178300367</v>
      </c>
      <c r="BE188" s="85">
        <f t="shared" ca="1" si="258"/>
        <v>1059.6633451223317</v>
      </c>
      <c r="BF188" s="85">
        <f t="shared" ca="1" si="259"/>
        <v>1062.5189722298403</v>
      </c>
      <c r="BG188" s="85">
        <f t="shared" ca="1" si="260"/>
        <v>1036.3941826119026</v>
      </c>
      <c r="BH188" s="85">
        <f t="shared" ca="1" si="261"/>
        <v>1257.8149251249258</v>
      </c>
      <c r="BI188" s="85">
        <f t="shared" ca="1" si="262"/>
        <v>1054.2528730626846</v>
      </c>
      <c r="BJ188" s="85">
        <f t="shared" ca="1" si="263"/>
        <v>1205.2103047214341</v>
      </c>
      <c r="BK188" s="85">
        <f t="shared" ca="1" si="264"/>
        <v>1106.00977776731</v>
      </c>
      <c r="BL188" s="85">
        <f t="shared" ca="1" si="265"/>
        <v>1059.4277955345651</v>
      </c>
      <c r="BM188" s="85">
        <f t="shared" ca="1" si="266"/>
        <v>1145.6194555305001</v>
      </c>
      <c r="BN188" s="85">
        <f t="shared" ca="1" si="203"/>
        <v>1248.2724954335438</v>
      </c>
      <c r="BO188" s="85">
        <f t="shared" ca="1" si="292"/>
        <v>1343.5335480776616</v>
      </c>
      <c r="BP188" s="85">
        <f t="shared" ca="1" si="293"/>
        <v>1110.287265707191</v>
      </c>
      <c r="BQ188" s="85">
        <f t="shared" ca="1" si="294"/>
        <v>1158.9657313257255</v>
      </c>
      <c r="BR188" s="85">
        <f t="shared" ca="1" si="295"/>
        <v>1019.8008487437271</v>
      </c>
      <c r="BS188" s="85">
        <f t="shared" ca="1" si="296"/>
        <v>1215.7907921436317</v>
      </c>
      <c r="BT188" s="85">
        <f t="shared" ca="1" si="297"/>
        <v>1350.4192086534176</v>
      </c>
      <c r="BU188" s="85">
        <f t="shared" ca="1" si="298"/>
        <v>1100.8196343962131</v>
      </c>
      <c r="BV188" s="85">
        <f t="shared" ca="1" si="299"/>
        <v>1111.1218206509714</v>
      </c>
      <c r="BW188" s="85">
        <f t="shared" ca="1" si="300"/>
        <v>1238.9802283464803</v>
      </c>
      <c r="BX188" s="85">
        <f t="shared" ca="1" si="301"/>
        <v>1179.6721851912259</v>
      </c>
      <c r="BY188" s="85">
        <f t="shared" ca="1" si="267"/>
        <v>1102.3525813030267</v>
      </c>
      <c r="BZ188" s="85">
        <f t="shared" ca="1" si="268"/>
        <v>1101.6444581839789</v>
      </c>
      <c r="CA188" s="85">
        <f t="shared" ca="1" si="269"/>
        <v>1115.6576083657774</v>
      </c>
      <c r="CB188" s="85">
        <f t="shared" ca="1" si="270"/>
        <v>1025.2148852085602</v>
      </c>
      <c r="CC188" s="85">
        <f t="shared" ca="1" si="271"/>
        <v>1233.7137927135566</v>
      </c>
      <c r="CD188" s="85">
        <f t="shared" ca="1" si="272"/>
        <v>1380.6088723186349</v>
      </c>
      <c r="CE188" s="85">
        <f t="shared" ca="1" si="273"/>
        <v>1109.3705518803022</v>
      </c>
      <c r="CF188" s="85">
        <f t="shared" ca="1" si="274"/>
        <v>1294.3076754991914</v>
      </c>
      <c r="CG188" s="85">
        <f t="shared" ca="1" si="275"/>
        <v>995.57133323924404</v>
      </c>
      <c r="CH188" s="85">
        <f t="shared" ca="1" si="276"/>
        <v>1177.464602655471</v>
      </c>
      <c r="CI188" s="85">
        <f t="shared" ca="1" si="277"/>
        <v>1072.6447179216052</v>
      </c>
      <c r="CJ188" s="85">
        <f t="shared" ca="1" si="278"/>
        <v>1064.1332014881534</v>
      </c>
      <c r="CK188" s="85">
        <f t="shared" ca="1" si="279"/>
        <v>1123.2140423667738</v>
      </c>
      <c r="CL188" s="85">
        <f t="shared" ca="1" si="280"/>
        <v>1051.7325919613177</v>
      </c>
      <c r="CM188" s="85">
        <f t="shared" ca="1" si="281"/>
        <v>1294.9495185039527</v>
      </c>
      <c r="CN188" s="85">
        <f t="shared" ca="1" si="282"/>
        <v>933.70324403358723</v>
      </c>
      <c r="CO188" s="85">
        <f t="shared" ca="1" si="283"/>
        <v>1057.4395578192311</v>
      </c>
      <c r="CP188" s="85">
        <f t="shared" ca="1" si="284"/>
        <v>1263.7670183427224</v>
      </c>
      <c r="CQ188" s="85">
        <f t="shared" ca="1" si="285"/>
        <v>1125.4664307681128</v>
      </c>
      <c r="CR188" s="85">
        <f t="shared" ca="1" si="286"/>
        <v>1169.2240809541604</v>
      </c>
      <c r="CS188" s="85">
        <f t="shared" ca="1" si="287"/>
        <v>970.35325172567843</v>
      </c>
      <c r="CT188" s="85">
        <f t="shared" ca="1" si="288"/>
        <v>998.43728886273141</v>
      </c>
      <c r="CU188" s="85">
        <f t="shared" ca="1" si="289"/>
        <v>1494.7542363359009</v>
      </c>
      <c r="CV188" s="85">
        <f t="shared" ca="1" si="290"/>
        <v>1056.6145333656414</v>
      </c>
      <c r="CW188" s="85">
        <f t="shared" ca="1" si="291"/>
        <v>1091.0702560351594</v>
      </c>
    </row>
    <row r="189" spans="1:101" x14ac:dyDescent="0.2">
      <c r="A189" s="115">
        <v>186</v>
      </c>
      <c r="B189" s="85">
        <f t="shared" ca="1" si="202"/>
        <v>903.67368330123099</v>
      </c>
      <c r="C189" s="85">
        <f t="shared" ca="1" si="204"/>
        <v>1141.1944671612903</v>
      </c>
      <c r="D189" s="85">
        <f t="shared" ca="1" si="205"/>
        <v>1146.6278172821208</v>
      </c>
      <c r="E189" s="85">
        <f t="shared" ca="1" si="206"/>
        <v>1039.121970496092</v>
      </c>
      <c r="F189" s="85">
        <f t="shared" ca="1" si="207"/>
        <v>1078.551982315375</v>
      </c>
      <c r="G189" s="85">
        <f t="shared" ca="1" si="208"/>
        <v>1148.6302525219417</v>
      </c>
      <c r="H189" s="85">
        <f t="shared" ca="1" si="209"/>
        <v>1162.8748014060175</v>
      </c>
      <c r="I189" s="85">
        <f t="shared" ca="1" si="210"/>
        <v>1319.0815424124589</v>
      </c>
      <c r="J189" s="85">
        <f t="shared" ca="1" si="211"/>
        <v>1077.613632958833</v>
      </c>
      <c r="K189" s="85">
        <f t="shared" ca="1" si="212"/>
        <v>1238.1420865488483</v>
      </c>
      <c r="L189" s="85">
        <f t="shared" ca="1" si="213"/>
        <v>1259.8087871641681</v>
      </c>
      <c r="M189" s="85">
        <f t="shared" ca="1" si="214"/>
        <v>960.65309798564169</v>
      </c>
      <c r="N189" s="85">
        <f t="shared" ca="1" si="215"/>
        <v>1147.1953275038352</v>
      </c>
      <c r="O189" s="85">
        <f t="shared" ca="1" si="216"/>
        <v>1096.783520122706</v>
      </c>
      <c r="P189" s="85">
        <f t="shared" ca="1" si="217"/>
        <v>1247.1848984249691</v>
      </c>
      <c r="Q189" s="85">
        <f t="shared" ca="1" si="218"/>
        <v>1211.2245910566339</v>
      </c>
      <c r="R189" s="85">
        <f t="shared" ca="1" si="219"/>
        <v>1100.7800444297982</v>
      </c>
      <c r="S189" s="85">
        <f t="shared" ca="1" si="220"/>
        <v>1167.0580456686605</v>
      </c>
      <c r="T189" s="85">
        <f t="shared" ca="1" si="221"/>
        <v>1112.9583576852515</v>
      </c>
      <c r="U189" s="85">
        <f t="shared" ca="1" si="222"/>
        <v>1045.3331927791698</v>
      </c>
      <c r="V189" s="85">
        <f t="shared" ca="1" si="223"/>
        <v>1295.5265825768145</v>
      </c>
      <c r="W189" s="85">
        <f t="shared" ca="1" si="224"/>
        <v>1121.753884648137</v>
      </c>
      <c r="X189" s="85">
        <f t="shared" ca="1" si="225"/>
        <v>1189.6698313860279</v>
      </c>
      <c r="Y189" s="85">
        <f t="shared" ca="1" si="226"/>
        <v>1068.0910351522359</v>
      </c>
      <c r="Z189" s="85">
        <f t="shared" ca="1" si="227"/>
        <v>1160.881502843903</v>
      </c>
      <c r="AA189" s="85">
        <f t="shared" ca="1" si="228"/>
        <v>1049.215088652131</v>
      </c>
      <c r="AB189" s="85">
        <f t="shared" ca="1" si="229"/>
        <v>1359.1181759622991</v>
      </c>
      <c r="AC189" s="85">
        <f t="shared" ca="1" si="230"/>
        <v>1166.2485271875807</v>
      </c>
      <c r="AD189" s="85">
        <f t="shared" ca="1" si="231"/>
        <v>1338.0537322511864</v>
      </c>
      <c r="AE189" s="85">
        <f t="shared" ca="1" si="232"/>
        <v>1505.340610820489</v>
      </c>
      <c r="AF189" s="85">
        <f t="shared" ca="1" si="233"/>
        <v>992.92863275327272</v>
      </c>
      <c r="AG189" s="85">
        <f t="shared" ca="1" si="234"/>
        <v>1315.2432364466433</v>
      </c>
      <c r="AH189" s="85">
        <f t="shared" ca="1" si="235"/>
        <v>1057.8054099117669</v>
      </c>
      <c r="AI189" s="85">
        <f t="shared" ca="1" si="236"/>
        <v>1208.7759128925916</v>
      </c>
      <c r="AJ189" s="85">
        <f t="shared" ca="1" si="237"/>
        <v>1334.5049651789554</v>
      </c>
      <c r="AK189" s="85">
        <f t="shared" ca="1" si="238"/>
        <v>1200.0380540295632</v>
      </c>
      <c r="AL189" s="85">
        <f t="shared" ca="1" si="239"/>
        <v>1196.6028963079727</v>
      </c>
      <c r="AM189" s="85">
        <f t="shared" ca="1" si="240"/>
        <v>1085.1892968823829</v>
      </c>
      <c r="AN189" s="85">
        <f t="shared" ca="1" si="241"/>
        <v>1256.2465392921656</v>
      </c>
      <c r="AO189" s="85">
        <f t="shared" ca="1" si="242"/>
        <v>1449.8954122383061</v>
      </c>
      <c r="AP189" s="85">
        <f t="shared" ca="1" si="243"/>
        <v>1323.9397210802406</v>
      </c>
      <c r="AQ189" s="85">
        <f t="shared" ca="1" si="244"/>
        <v>1041.5041373729632</v>
      </c>
      <c r="AR189" s="85">
        <f t="shared" ca="1" si="245"/>
        <v>1185.6746714040969</v>
      </c>
      <c r="AS189" s="85">
        <f t="shared" ca="1" si="246"/>
        <v>1108.3071093319475</v>
      </c>
      <c r="AT189" s="85">
        <f t="shared" ca="1" si="247"/>
        <v>1161.2949049842418</v>
      </c>
      <c r="AU189" s="85">
        <f t="shared" ca="1" si="248"/>
        <v>1242.2601165828946</v>
      </c>
      <c r="AV189" s="85">
        <f t="shared" ca="1" si="249"/>
        <v>1255.7417221240903</v>
      </c>
      <c r="AW189" s="85">
        <f t="shared" ca="1" si="250"/>
        <v>1263.4499392665741</v>
      </c>
      <c r="AX189" s="85">
        <f t="shared" ca="1" si="251"/>
        <v>1364.5412694120653</v>
      </c>
      <c r="AY189" s="85">
        <f t="shared" ca="1" si="252"/>
        <v>1335.3068545628057</v>
      </c>
      <c r="AZ189" s="85">
        <f t="shared" ca="1" si="253"/>
        <v>1258.5374849721911</v>
      </c>
      <c r="BA189" s="85">
        <f t="shared" ca="1" si="254"/>
        <v>1280.2966328655239</v>
      </c>
      <c r="BB189" s="85">
        <f t="shared" ca="1" si="255"/>
        <v>1092.1297067007806</v>
      </c>
      <c r="BC189" s="85">
        <f t="shared" ca="1" si="256"/>
        <v>1346.8388002234806</v>
      </c>
      <c r="BD189" s="85">
        <f t="shared" ca="1" si="257"/>
        <v>1214.2333845401627</v>
      </c>
      <c r="BE189" s="85">
        <f t="shared" ca="1" si="258"/>
        <v>1066.9275758303706</v>
      </c>
      <c r="BF189" s="85">
        <f t="shared" ca="1" si="259"/>
        <v>1077.3261198573175</v>
      </c>
      <c r="BG189" s="85">
        <f t="shared" ca="1" si="260"/>
        <v>1041.6732986562984</v>
      </c>
      <c r="BH189" s="85">
        <f t="shared" ca="1" si="261"/>
        <v>1277.2029335809932</v>
      </c>
      <c r="BI189" s="85">
        <f t="shared" ca="1" si="262"/>
        <v>1076.2764814652558</v>
      </c>
      <c r="BJ189" s="85">
        <f t="shared" ca="1" si="263"/>
        <v>1213.3107053287063</v>
      </c>
      <c r="BK189" s="85">
        <f t="shared" ca="1" si="264"/>
        <v>1126.0384354431521</v>
      </c>
      <c r="BL189" s="85">
        <f t="shared" ca="1" si="265"/>
        <v>1071.7953840048374</v>
      </c>
      <c r="BM189" s="85">
        <f t="shared" ca="1" si="266"/>
        <v>1154.7062601427876</v>
      </c>
      <c r="BN189" s="85">
        <f t="shared" ca="1" si="203"/>
        <v>1266.5598220351376</v>
      </c>
      <c r="BO189" s="85">
        <f t="shared" ca="1" si="292"/>
        <v>1372.8320143077049</v>
      </c>
      <c r="BP189" s="85">
        <f t="shared" ca="1" si="293"/>
        <v>1113.1313841678152</v>
      </c>
      <c r="BQ189" s="85">
        <f t="shared" ca="1" si="294"/>
        <v>1175.2189007486786</v>
      </c>
      <c r="BR189" s="85">
        <f t="shared" ca="1" si="295"/>
        <v>1032.8477582552273</v>
      </c>
      <c r="BS189" s="85">
        <f t="shared" ca="1" si="296"/>
        <v>1228.2736080174766</v>
      </c>
      <c r="BT189" s="85">
        <f t="shared" ca="1" si="297"/>
        <v>1376.8739879512666</v>
      </c>
      <c r="BU189" s="85">
        <f t="shared" ca="1" si="298"/>
        <v>1105.6776810056319</v>
      </c>
      <c r="BV189" s="85">
        <f t="shared" ca="1" si="299"/>
        <v>1120.5468195218734</v>
      </c>
      <c r="BW189" s="85">
        <f t="shared" ca="1" si="300"/>
        <v>1253.879465915009</v>
      </c>
      <c r="BX189" s="85">
        <f t="shared" ca="1" si="301"/>
        <v>1196.5445333563921</v>
      </c>
      <c r="BY189" s="85">
        <f t="shared" ca="1" si="267"/>
        <v>1117.4648886251932</v>
      </c>
      <c r="BZ189" s="85">
        <f t="shared" ca="1" si="268"/>
        <v>1124.4323851347106</v>
      </c>
      <c r="CA189" s="85">
        <f t="shared" ca="1" si="269"/>
        <v>1131.9098820143677</v>
      </c>
      <c r="CB189" s="85">
        <f t="shared" ca="1" si="270"/>
        <v>1048.4611007662602</v>
      </c>
      <c r="CC189" s="85">
        <f t="shared" ca="1" si="271"/>
        <v>1253.7865486041087</v>
      </c>
      <c r="CD189" s="85">
        <f t="shared" ca="1" si="272"/>
        <v>1380.1458419757719</v>
      </c>
      <c r="CE189" s="85">
        <f t="shared" ca="1" si="273"/>
        <v>1126.2701133403432</v>
      </c>
      <c r="CF189" s="85">
        <f t="shared" ca="1" si="274"/>
        <v>1309.404276326447</v>
      </c>
      <c r="CG189" s="85">
        <f t="shared" ca="1" si="275"/>
        <v>1007.0093900682566</v>
      </c>
      <c r="CH189" s="85">
        <f t="shared" ca="1" si="276"/>
        <v>1203.7833071185837</v>
      </c>
      <c r="CI189" s="85">
        <f t="shared" ca="1" si="277"/>
        <v>1078.1731071527645</v>
      </c>
      <c r="CJ189" s="85">
        <f t="shared" ca="1" si="278"/>
        <v>1076.5982351961047</v>
      </c>
      <c r="CK189" s="85">
        <f t="shared" ca="1" si="279"/>
        <v>1137.6087792825263</v>
      </c>
      <c r="CL189" s="85">
        <f t="shared" ca="1" si="280"/>
        <v>1072.7518818536521</v>
      </c>
      <c r="CM189" s="85">
        <f t="shared" ca="1" si="281"/>
        <v>1317.5051349838971</v>
      </c>
      <c r="CN189" s="85">
        <f t="shared" ca="1" si="282"/>
        <v>943.19431350506989</v>
      </c>
      <c r="CO189" s="85">
        <f t="shared" ca="1" si="283"/>
        <v>1092.721636475665</v>
      </c>
      <c r="CP189" s="85">
        <f t="shared" ca="1" si="284"/>
        <v>1267.7988017191983</v>
      </c>
      <c r="CQ189" s="85">
        <f t="shared" ca="1" si="285"/>
        <v>1138.906938592602</v>
      </c>
      <c r="CR189" s="85">
        <f t="shared" ca="1" si="286"/>
        <v>1174.6615546145433</v>
      </c>
      <c r="CS189" s="85">
        <f t="shared" ca="1" si="287"/>
        <v>976.79740922190763</v>
      </c>
      <c r="CT189" s="85">
        <f t="shared" ca="1" si="288"/>
        <v>1003.7754740516609</v>
      </c>
      <c r="CU189" s="85">
        <f t="shared" ca="1" si="289"/>
        <v>1509.5612556927322</v>
      </c>
      <c r="CV189" s="85">
        <f t="shared" ca="1" si="290"/>
        <v>1063.6891976919228</v>
      </c>
      <c r="CW189" s="85">
        <f t="shared" ca="1" si="291"/>
        <v>1097.2822332642625</v>
      </c>
    </row>
    <row r="190" spans="1:101" x14ac:dyDescent="0.2">
      <c r="A190" s="115">
        <v>187</v>
      </c>
      <c r="B190" s="85">
        <f t="shared" ca="1" si="202"/>
        <v>911.82213543432363</v>
      </c>
      <c r="C190" s="85">
        <f t="shared" ca="1" si="204"/>
        <v>1155.1813511046855</v>
      </c>
      <c r="D190" s="85">
        <f t="shared" ca="1" si="205"/>
        <v>1181.2753819718912</v>
      </c>
      <c r="E190" s="85">
        <f t="shared" ca="1" si="206"/>
        <v>1037.5915754085916</v>
      </c>
      <c r="F190" s="85">
        <f t="shared" ca="1" si="207"/>
        <v>1095.723810275113</v>
      </c>
      <c r="G190" s="85">
        <f t="shared" ca="1" si="208"/>
        <v>1167.7499094169007</v>
      </c>
      <c r="H190" s="85">
        <f t="shared" ca="1" si="209"/>
        <v>1173.4377782528006</v>
      </c>
      <c r="I190" s="85">
        <f t="shared" ca="1" si="210"/>
        <v>1346.7325682232788</v>
      </c>
      <c r="J190" s="85">
        <f t="shared" ca="1" si="211"/>
        <v>1079.9356468205044</v>
      </c>
      <c r="K190" s="85">
        <f t="shared" ca="1" si="212"/>
        <v>1243.8949646849892</v>
      </c>
      <c r="L190" s="85">
        <f t="shared" ca="1" si="213"/>
        <v>1277.1227743519596</v>
      </c>
      <c r="M190" s="85">
        <f t="shared" ca="1" si="214"/>
        <v>972.90232034644794</v>
      </c>
      <c r="N190" s="85">
        <f t="shared" ca="1" si="215"/>
        <v>1167.6130139429508</v>
      </c>
      <c r="O190" s="85">
        <f t="shared" ca="1" si="216"/>
        <v>1108.6073486312484</v>
      </c>
      <c r="P190" s="85">
        <f t="shared" ca="1" si="217"/>
        <v>1271.5461252548953</v>
      </c>
      <c r="Q190" s="85">
        <f t="shared" ca="1" si="218"/>
        <v>1212.3675188774323</v>
      </c>
      <c r="R190" s="85">
        <f t="shared" ca="1" si="219"/>
        <v>1121.2595897190147</v>
      </c>
      <c r="S190" s="85">
        <f t="shared" ca="1" si="220"/>
        <v>1192.7046138078513</v>
      </c>
      <c r="T190" s="85">
        <f t="shared" ca="1" si="221"/>
        <v>1144.4977498542908</v>
      </c>
      <c r="U190" s="85">
        <f t="shared" ca="1" si="222"/>
        <v>1067.4053385017378</v>
      </c>
      <c r="V190" s="85">
        <f t="shared" ca="1" si="223"/>
        <v>1328.1402343892516</v>
      </c>
      <c r="W190" s="85">
        <f t="shared" ca="1" si="224"/>
        <v>1139.6646653379794</v>
      </c>
      <c r="X190" s="85">
        <f t="shared" ca="1" si="225"/>
        <v>1195.2806963618827</v>
      </c>
      <c r="Y190" s="85">
        <f t="shared" ca="1" si="226"/>
        <v>1085.8649244695598</v>
      </c>
      <c r="Z190" s="85">
        <f t="shared" ca="1" si="227"/>
        <v>1172.067072868826</v>
      </c>
      <c r="AA190" s="85">
        <f t="shared" ca="1" si="228"/>
        <v>1063.188280184296</v>
      </c>
      <c r="AB190" s="85">
        <f t="shared" ca="1" si="229"/>
        <v>1382.5182472231281</v>
      </c>
      <c r="AC190" s="85">
        <f t="shared" ca="1" si="230"/>
        <v>1180.5778941301903</v>
      </c>
      <c r="AD190" s="85">
        <f t="shared" ca="1" si="231"/>
        <v>1342.6553568495508</v>
      </c>
      <c r="AE190" s="85">
        <f t="shared" ca="1" si="232"/>
        <v>1521.3800678505156</v>
      </c>
      <c r="AF190" s="85">
        <f t="shared" ca="1" si="233"/>
        <v>994.15655772019886</v>
      </c>
      <c r="AG190" s="85">
        <f t="shared" ca="1" si="234"/>
        <v>1328.1199409381911</v>
      </c>
      <c r="AH190" s="85">
        <f t="shared" ca="1" si="235"/>
        <v>1065.5818608695045</v>
      </c>
      <c r="AI190" s="85">
        <f t="shared" ca="1" si="236"/>
        <v>1231.0636917769284</v>
      </c>
      <c r="AJ190" s="85">
        <f t="shared" ca="1" si="237"/>
        <v>1355.6863737652952</v>
      </c>
      <c r="AK190" s="85">
        <f t="shared" ca="1" si="238"/>
        <v>1213.7524356778638</v>
      </c>
      <c r="AL190" s="85">
        <f t="shared" ca="1" si="239"/>
        <v>1216.014418847514</v>
      </c>
      <c r="AM190" s="85">
        <f t="shared" ca="1" si="240"/>
        <v>1101.8521318291516</v>
      </c>
      <c r="AN190" s="85">
        <f t="shared" ca="1" si="241"/>
        <v>1274.4581097032342</v>
      </c>
      <c r="AO190" s="85">
        <f t="shared" ca="1" si="242"/>
        <v>1480.3957164781659</v>
      </c>
      <c r="AP190" s="85">
        <f t="shared" ca="1" si="243"/>
        <v>1350.1643099588821</v>
      </c>
      <c r="AQ190" s="85">
        <f t="shared" ca="1" si="244"/>
        <v>1050.0803835612955</v>
      </c>
      <c r="AR190" s="85">
        <f t="shared" ca="1" si="245"/>
        <v>1210.7632477922243</v>
      </c>
      <c r="AS190" s="85">
        <f t="shared" ca="1" si="246"/>
        <v>1122.0387204539791</v>
      </c>
      <c r="AT190" s="85">
        <f t="shared" ca="1" si="247"/>
        <v>1165.7396671738197</v>
      </c>
      <c r="AU190" s="85">
        <f t="shared" ca="1" si="248"/>
        <v>1265.1831635856197</v>
      </c>
      <c r="AV190" s="85">
        <f t="shared" ca="1" si="249"/>
        <v>1277.8688708581851</v>
      </c>
      <c r="AW190" s="85">
        <f t="shared" ca="1" si="250"/>
        <v>1260.0113387443369</v>
      </c>
      <c r="AX190" s="85">
        <f t="shared" ca="1" si="251"/>
        <v>1384.602516580253</v>
      </c>
      <c r="AY190" s="85">
        <f t="shared" ca="1" si="252"/>
        <v>1347.555979607293</v>
      </c>
      <c r="AZ190" s="85">
        <f t="shared" ca="1" si="253"/>
        <v>1294.2372416602975</v>
      </c>
      <c r="BA190" s="85">
        <f t="shared" ca="1" si="254"/>
        <v>1287.7394023485492</v>
      </c>
      <c r="BB190" s="85">
        <f t="shared" ca="1" si="255"/>
        <v>1105.6194164539529</v>
      </c>
      <c r="BC190" s="85">
        <f t="shared" ca="1" si="256"/>
        <v>1346.3002172026652</v>
      </c>
      <c r="BD190" s="85">
        <f t="shared" ca="1" si="257"/>
        <v>1232.7697895648912</v>
      </c>
      <c r="BE190" s="85">
        <f t="shared" ca="1" si="258"/>
        <v>1084.853777974934</v>
      </c>
      <c r="BF190" s="85">
        <f t="shared" ca="1" si="259"/>
        <v>1100.3497800631369</v>
      </c>
      <c r="BG190" s="85">
        <f t="shared" ca="1" si="260"/>
        <v>1052.0323618970865</v>
      </c>
      <c r="BH190" s="85">
        <f t="shared" ca="1" si="261"/>
        <v>1294.9633193891875</v>
      </c>
      <c r="BI190" s="85">
        <f t="shared" ca="1" si="262"/>
        <v>1089.4884493500863</v>
      </c>
      <c r="BJ190" s="85">
        <f t="shared" ca="1" si="263"/>
        <v>1239.4712956099629</v>
      </c>
      <c r="BK190" s="85">
        <f t="shared" ca="1" si="264"/>
        <v>1144.7003700287457</v>
      </c>
      <c r="BL190" s="85">
        <f t="shared" ca="1" si="265"/>
        <v>1084.3003635447856</v>
      </c>
      <c r="BM190" s="85">
        <f t="shared" ca="1" si="266"/>
        <v>1167.4059606394349</v>
      </c>
      <c r="BN190" s="85">
        <f t="shared" ca="1" si="203"/>
        <v>1285.2625889463161</v>
      </c>
      <c r="BO190" s="85">
        <f t="shared" ca="1" si="292"/>
        <v>1392.8663850014611</v>
      </c>
      <c r="BP190" s="85">
        <f t="shared" ca="1" si="293"/>
        <v>1131.4706343052105</v>
      </c>
      <c r="BQ190" s="85">
        <f t="shared" ca="1" si="294"/>
        <v>1190.0469285515878</v>
      </c>
      <c r="BR190" s="85">
        <f t="shared" ca="1" si="295"/>
        <v>1050.0232893165087</v>
      </c>
      <c r="BS190" s="85">
        <f t="shared" ca="1" si="296"/>
        <v>1238.7531268472389</v>
      </c>
      <c r="BT190" s="85">
        <f t="shared" ca="1" si="297"/>
        <v>1399.2962592349334</v>
      </c>
      <c r="BU190" s="85">
        <f t="shared" ca="1" si="298"/>
        <v>1123.9585518170215</v>
      </c>
      <c r="BV190" s="85">
        <f t="shared" ca="1" si="299"/>
        <v>1133.767900850419</v>
      </c>
      <c r="BW190" s="85">
        <f t="shared" ca="1" si="300"/>
        <v>1269.3752315696643</v>
      </c>
      <c r="BX190" s="85">
        <f t="shared" ca="1" si="301"/>
        <v>1207.2909421385757</v>
      </c>
      <c r="BY190" s="85">
        <f t="shared" ca="1" si="267"/>
        <v>1119.4905010159275</v>
      </c>
      <c r="BZ190" s="85">
        <f t="shared" ca="1" si="268"/>
        <v>1137.2375223713416</v>
      </c>
      <c r="CA190" s="85">
        <f t="shared" ca="1" si="269"/>
        <v>1150.0095393072245</v>
      </c>
      <c r="CB190" s="85">
        <f t="shared" ca="1" si="270"/>
        <v>1053.0537273908471</v>
      </c>
      <c r="CC190" s="85">
        <f t="shared" ca="1" si="271"/>
        <v>1271.6938427780024</v>
      </c>
      <c r="CD190" s="85">
        <f t="shared" ca="1" si="272"/>
        <v>1402.789050630251</v>
      </c>
      <c r="CE190" s="85">
        <f t="shared" ca="1" si="273"/>
        <v>1139.2216723340709</v>
      </c>
      <c r="CF190" s="85">
        <f t="shared" ca="1" si="274"/>
        <v>1340.5200734102318</v>
      </c>
      <c r="CG190" s="85">
        <f t="shared" ca="1" si="275"/>
        <v>1009.6919585435282</v>
      </c>
      <c r="CH190" s="85">
        <f t="shared" ca="1" si="276"/>
        <v>1209.7078256843333</v>
      </c>
      <c r="CI190" s="85">
        <f t="shared" ca="1" si="277"/>
        <v>1090.9820656996324</v>
      </c>
      <c r="CJ190" s="85">
        <f t="shared" ca="1" si="278"/>
        <v>1100.4416630634312</v>
      </c>
      <c r="CK190" s="85">
        <f t="shared" ca="1" si="279"/>
        <v>1149.4863208734594</v>
      </c>
      <c r="CL190" s="85">
        <f t="shared" ca="1" si="280"/>
        <v>1083.8669096892809</v>
      </c>
      <c r="CM190" s="85">
        <f t="shared" ca="1" si="281"/>
        <v>1344.7994194946561</v>
      </c>
      <c r="CN190" s="85">
        <f t="shared" ca="1" si="282"/>
        <v>947.04229843094356</v>
      </c>
      <c r="CO190" s="85">
        <f t="shared" ca="1" si="283"/>
        <v>1114.6131632691399</v>
      </c>
      <c r="CP190" s="85">
        <f t="shared" ca="1" si="284"/>
        <v>1264.0785939559344</v>
      </c>
      <c r="CQ190" s="85">
        <f t="shared" ca="1" si="285"/>
        <v>1152.5980238730947</v>
      </c>
      <c r="CR190" s="85">
        <f t="shared" ca="1" si="286"/>
        <v>1191.4862057485582</v>
      </c>
      <c r="CS190" s="85">
        <f t="shared" ca="1" si="287"/>
        <v>987.36332536065129</v>
      </c>
      <c r="CT190" s="85">
        <f t="shared" ca="1" si="288"/>
        <v>1017.3252391953811</v>
      </c>
      <c r="CU190" s="85">
        <f t="shared" ca="1" si="289"/>
        <v>1530.2715667769985</v>
      </c>
      <c r="CV190" s="85">
        <f t="shared" ca="1" si="290"/>
        <v>1077.7442327211902</v>
      </c>
      <c r="CW190" s="85">
        <f t="shared" ca="1" si="291"/>
        <v>1102.9766971344354</v>
      </c>
    </row>
    <row r="191" spans="1:101" x14ac:dyDescent="0.2">
      <c r="A191" s="115">
        <v>188</v>
      </c>
      <c r="B191" s="85">
        <f t="shared" ca="1" si="202"/>
        <v>929.08768632135639</v>
      </c>
      <c r="C191" s="85">
        <f t="shared" ca="1" si="204"/>
        <v>1175.4207592380135</v>
      </c>
      <c r="D191" s="85">
        <f t="shared" ca="1" si="205"/>
        <v>1195.4640650895681</v>
      </c>
      <c r="E191" s="85">
        <f t="shared" ca="1" si="206"/>
        <v>1055.258817110056</v>
      </c>
      <c r="F191" s="85">
        <f t="shared" ca="1" si="207"/>
        <v>1125.3401968931266</v>
      </c>
      <c r="G191" s="85">
        <f t="shared" ca="1" si="208"/>
        <v>1183.6109953090499</v>
      </c>
      <c r="H191" s="85">
        <f t="shared" ca="1" si="209"/>
        <v>1191.3537306705828</v>
      </c>
      <c r="I191" s="85">
        <f t="shared" ca="1" si="210"/>
        <v>1372.0643954158509</v>
      </c>
      <c r="J191" s="85">
        <f t="shared" ca="1" si="211"/>
        <v>1088.5968394604581</v>
      </c>
      <c r="K191" s="85">
        <f t="shared" ca="1" si="212"/>
        <v>1250.2843395891473</v>
      </c>
      <c r="L191" s="85">
        <f t="shared" ca="1" si="213"/>
        <v>1297.5659832799493</v>
      </c>
      <c r="M191" s="85">
        <f t="shared" ca="1" si="214"/>
        <v>995.03417574768127</v>
      </c>
      <c r="N191" s="85">
        <f t="shared" ca="1" si="215"/>
        <v>1182.0121065868325</v>
      </c>
      <c r="O191" s="85">
        <f t="shared" ca="1" si="216"/>
        <v>1121.0259220364576</v>
      </c>
      <c r="P191" s="85">
        <f t="shared" ca="1" si="217"/>
        <v>1293.3923992517582</v>
      </c>
      <c r="Q191" s="85">
        <f t="shared" ca="1" si="218"/>
        <v>1246.4779393394647</v>
      </c>
      <c r="R191" s="85">
        <f t="shared" ca="1" si="219"/>
        <v>1126.1026437089401</v>
      </c>
      <c r="S191" s="85">
        <f t="shared" ca="1" si="220"/>
        <v>1208.2627041880482</v>
      </c>
      <c r="T191" s="85">
        <f t="shared" ca="1" si="221"/>
        <v>1171.1218905064522</v>
      </c>
      <c r="U191" s="85">
        <f t="shared" ca="1" si="222"/>
        <v>1092.0582257302588</v>
      </c>
      <c r="V191" s="85">
        <f t="shared" ca="1" si="223"/>
        <v>1352.57698742499</v>
      </c>
      <c r="W191" s="85">
        <f t="shared" ca="1" si="224"/>
        <v>1142.9085537228966</v>
      </c>
      <c r="X191" s="85">
        <f t="shared" ca="1" si="225"/>
        <v>1208.930606957362</v>
      </c>
      <c r="Y191" s="85">
        <f t="shared" ca="1" si="226"/>
        <v>1094.5559395747989</v>
      </c>
      <c r="Z191" s="85">
        <f t="shared" ca="1" si="227"/>
        <v>1199.4225137508299</v>
      </c>
      <c r="AA191" s="85">
        <f t="shared" ca="1" si="228"/>
        <v>1092.0810600188986</v>
      </c>
      <c r="AB191" s="85">
        <f t="shared" ca="1" si="229"/>
        <v>1408.1696762952286</v>
      </c>
      <c r="AC191" s="85">
        <f t="shared" ca="1" si="230"/>
        <v>1189.5736533858608</v>
      </c>
      <c r="AD191" s="85">
        <f t="shared" ca="1" si="231"/>
        <v>1356.348654489502</v>
      </c>
      <c r="AE191" s="85">
        <f t="shared" ca="1" si="232"/>
        <v>1547.7586997493249</v>
      </c>
      <c r="AF191" s="85">
        <f t="shared" ca="1" si="233"/>
        <v>1009.2701531166477</v>
      </c>
      <c r="AG191" s="85">
        <f t="shared" ca="1" si="234"/>
        <v>1356.2034371094246</v>
      </c>
      <c r="AH191" s="85">
        <f t="shared" ca="1" si="235"/>
        <v>1100.4111027305005</v>
      </c>
      <c r="AI191" s="85">
        <f t="shared" ca="1" si="236"/>
        <v>1248.1319272444937</v>
      </c>
      <c r="AJ191" s="85">
        <f t="shared" ca="1" si="237"/>
        <v>1375.0239888206224</v>
      </c>
      <c r="AK191" s="85">
        <f t="shared" ca="1" si="238"/>
        <v>1223.0683132008796</v>
      </c>
      <c r="AL191" s="85">
        <f t="shared" ca="1" si="239"/>
        <v>1220.2883508002576</v>
      </c>
      <c r="AM191" s="85">
        <f t="shared" ca="1" si="240"/>
        <v>1113.966319281179</v>
      </c>
      <c r="AN191" s="85">
        <f t="shared" ca="1" si="241"/>
        <v>1283.0456944819073</v>
      </c>
      <c r="AO191" s="85">
        <f t="shared" ca="1" si="242"/>
        <v>1487.19040757829</v>
      </c>
      <c r="AP191" s="85">
        <f t="shared" ca="1" si="243"/>
        <v>1350.599741417119</v>
      </c>
      <c r="AQ191" s="85">
        <f t="shared" ca="1" si="244"/>
        <v>1052.8355359632999</v>
      </c>
      <c r="AR191" s="85">
        <f t="shared" ca="1" si="245"/>
        <v>1235.9756747146473</v>
      </c>
      <c r="AS191" s="85">
        <f t="shared" ca="1" si="246"/>
        <v>1144.6830267716439</v>
      </c>
      <c r="AT191" s="85">
        <f t="shared" ca="1" si="247"/>
        <v>1195.5736159354635</v>
      </c>
      <c r="AU191" s="85">
        <f t="shared" ca="1" si="248"/>
        <v>1274.4729730124557</v>
      </c>
      <c r="AV191" s="85">
        <f t="shared" ca="1" si="249"/>
        <v>1300.0407065006393</v>
      </c>
      <c r="AW191" s="85">
        <f t="shared" ca="1" si="250"/>
        <v>1276.1341805962775</v>
      </c>
      <c r="AX191" s="85">
        <f t="shared" ca="1" si="251"/>
        <v>1399.5520530631713</v>
      </c>
      <c r="AY191" s="85">
        <f t="shared" ca="1" si="252"/>
        <v>1358.497414901364</v>
      </c>
      <c r="AZ191" s="85">
        <f t="shared" ca="1" si="253"/>
        <v>1312.9865221980142</v>
      </c>
      <c r="BA191" s="85">
        <f t="shared" ca="1" si="254"/>
        <v>1301.8052421655539</v>
      </c>
      <c r="BB191" s="85">
        <f t="shared" ca="1" si="255"/>
        <v>1117.1675225965878</v>
      </c>
      <c r="BC191" s="85">
        <f t="shared" ca="1" si="256"/>
        <v>1365.5729341166557</v>
      </c>
      <c r="BD191" s="85">
        <f t="shared" ca="1" si="257"/>
        <v>1243.3161747985687</v>
      </c>
      <c r="BE191" s="85">
        <f t="shared" ca="1" si="258"/>
        <v>1100.2288902445723</v>
      </c>
      <c r="BF191" s="85">
        <f t="shared" ca="1" si="259"/>
        <v>1112.1933776041169</v>
      </c>
      <c r="BG191" s="85">
        <f t="shared" ca="1" si="260"/>
        <v>1060.8732795590934</v>
      </c>
      <c r="BH191" s="85">
        <f t="shared" ca="1" si="261"/>
        <v>1312.0299923439366</v>
      </c>
      <c r="BI191" s="85">
        <f t="shared" ca="1" si="262"/>
        <v>1120.8946911862045</v>
      </c>
      <c r="BJ191" s="85">
        <f t="shared" ca="1" si="263"/>
        <v>1246.3529398710641</v>
      </c>
      <c r="BK191" s="85">
        <f t="shared" ca="1" si="264"/>
        <v>1166.4461694852253</v>
      </c>
      <c r="BL191" s="85">
        <f t="shared" ca="1" si="265"/>
        <v>1095.1880813971359</v>
      </c>
      <c r="BM191" s="85">
        <f t="shared" ca="1" si="266"/>
        <v>1186.592734549843</v>
      </c>
      <c r="BN191" s="85">
        <f t="shared" ca="1" si="203"/>
        <v>1280.9802001041492</v>
      </c>
      <c r="BO191" s="85">
        <f t="shared" ca="1" si="292"/>
        <v>1398.549451450165</v>
      </c>
      <c r="BP191" s="85">
        <f t="shared" ca="1" si="293"/>
        <v>1143.9448003794844</v>
      </c>
      <c r="BQ191" s="85">
        <f t="shared" ca="1" si="294"/>
        <v>1196.9984050610592</v>
      </c>
      <c r="BR191" s="85">
        <f t="shared" ca="1" si="295"/>
        <v>1065.7235600352167</v>
      </c>
      <c r="BS191" s="85">
        <f t="shared" ca="1" si="296"/>
        <v>1254.5789314566221</v>
      </c>
      <c r="BT191" s="85">
        <f t="shared" ca="1" si="297"/>
        <v>1428.8993293885326</v>
      </c>
      <c r="BU191" s="85">
        <f t="shared" ca="1" si="298"/>
        <v>1146.9968385134443</v>
      </c>
      <c r="BV191" s="85">
        <f t="shared" ca="1" si="299"/>
        <v>1148.0778062170514</v>
      </c>
      <c r="BW191" s="85">
        <f t="shared" ca="1" si="300"/>
        <v>1290.823974708524</v>
      </c>
      <c r="BX191" s="85">
        <f t="shared" ca="1" si="301"/>
        <v>1213.0309771544776</v>
      </c>
      <c r="BY191" s="85">
        <f t="shared" ca="1" si="267"/>
        <v>1128.3121818543661</v>
      </c>
      <c r="BZ191" s="85">
        <f t="shared" ca="1" si="268"/>
        <v>1152.9947776689821</v>
      </c>
      <c r="CA191" s="85">
        <f t="shared" ca="1" si="269"/>
        <v>1172.7642146768724</v>
      </c>
      <c r="CB191" s="85">
        <f t="shared" ca="1" si="270"/>
        <v>1070.1783427951298</v>
      </c>
      <c r="CC191" s="85">
        <f t="shared" ca="1" si="271"/>
        <v>1288.0411842794229</v>
      </c>
      <c r="CD191" s="85">
        <f t="shared" ca="1" si="272"/>
        <v>1402.3536553231133</v>
      </c>
      <c r="CE191" s="85">
        <f t="shared" ca="1" si="273"/>
        <v>1145.0426966697732</v>
      </c>
      <c r="CF191" s="85">
        <f t="shared" ca="1" si="274"/>
        <v>1360.662176958954</v>
      </c>
      <c r="CG191" s="85">
        <f t="shared" ca="1" si="275"/>
        <v>1018.9786400520685</v>
      </c>
      <c r="CH191" s="85">
        <f t="shared" ca="1" si="276"/>
        <v>1238.3134559904372</v>
      </c>
      <c r="CI191" s="85">
        <f t="shared" ca="1" si="277"/>
        <v>1106.0963405650807</v>
      </c>
      <c r="CJ191" s="85">
        <f t="shared" ca="1" si="278"/>
        <v>1113.3941668208279</v>
      </c>
      <c r="CK191" s="85">
        <f t="shared" ca="1" si="279"/>
        <v>1177.5685326573255</v>
      </c>
      <c r="CL191" s="85">
        <f t="shared" ca="1" si="280"/>
        <v>1106.9671749178067</v>
      </c>
      <c r="CM191" s="85">
        <f t="shared" ca="1" si="281"/>
        <v>1354.0022984547968</v>
      </c>
      <c r="CN191" s="85">
        <f t="shared" ca="1" si="282"/>
        <v>958.48927624099849</v>
      </c>
      <c r="CO191" s="85">
        <f t="shared" ca="1" si="283"/>
        <v>1146.821982575844</v>
      </c>
      <c r="CP191" s="85">
        <f t="shared" ca="1" si="284"/>
        <v>1277.5949606013737</v>
      </c>
      <c r="CQ191" s="85">
        <f t="shared" ca="1" si="285"/>
        <v>1169.7007382380755</v>
      </c>
      <c r="CR191" s="85">
        <f t="shared" ca="1" si="286"/>
        <v>1225.0490998437858</v>
      </c>
      <c r="CS191" s="85">
        <f t="shared" ca="1" si="287"/>
        <v>1007.0235588698375</v>
      </c>
      <c r="CT191" s="85">
        <f t="shared" ca="1" si="288"/>
        <v>1032.1587484529036</v>
      </c>
      <c r="CU191" s="85">
        <f t="shared" ca="1" si="289"/>
        <v>1540.7361654216513</v>
      </c>
      <c r="CV191" s="85">
        <f t="shared" ca="1" si="290"/>
        <v>1092.418879632399</v>
      </c>
      <c r="CW191" s="85">
        <f t="shared" ca="1" si="291"/>
        <v>1118.8077565423994</v>
      </c>
    </row>
    <row r="192" spans="1:101" x14ac:dyDescent="0.2">
      <c r="A192" s="115">
        <v>189</v>
      </c>
      <c r="B192" s="85">
        <f t="shared" ca="1" si="202"/>
        <v>952.63361083379368</v>
      </c>
      <c r="C192" s="85">
        <f t="shared" ca="1" si="204"/>
        <v>1195.4144923176264</v>
      </c>
      <c r="D192" s="85">
        <f t="shared" ca="1" si="205"/>
        <v>1199.2118869381331</v>
      </c>
      <c r="E192" s="85">
        <f t="shared" ca="1" si="206"/>
        <v>1057.0807914757927</v>
      </c>
      <c r="F192" s="85">
        <f t="shared" ca="1" si="207"/>
        <v>1156.4859557877583</v>
      </c>
      <c r="G192" s="85">
        <f t="shared" ca="1" si="208"/>
        <v>1182.1894151470146</v>
      </c>
      <c r="H192" s="85">
        <f t="shared" ca="1" si="209"/>
        <v>1210.5060278108931</v>
      </c>
      <c r="I192" s="85">
        <f t="shared" ca="1" si="210"/>
        <v>1375.5771328985638</v>
      </c>
      <c r="J192" s="85">
        <f t="shared" ca="1" si="211"/>
        <v>1101.9677988200292</v>
      </c>
      <c r="K192" s="85">
        <f t="shared" ca="1" si="212"/>
        <v>1287.7471661973232</v>
      </c>
      <c r="L192" s="85">
        <f t="shared" ca="1" si="213"/>
        <v>1311.9896871858339</v>
      </c>
      <c r="M192" s="85">
        <f t="shared" ca="1" si="214"/>
        <v>1012.9887487949053</v>
      </c>
      <c r="N192" s="85">
        <f t="shared" ca="1" si="215"/>
        <v>1201.8716018356747</v>
      </c>
      <c r="O192" s="85">
        <f t="shared" ca="1" si="216"/>
        <v>1142.1251923502159</v>
      </c>
      <c r="P192" s="85">
        <f t="shared" ca="1" si="217"/>
        <v>1302.6928660025733</v>
      </c>
      <c r="Q192" s="85">
        <f t="shared" ca="1" si="218"/>
        <v>1265.1367834940515</v>
      </c>
      <c r="R192" s="85">
        <f t="shared" ca="1" si="219"/>
        <v>1135.0969719972481</v>
      </c>
      <c r="S192" s="85">
        <f t="shared" ca="1" si="220"/>
        <v>1220.6057629309523</v>
      </c>
      <c r="T192" s="85">
        <f t="shared" ca="1" si="221"/>
        <v>1183.0015959326875</v>
      </c>
      <c r="U192" s="85">
        <f t="shared" ca="1" si="222"/>
        <v>1115.2947934471797</v>
      </c>
      <c r="V192" s="85">
        <f t="shared" ca="1" si="223"/>
        <v>1358.1749051570025</v>
      </c>
      <c r="W192" s="85">
        <f t="shared" ca="1" si="224"/>
        <v>1150.2863070304388</v>
      </c>
      <c r="X192" s="85">
        <f t="shared" ca="1" si="225"/>
        <v>1224.8801679736782</v>
      </c>
      <c r="Y192" s="85">
        <f t="shared" ca="1" si="226"/>
        <v>1098.1634445602285</v>
      </c>
      <c r="Z192" s="85">
        <f t="shared" ca="1" si="227"/>
        <v>1222.2887092297606</v>
      </c>
      <c r="AA192" s="85">
        <f t="shared" ca="1" si="228"/>
        <v>1107.5876964205045</v>
      </c>
      <c r="AB192" s="85">
        <f t="shared" ca="1" si="229"/>
        <v>1424.9260363311814</v>
      </c>
      <c r="AC192" s="85">
        <f t="shared" ca="1" si="230"/>
        <v>1204.9827845026948</v>
      </c>
      <c r="AD192" s="85">
        <f t="shared" ca="1" si="231"/>
        <v>1369.0642463377035</v>
      </c>
      <c r="AE192" s="85">
        <f t="shared" ca="1" si="232"/>
        <v>1575.7747193500315</v>
      </c>
      <c r="AF192" s="85">
        <f t="shared" ca="1" si="233"/>
        <v>1020.4497551617753</v>
      </c>
      <c r="AG192" s="85">
        <f t="shared" ca="1" si="234"/>
        <v>1376.346622024173</v>
      </c>
      <c r="AH192" s="85">
        <f t="shared" ca="1" si="235"/>
        <v>1118.3970725730528</v>
      </c>
      <c r="AI192" s="85">
        <f t="shared" ca="1" si="236"/>
        <v>1272.3663038973336</v>
      </c>
      <c r="AJ192" s="85">
        <f t="shared" ca="1" si="237"/>
        <v>1409.0662977213092</v>
      </c>
      <c r="AK192" s="85">
        <f t="shared" ca="1" si="238"/>
        <v>1233.0653448246319</v>
      </c>
      <c r="AL192" s="85">
        <f t="shared" ca="1" si="239"/>
        <v>1213.2629850443268</v>
      </c>
      <c r="AM192" s="85">
        <f t="shared" ca="1" si="240"/>
        <v>1143.2719672091494</v>
      </c>
      <c r="AN192" s="85">
        <f t="shared" ca="1" si="241"/>
        <v>1305.8165417942178</v>
      </c>
      <c r="AO192" s="85">
        <f t="shared" ca="1" si="242"/>
        <v>1505.4475992292275</v>
      </c>
      <c r="AP192" s="85">
        <f t="shared" ca="1" si="243"/>
        <v>1363.2113554356417</v>
      </c>
      <c r="AQ192" s="85">
        <f t="shared" ca="1" si="244"/>
        <v>1064.2694182332327</v>
      </c>
      <c r="AR192" s="85">
        <f t="shared" ca="1" si="245"/>
        <v>1273.4156280523557</v>
      </c>
      <c r="AS192" s="85">
        <f t="shared" ca="1" si="246"/>
        <v>1161.9615650720332</v>
      </c>
      <c r="AT192" s="85">
        <f t="shared" ca="1" si="247"/>
        <v>1212.4389657733966</v>
      </c>
      <c r="AU192" s="85">
        <f t="shared" ca="1" si="248"/>
        <v>1289.4645513591358</v>
      </c>
      <c r="AV192" s="85">
        <f t="shared" ca="1" si="249"/>
        <v>1318.8568926194027</v>
      </c>
      <c r="AW192" s="85">
        <f t="shared" ca="1" si="250"/>
        <v>1293.9199555630441</v>
      </c>
      <c r="AX192" s="85">
        <f t="shared" ca="1" si="251"/>
        <v>1429.777841248422</v>
      </c>
      <c r="AY192" s="85">
        <f t="shared" ca="1" si="252"/>
        <v>1373.3856460132276</v>
      </c>
      <c r="AZ192" s="85">
        <f t="shared" ca="1" si="253"/>
        <v>1337.2330846626394</v>
      </c>
      <c r="BA192" s="85">
        <f t="shared" ca="1" si="254"/>
        <v>1327.822138027972</v>
      </c>
      <c r="BB192" s="85">
        <f t="shared" ca="1" si="255"/>
        <v>1126.9296486515241</v>
      </c>
      <c r="BC192" s="85">
        <f t="shared" ca="1" si="256"/>
        <v>1369.8137470180272</v>
      </c>
      <c r="BD192" s="85">
        <f t="shared" ca="1" si="257"/>
        <v>1256.5229938104524</v>
      </c>
      <c r="BE192" s="85">
        <f t="shared" ca="1" si="258"/>
        <v>1129.1037037115295</v>
      </c>
      <c r="BF192" s="85">
        <f t="shared" ca="1" si="259"/>
        <v>1117.6520277839388</v>
      </c>
      <c r="BG192" s="85">
        <f t="shared" ca="1" si="260"/>
        <v>1078.6760161033437</v>
      </c>
      <c r="BH192" s="85">
        <f t="shared" ca="1" si="261"/>
        <v>1322.542738216885</v>
      </c>
      <c r="BI192" s="85">
        <f t="shared" ca="1" si="262"/>
        <v>1131.9330888858738</v>
      </c>
      <c r="BJ192" s="85">
        <f t="shared" ca="1" si="263"/>
        <v>1259.0894079974018</v>
      </c>
      <c r="BK192" s="85">
        <f t="shared" ca="1" si="264"/>
        <v>1180.4747326867578</v>
      </c>
      <c r="BL192" s="85">
        <f t="shared" ca="1" si="265"/>
        <v>1118.2624217204118</v>
      </c>
      <c r="BM192" s="85">
        <f t="shared" ca="1" si="266"/>
        <v>1196.3677566189588</v>
      </c>
      <c r="BN192" s="85">
        <f t="shared" ca="1" si="203"/>
        <v>1275.978549337281</v>
      </c>
      <c r="BO192" s="85">
        <f t="shared" ca="1" si="292"/>
        <v>1428.7452122738528</v>
      </c>
      <c r="BP192" s="85">
        <f t="shared" ca="1" si="293"/>
        <v>1160.4117214911378</v>
      </c>
      <c r="BQ192" s="85">
        <f t="shared" ca="1" si="294"/>
        <v>1217.5043166437854</v>
      </c>
      <c r="BR192" s="85">
        <f t="shared" ca="1" si="295"/>
        <v>1083.1559287903376</v>
      </c>
      <c r="BS192" s="85">
        <f t="shared" ca="1" si="296"/>
        <v>1257.4684058875036</v>
      </c>
      <c r="BT192" s="85">
        <f t="shared" ca="1" si="297"/>
        <v>1449.7184621465667</v>
      </c>
      <c r="BU192" s="85">
        <f t="shared" ca="1" si="298"/>
        <v>1151.6780149209044</v>
      </c>
      <c r="BV192" s="85">
        <f t="shared" ca="1" si="299"/>
        <v>1162.116020766767</v>
      </c>
      <c r="BW192" s="85">
        <f t="shared" ca="1" si="300"/>
        <v>1312.7082453546273</v>
      </c>
      <c r="BX192" s="85">
        <f t="shared" ca="1" si="301"/>
        <v>1230.5702954475939</v>
      </c>
      <c r="BY192" s="85">
        <f t="shared" ca="1" si="267"/>
        <v>1134.1669910000562</v>
      </c>
      <c r="BZ192" s="85">
        <f t="shared" ca="1" si="268"/>
        <v>1171.1584681633324</v>
      </c>
      <c r="CA192" s="85">
        <f t="shared" ca="1" si="269"/>
        <v>1181.8699271869145</v>
      </c>
      <c r="CB192" s="85">
        <f t="shared" ca="1" si="270"/>
        <v>1094.69072934673</v>
      </c>
      <c r="CC192" s="85">
        <f t="shared" ca="1" si="271"/>
        <v>1305.9604990004214</v>
      </c>
      <c r="CD192" s="85">
        <f t="shared" ca="1" si="272"/>
        <v>1435.0232600125746</v>
      </c>
      <c r="CE192" s="85">
        <f t="shared" ca="1" si="273"/>
        <v>1156.1045496386653</v>
      </c>
      <c r="CF192" s="85">
        <f t="shared" ca="1" si="274"/>
        <v>1371.6801252974656</v>
      </c>
      <c r="CG192" s="85">
        <f t="shared" ca="1" si="275"/>
        <v>1028.0719225008975</v>
      </c>
      <c r="CH192" s="85">
        <f t="shared" ca="1" si="276"/>
        <v>1265.4627310063861</v>
      </c>
      <c r="CI192" s="85">
        <f t="shared" ca="1" si="277"/>
        <v>1118.3838951725022</v>
      </c>
      <c r="CJ192" s="85">
        <f t="shared" ca="1" si="278"/>
        <v>1129.7277058582799</v>
      </c>
      <c r="CK192" s="85">
        <f t="shared" ca="1" si="279"/>
        <v>1189.4083338616147</v>
      </c>
      <c r="CL192" s="85">
        <f t="shared" ca="1" si="280"/>
        <v>1112.9171746918826</v>
      </c>
      <c r="CM192" s="85">
        <f t="shared" ca="1" si="281"/>
        <v>1384.6447651742278</v>
      </c>
      <c r="CN192" s="85">
        <f t="shared" ca="1" si="282"/>
        <v>969.90680992959324</v>
      </c>
      <c r="CO192" s="85">
        <f t="shared" ca="1" si="283"/>
        <v>1157.8970734054988</v>
      </c>
      <c r="CP192" s="85">
        <f t="shared" ca="1" si="284"/>
        <v>1273.2515879653602</v>
      </c>
      <c r="CQ192" s="85">
        <f t="shared" ca="1" si="285"/>
        <v>1190.4851507293636</v>
      </c>
      <c r="CR192" s="85">
        <f t="shared" ca="1" si="286"/>
        <v>1233.8242749782887</v>
      </c>
      <c r="CS192" s="85">
        <f t="shared" ca="1" si="287"/>
        <v>1023.2939563184592</v>
      </c>
      <c r="CT192" s="85">
        <f t="shared" ca="1" si="288"/>
        <v>1059.9281959405926</v>
      </c>
      <c r="CU192" s="85">
        <f t="shared" ca="1" si="289"/>
        <v>1555.9196511406444</v>
      </c>
      <c r="CV192" s="85">
        <f t="shared" ca="1" si="290"/>
        <v>1095.742768461726</v>
      </c>
      <c r="CW192" s="85">
        <f t="shared" ca="1" si="291"/>
        <v>1137.4476752985749</v>
      </c>
    </row>
    <row r="193" spans="1:101" x14ac:dyDescent="0.2">
      <c r="A193" s="115">
        <v>190</v>
      </c>
      <c r="B193" s="85">
        <f t="shared" ca="1" si="202"/>
        <v>951.0518990991327</v>
      </c>
      <c r="C193" s="85">
        <f t="shared" ca="1" si="204"/>
        <v>1215.1022329510897</v>
      </c>
      <c r="D193" s="85">
        <f t="shared" ca="1" si="205"/>
        <v>1215.8708372578733</v>
      </c>
      <c r="E193" s="85">
        <f t="shared" ca="1" si="206"/>
        <v>1067.6341754813341</v>
      </c>
      <c r="F193" s="85">
        <f t="shared" ca="1" si="207"/>
        <v>1168.3385011382643</v>
      </c>
      <c r="G193" s="85">
        <f t="shared" ca="1" si="208"/>
        <v>1192.3791224538472</v>
      </c>
      <c r="H193" s="85">
        <f t="shared" ca="1" si="209"/>
        <v>1232.9884189590889</v>
      </c>
      <c r="I193" s="85">
        <f t="shared" ca="1" si="210"/>
        <v>1377.2006861509863</v>
      </c>
      <c r="J193" s="85">
        <f t="shared" ca="1" si="211"/>
        <v>1105.1381408397626</v>
      </c>
      <c r="K193" s="85">
        <f t="shared" ca="1" si="212"/>
        <v>1309.8935519555796</v>
      </c>
      <c r="L193" s="85">
        <f t="shared" ca="1" si="213"/>
        <v>1345.2146666827821</v>
      </c>
      <c r="M193" s="85">
        <f t="shared" ca="1" si="214"/>
        <v>1033.2210993826045</v>
      </c>
      <c r="N193" s="85">
        <f t="shared" ca="1" si="215"/>
        <v>1210.5965563912043</v>
      </c>
      <c r="O193" s="85">
        <f t="shared" ca="1" si="216"/>
        <v>1162.1914190062375</v>
      </c>
      <c r="P193" s="85">
        <f t="shared" ca="1" si="217"/>
        <v>1308.0367836596624</v>
      </c>
      <c r="Q193" s="85">
        <f t="shared" ca="1" si="218"/>
        <v>1303.8816782722974</v>
      </c>
      <c r="R193" s="85">
        <f t="shared" ca="1" si="219"/>
        <v>1144.5491795382422</v>
      </c>
      <c r="S193" s="85">
        <f t="shared" ca="1" si="220"/>
        <v>1236.4402119273368</v>
      </c>
      <c r="T193" s="85">
        <f t="shared" ca="1" si="221"/>
        <v>1200.8381312707259</v>
      </c>
      <c r="U193" s="85">
        <f t="shared" ca="1" si="222"/>
        <v>1134.0061108792067</v>
      </c>
      <c r="V193" s="85">
        <f t="shared" ca="1" si="223"/>
        <v>1366.0971125581505</v>
      </c>
      <c r="W193" s="85">
        <f t="shared" ca="1" si="224"/>
        <v>1167.1032437818476</v>
      </c>
      <c r="X193" s="85">
        <f t="shared" ca="1" si="225"/>
        <v>1250.6484029947828</v>
      </c>
      <c r="Y193" s="85">
        <f t="shared" ca="1" si="226"/>
        <v>1100.9459087338362</v>
      </c>
      <c r="Z193" s="85">
        <f t="shared" ca="1" si="227"/>
        <v>1233.7648936817818</v>
      </c>
      <c r="AA193" s="85">
        <f t="shared" ca="1" si="228"/>
        <v>1100.092518021394</v>
      </c>
      <c r="AB193" s="85">
        <f t="shared" ca="1" si="229"/>
        <v>1436.2220985485151</v>
      </c>
      <c r="AC193" s="85">
        <f t="shared" ca="1" si="230"/>
        <v>1233.538236298712</v>
      </c>
      <c r="AD193" s="85">
        <f t="shared" ca="1" si="231"/>
        <v>1387.004689380482</v>
      </c>
      <c r="AE193" s="85">
        <f t="shared" ca="1" si="232"/>
        <v>1594.0126020523685</v>
      </c>
      <c r="AF193" s="85">
        <f t="shared" ca="1" si="233"/>
        <v>1034.728456747237</v>
      </c>
      <c r="AG193" s="85">
        <f t="shared" ca="1" si="234"/>
        <v>1387.8245500533642</v>
      </c>
      <c r="AH193" s="85">
        <f t="shared" ca="1" si="235"/>
        <v>1127.9060074895776</v>
      </c>
      <c r="AI193" s="85">
        <f t="shared" ca="1" si="236"/>
        <v>1292.2471865715956</v>
      </c>
      <c r="AJ193" s="85">
        <f t="shared" ca="1" si="237"/>
        <v>1410.7889566520466</v>
      </c>
      <c r="AK193" s="85">
        <f t="shared" ca="1" si="238"/>
        <v>1247.8683541518872</v>
      </c>
      <c r="AL193" s="85">
        <f t="shared" ca="1" si="239"/>
        <v>1222.2363442125836</v>
      </c>
      <c r="AM193" s="85">
        <f t="shared" ca="1" si="240"/>
        <v>1141.8056603449879</v>
      </c>
      <c r="AN193" s="85">
        <f t="shared" ca="1" si="241"/>
        <v>1314.726255540447</v>
      </c>
      <c r="AO193" s="85">
        <f t="shared" ca="1" si="242"/>
        <v>1522.1421572580846</v>
      </c>
      <c r="AP193" s="85">
        <f t="shared" ca="1" si="243"/>
        <v>1395.456329153013</v>
      </c>
      <c r="AQ193" s="85">
        <f t="shared" ca="1" si="244"/>
        <v>1077.9420975551573</v>
      </c>
      <c r="AR193" s="85">
        <f t="shared" ca="1" si="245"/>
        <v>1306.8393294575978</v>
      </c>
      <c r="AS193" s="85">
        <f t="shared" ca="1" si="246"/>
        <v>1178.3103181861429</v>
      </c>
      <c r="AT193" s="85">
        <f t="shared" ca="1" si="247"/>
        <v>1217.2193107034643</v>
      </c>
      <c r="AU193" s="85">
        <f t="shared" ca="1" si="248"/>
        <v>1308.0054621392387</v>
      </c>
      <c r="AV193" s="85">
        <f t="shared" ca="1" si="249"/>
        <v>1350.5748679544424</v>
      </c>
      <c r="AW193" s="85">
        <f t="shared" ca="1" si="250"/>
        <v>1306.9638626391006</v>
      </c>
      <c r="AX193" s="85">
        <f t="shared" ca="1" si="251"/>
        <v>1438.5720157309333</v>
      </c>
      <c r="AY193" s="85">
        <f t="shared" ca="1" si="252"/>
        <v>1392.1990711062326</v>
      </c>
      <c r="AZ193" s="85">
        <f t="shared" ca="1" si="253"/>
        <v>1347.836108745468</v>
      </c>
      <c r="BA193" s="85">
        <f t="shared" ca="1" si="254"/>
        <v>1364.0048465625605</v>
      </c>
      <c r="BB193" s="85">
        <f t="shared" ca="1" si="255"/>
        <v>1139.5760531700805</v>
      </c>
      <c r="BC193" s="85">
        <f t="shared" ca="1" si="256"/>
        <v>1375.484665636083</v>
      </c>
      <c r="BD193" s="85">
        <f t="shared" ca="1" si="257"/>
        <v>1271.0428599473369</v>
      </c>
      <c r="BE193" s="85">
        <f t="shared" ca="1" si="258"/>
        <v>1146.2758638478481</v>
      </c>
      <c r="BF193" s="85">
        <f t="shared" ca="1" si="259"/>
        <v>1150.8696736544459</v>
      </c>
      <c r="BG193" s="85">
        <f t="shared" ca="1" si="260"/>
        <v>1086.7810002049728</v>
      </c>
      <c r="BH193" s="85">
        <f t="shared" ca="1" si="261"/>
        <v>1342.8046030891751</v>
      </c>
      <c r="BI193" s="85">
        <f t="shared" ca="1" si="262"/>
        <v>1149.9187403328212</v>
      </c>
      <c r="BJ193" s="85">
        <f t="shared" ca="1" si="263"/>
        <v>1260.3004588143085</v>
      </c>
      <c r="BK193" s="85">
        <f t="shared" ca="1" si="264"/>
        <v>1199.4288150545315</v>
      </c>
      <c r="BL193" s="85">
        <f t="shared" ca="1" si="265"/>
        <v>1144.7162937821743</v>
      </c>
      <c r="BM193" s="85">
        <f t="shared" ca="1" si="266"/>
        <v>1222.3175081002751</v>
      </c>
      <c r="BN193" s="85">
        <f t="shared" ca="1" si="203"/>
        <v>1276.5862554513158</v>
      </c>
      <c r="BO193" s="85">
        <f t="shared" ca="1" si="292"/>
        <v>1465.3653586853209</v>
      </c>
      <c r="BP193" s="85">
        <f t="shared" ca="1" si="293"/>
        <v>1182.2378678177965</v>
      </c>
      <c r="BQ193" s="85">
        <f t="shared" ca="1" si="294"/>
        <v>1241.039232972244</v>
      </c>
      <c r="BR193" s="85">
        <f t="shared" ca="1" si="295"/>
        <v>1095.0303328016998</v>
      </c>
      <c r="BS193" s="85">
        <f t="shared" ca="1" si="296"/>
        <v>1272.6144361274603</v>
      </c>
      <c r="BT193" s="85">
        <f t="shared" ca="1" si="297"/>
        <v>1472.5551969315602</v>
      </c>
      <c r="BU193" s="85">
        <f t="shared" ca="1" si="298"/>
        <v>1166.661491385448</v>
      </c>
      <c r="BV193" s="85">
        <f t="shared" ca="1" si="299"/>
        <v>1184.6955236200274</v>
      </c>
      <c r="BW193" s="85">
        <f t="shared" ca="1" si="300"/>
        <v>1338.3148733780743</v>
      </c>
      <c r="BX193" s="85">
        <f t="shared" ca="1" si="301"/>
        <v>1245.7557489907017</v>
      </c>
      <c r="BY193" s="85">
        <f t="shared" ca="1" si="267"/>
        <v>1154.9935251611689</v>
      </c>
      <c r="BZ193" s="85">
        <f t="shared" ca="1" si="268"/>
        <v>1187.4376817168582</v>
      </c>
      <c r="CA193" s="85">
        <f t="shared" ca="1" si="269"/>
        <v>1209.4426903904364</v>
      </c>
      <c r="CB193" s="85">
        <f t="shared" ca="1" si="270"/>
        <v>1113.1923038293926</v>
      </c>
      <c r="CC193" s="85">
        <f t="shared" ca="1" si="271"/>
        <v>1333.1011308341606</v>
      </c>
      <c r="CD193" s="85">
        <f t="shared" ca="1" si="272"/>
        <v>1445.1133384705777</v>
      </c>
      <c r="CE193" s="85">
        <f t="shared" ca="1" si="273"/>
        <v>1168.2909817999775</v>
      </c>
      <c r="CF193" s="85">
        <f t="shared" ca="1" si="274"/>
        <v>1392.7327256249864</v>
      </c>
      <c r="CG193" s="85">
        <f t="shared" ca="1" si="275"/>
        <v>1036.7829644863418</v>
      </c>
      <c r="CH193" s="85">
        <f t="shared" ca="1" si="276"/>
        <v>1279.608344258429</v>
      </c>
      <c r="CI193" s="85">
        <f t="shared" ca="1" si="277"/>
        <v>1131.7917131934246</v>
      </c>
      <c r="CJ193" s="85">
        <f t="shared" ca="1" si="278"/>
        <v>1137.9691376005446</v>
      </c>
      <c r="CK193" s="85">
        <f t="shared" ca="1" si="279"/>
        <v>1219.4246864038475</v>
      </c>
      <c r="CL193" s="85">
        <f t="shared" ca="1" si="280"/>
        <v>1124.3151720017599</v>
      </c>
      <c r="CM193" s="85">
        <f t="shared" ca="1" si="281"/>
        <v>1401.7976977633614</v>
      </c>
      <c r="CN193" s="85">
        <f t="shared" ca="1" si="282"/>
        <v>984.30469604949815</v>
      </c>
      <c r="CO193" s="85">
        <f t="shared" ca="1" si="283"/>
        <v>1168.3809053066273</v>
      </c>
      <c r="CP193" s="85">
        <f t="shared" ca="1" si="284"/>
        <v>1305.5663423826495</v>
      </c>
      <c r="CQ193" s="85">
        <f t="shared" ca="1" si="285"/>
        <v>1223.6646100686785</v>
      </c>
      <c r="CR193" s="85">
        <f t="shared" ca="1" si="286"/>
        <v>1274.2687188831376</v>
      </c>
      <c r="CS193" s="85">
        <f t="shared" ca="1" si="287"/>
        <v>1043.6479140884885</v>
      </c>
      <c r="CT193" s="85">
        <f t="shared" ca="1" si="288"/>
        <v>1080.0259580560235</v>
      </c>
      <c r="CU193" s="85">
        <f t="shared" ca="1" si="289"/>
        <v>1574.3906308064552</v>
      </c>
      <c r="CV193" s="85">
        <f t="shared" ca="1" si="290"/>
        <v>1116.718926036215</v>
      </c>
      <c r="CW193" s="85">
        <f t="shared" ca="1" si="291"/>
        <v>1146.2638793747979</v>
      </c>
    </row>
    <row r="194" spans="1:101" x14ac:dyDescent="0.2">
      <c r="A194" s="115">
        <v>191</v>
      </c>
      <c r="B194" s="85">
        <f t="shared" ca="1" si="202"/>
        <v>979.80370006063765</v>
      </c>
      <c r="C194" s="85">
        <f t="shared" ca="1" si="204"/>
        <v>1233.0105876650064</v>
      </c>
      <c r="D194" s="85">
        <f t="shared" ca="1" si="205"/>
        <v>1237.602877492053</v>
      </c>
      <c r="E194" s="85">
        <f t="shared" ca="1" si="206"/>
        <v>1074.6973386995185</v>
      </c>
      <c r="F194" s="85">
        <f t="shared" ca="1" si="207"/>
        <v>1167.0099890132474</v>
      </c>
      <c r="G194" s="85">
        <f t="shared" ca="1" si="208"/>
        <v>1213.614187933367</v>
      </c>
      <c r="H194" s="85">
        <f t="shared" ca="1" si="209"/>
        <v>1248.609630550613</v>
      </c>
      <c r="I194" s="85">
        <f t="shared" ca="1" si="210"/>
        <v>1407.8602206743826</v>
      </c>
      <c r="J194" s="85">
        <f t="shared" ca="1" si="211"/>
        <v>1130.239708170152</v>
      </c>
      <c r="K194" s="85">
        <f t="shared" ca="1" si="212"/>
        <v>1337.8886718080746</v>
      </c>
      <c r="L194" s="85">
        <f t="shared" ca="1" si="213"/>
        <v>1369.8685408824331</v>
      </c>
      <c r="M194" s="85">
        <f t="shared" ca="1" si="214"/>
        <v>1050.6616721575069</v>
      </c>
      <c r="N194" s="85">
        <f t="shared" ca="1" si="215"/>
        <v>1224.0723355363648</v>
      </c>
      <c r="O194" s="85">
        <f t="shared" ca="1" si="216"/>
        <v>1194.4710866355538</v>
      </c>
      <c r="P194" s="85">
        <f t="shared" ca="1" si="217"/>
        <v>1323.6158403323705</v>
      </c>
      <c r="Q194" s="85">
        <f t="shared" ca="1" si="218"/>
        <v>1325.5368137508697</v>
      </c>
      <c r="R194" s="85">
        <f t="shared" ca="1" si="219"/>
        <v>1152.8955417797197</v>
      </c>
      <c r="S194" s="85">
        <f t="shared" ca="1" si="220"/>
        <v>1258.5763579879351</v>
      </c>
      <c r="T194" s="85">
        <f t="shared" ca="1" si="221"/>
        <v>1228.9088855029868</v>
      </c>
      <c r="U194" s="85">
        <f t="shared" ca="1" si="222"/>
        <v>1152.0714271392628</v>
      </c>
      <c r="V194" s="85">
        <f t="shared" ca="1" si="223"/>
        <v>1376.7530338065915</v>
      </c>
      <c r="W194" s="85">
        <f t="shared" ca="1" si="224"/>
        <v>1175.6105760288335</v>
      </c>
      <c r="X194" s="85">
        <f t="shared" ca="1" si="225"/>
        <v>1263.8950981496887</v>
      </c>
      <c r="Y194" s="85">
        <f t="shared" ca="1" si="226"/>
        <v>1112.3345393922934</v>
      </c>
      <c r="Z194" s="85">
        <f t="shared" ca="1" si="227"/>
        <v>1243.2072526754644</v>
      </c>
      <c r="AA194" s="85">
        <f t="shared" ca="1" si="228"/>
        <v>1113.88163675845</v>
      </c>
      <c r="AB194" s="85">
        <f t="shared" ca="1" si="229"/>
        <v>1464.9610565998221</v>
      </c>
      <c r="AC194" s="85">
        <f t="shared" ca="1" si="230"/>
        <v>1260.5609387465261</v>
      </c>
      <c r="AD194" s="85">
        <f t="shared" ca="1" si="231"/>
        <v>1415.7838260847814</v>
      </c>
      <c r="AE194" s="85">
        <f t="shared" ca="1" si="232"/>
        <v>1590.8662252927552</v>
      </c>
      <c r="AF194" s="85">
        <f t="shared" ca="1" si="233"/>
        <v>1040.8427653075828</v>
      </c>
      <c r="AG194" s="85">
        <f t="shared" ca="1" si="234"/>
        <v>1394.6265925641146</v>
      </c>
      <c r="AH194" s="85">
        <f t="shared" ca="1" si="235"/>
        <v>1149.2287652146581</v>
      </c>
      <c r="AI194" s="85">
        <f t="shared" ca="1" si="236"/>
        <v>1296.8210995936279</v>
      </c>
      <c r="AJ194" s="85">
        <f t="shared" ca="1" si="237"/>
        <v>1431.9871465619756</v>
      </c>
      <c r="AK194" s="85">
        <f t="shared" ca="1" si="238"/>
        <v>1276.7964183640997</v>
      </c>
      <c r="AL194" s="85">
        <f t="shared" ca="1" si="239"/>
        <v>1244.6455716011924</v>
      </c>
      <c r="AM194" s="85">
        <f t="shared" ca="1" si="240"/>
        <v>1164.2807912924688</v>
      </c>
      <c r="AN194" s="85">
        <f t="shared" ca="1" si="241"/>
        <v>1332.1132754116904</v>
      </c>
      <c r="AO194" s="85">
        <f t="shared" ca="1" si="242"/>
        <v>1542.7754991120885</v>
      </c>
      <c r="AP194" s="85">
        <f t="shared" ca="1" si="243"/>
        <v>1414.6566809756034</v>
      </c>
      <c r="AQ194" s="85">
        <f t="shared" ca="1" si="244"/>
        <v>1087.624594050629</v>
      </c>
      <c r="AR194" s="85">
        <f t="shared" ca="1" si="245"/>
        <v>1318.2240669884909</v>
      </c>
      <c r="AS194" s="85">
        <f t="shared" ca="1" si="246"/>
        <v>1198.3333055698035</v>
      </c>
      <c r="AT194" s="85">
        <f t="shared" ca="1" si="247"/>
        <v>1231.8177475125283</v>
      </c>
      <c r="AU194" s="85">
        <f t="shared" ca="1" si="248"/>
        <v>1317.998954584089</v>
      </c>
      <c r="AV194" s="85">
        <f t="shared" ca="1" si="249"/>
        <v>1346.2972891869179</v>
      </c>
      <c r="AW194" s="85">
        <f t="shared" ca="1" si="250"/>
        <v>1330.3847126442433</v>
      </c>
      <c r="AX194" s="85">
        <f t="shared" ca="1" si="251"/>
        <v>1451.5016499447365</v>
      </c>
      <c r="AY194" s="85">
        <f t="shared" ca="1" si="252"/>
        <v>1410.0154512368754</v>
      </c>
      <c r="AZ194" s="85">
        <f t="shared" ca="1" si="253"/>
        <v>1366.9648452793599</v>
      </c>
      <c r="BA194" s="85">
        <f t="shared" ca="1" si="254"/>
        <v>1386.9093386705476</v>
      </c>
      <c r="BB194" s="85">
        <f t="shared" ca="1" si="255"/>
        <v>1152.8057479107363</v>
      </c>
      <c r="BC194" s="85">
        <f t="shared" ca="1" si="256"/>
        <v>1389.0393332030067</v>
      </c>
      <c r="BD194" s="85">
        <f t="shared" ca="1" si="257"/>
        <v>1304.3342091899156</v>
      </c>
      <c r="BE194" s="85">
        <f t="shared" ca="1" si="258"/>
        <v>1165.391265273227</v>
      </c>
      <c r="BF194" s="85">
        <f t="shared" ca="1" si="259"/>
        <v>1156.045177035697</v>
      </c>
      <c r="BG194" s="85">
        <f t="shared" ca="1" si="260"/>
        <v>1102.2639200332865</v>
      </c>
      <c r="BH194" s="85">
        <f t="shared" ca="1" si="261"/>
        <v>1350.0973398411497</v>
      </c>
      <c r="BI194" s="85">
        <f t="shared" ca="1" si="262"/>
        <v>1160.7338557148476</v>
      </c>
      <c r="BJ194" s="85">
        <f t="shared" ca="1" si="263"/>
        <v>1272.8830283146017</v>
      </c>
      <c r="BK194" s="85">
        <f t="shared" ca="1" si="264"/>
        <v>1211.5020300294111</v>
      </c>
      <c r="BL194" s="85">
        <f t="shared" ca="1" si="265"/>
        <v>1161.1836457532804</v>
      </c>
      <c r="BM194" s="85">
        <f t="shared" ca="1" si="266"/>
        <v>1247.9597172648444</v>
      </c>
      <c r="BN194" s="85">
        <f t="shared" ca="1" si="203"/>
        <v>1315.1081447117833</v>
      </c>
      <c r="BO194" s="85">
        <f t="shared" ca="1" si="292"/>
        <v>1502.4270438744481</v>
      </c>
      <c r="BP194" s="85">
        <f t="shared" ca="1" si="293"/>
        <v>1197.6935122250093</v>
      </c>
      <c r="BQ194" s="85">
        <f t="shared" ca="1" si="294"/>
        <v>1254.1064687393898</v>
      </c>
      <c r="BR194" s="85">
        <f t="shared" ca="1" si="295"/>
        <v>1116.5330333571983</v>
      </c>
      <c r="BS194" s="85">
        <f t="shared" ca="1" si="296"/>
        <v>1290.6834734048232</v>
      </c>
      <c r="BT194" s="85">
        <f t="shared" ca="1" si="297"/>
        <v>1498.3765719547091</v>
      </c>
      <c r="BU194" s="85">
        <f t="shared" ca="1" si="298"/>
        <v>1175.9653509615089</v>
      </c>
      <c r="BV194" s="85">
        <f t="shared" ca="1" si="299"/>
        <v>1192.1837332821196</v>
      </c>
      <c r="BW194" s="85">
        <f t="shared" ca="1" si="300"/>
        <v>1367.4064407475437</v>
      </c>
      <c r="BX194" s="85">
        <f t="shared" ca="1" si="301"/>
        <v>1266.1280149862334</v>
      </c>
      <c r="BY194" s="85">
        <f t="shared" ca="1" si="267"/>
        <v>1172.096104616511</v>
      </c>
      <c r="BZ194" s="85">
        <f t="shared" ca="1" si="268"/>
        <v>1216.0341534642723</v>
      </c>
      <c r="CA194" s="85">
        <f t="shared" ca="1" si="269"/>
        <v>1226.1527914311553</v>
      </c>
      <c r="CB194" s="85">
        <f t="shared" ca="1" si="270"/>
        <v>1134.4222170870073</v>
      </c>
      <c r="CC194" s="85">
        <f t="shared" ca="1" si="271"/>
        <v>1349.9188028529247</v>
      </c>
      <c r="CD194" s="85">
        <f t="shared" ca="1" si="272"/>
        <v>1454.0654262885002</v>
      </c>
      <c r="CE194" s="85">
        <f t="shared" ca="1" si="273"/>
        <v>1184.7889063243613</v>
      </c>
      <c r="CF194" s="85">
        <f t="shared" ca="1" si="274"/>
        <v>1403.1750376366524</v>
      </c>
      <c r="CG194" s="85">
        <f t="shared" ca="1" si="275"/>
        <v>1054.4319332975545</v>
      </c>
      <c r="CH194" s="85">
        <f t="shared" ca="1" si="276"/>
        <v>1294.4696311211262</v>
      </c>
      <c r="CI194" s="85">
        <f t="shared" ca="1" si="277"/>
        <v>1148.1029169748213</v>
      </c>
      <c r="CJ194" s="85">
        <f t="shared" ca="1" si="278"/>
        <v>1165.1695886948094</v>
      </c>
      <c r="CK194" s="85">
        <f t="shared" ca="1" si="279"/>
        <v>1235.6834790296823</v>
      </c>
      <c r="CL194" s="85">
        <f t="shared" ca="1" si="280"/>
        <v>1142.5313149280837</v>
      </c>
      <c r="CM194" s="85">
        <f t="shared" ca="1" si="281"/>
        <v>1408.5920393759832</v>
      </c>
      <c r="CN194" s="85">
        <f t="shared" ca="1" si="282"/>
        <v>981.19516430598389</v>
      </c>
      <c r="CO194" s="85">
        <f t="shared" ca="1" si="283"/>
        <v>1172.7097466581924</v>
      </c>
      <c r="CP194" s="85">
        <f t="shared" ca="1" si="284"/>
        <v>1305.1567640299477</v>
      </c>
      <c r="CQ194" s="85">
        <f t="shared" ca="1" si="285"/>
        <v>1234.8993351937124</v>
      </c>
      <c r="CR194" s="85">
        <f t="shared" ca="1" si="286"/>
        <v>1294.1357611275866</v>
      </c>
      <c r="CS194" s="85">
        <f t="shared" ca="1" si="287"/>
        <v>1050.1231165382487</v>
      </c>
      <c r="CT194" s="85">
        <f t="shared" ca="1" si="288"/>
        <v>1092.9887479207766</v>
      </c>
      <c r="CU194" s="85">
        <f t="shared" ca="1" si="289"/>
        <v>1589.0900469513242</v>
      </c>
      <c r="CV194" s="85">
        <f t="shared" ca="1" si="290"/>
        <v>1130.1454880912513</v>
      </c>
      <c r="CW194" s="85">
        <f t="shared" ca="1" si="291"/>
        <v>1165.835552558578</v>
      </c>
    </row>
    <row r="195" spans="1:101" x14ac:dyDescent="0.2">
      <c r="A195" s="115">
        <v>192</v>
      </c>
      <c r="B195" s="85">
        <f t="shared" ca="1" si="202"/>
        <v>995.14632500566688</v>
      </c>
      <c r="C195" s="85">
        <f t="shared" ca="1" si="204"/>
        <v>1238.9943214255491</v>
      </c>
      <c r="D195" s="85">
        <f t="shared" ca="1" si="205"/>
        <v>1258.0038239199741</v>
      </c>
      <c r="E195" s="85">
        <f t="shared" ca="1" si="206"/>
        <v>1095.2029939800989</v>
      </c>
      <c r="F195" s="85">
        <f t="shared" ca="1" si="207"/>
        <v>1189.6772893541372</v>
      </c>
      <c r="G195" s="85">
        <f t="shared" ca="1" si="208"/>
        <v>1228.6251233976488</v>
      </c>
      <c r="H195" s="85">
        <f t="shared" ca="1" si="209"/>
        <v>1256.4569670929293</v>
      </c>
      <c r="I195" s="85">
        <f t="shared" ca="1" si="210"/>
        <v>1421.5009076600272</v>
      </c>
      <c r="J195" s="85">
        <f t="shared" ca="1" si="211"/>
        <v>1141.6660399440909</v>
      </c>
      <c r="K195" s="85">
        <f t="shared" ca="1" si="212"/>
        <v>1361.5089805683317</v>
      </c>
      <c r="L195" s="85">
        <f t="shared" ca="1" si="213"/>
        <v>1399.7080069110987</v>
      </c>
      <c r="M195" s="85">
        <f t="shared" ca="1" si="214"/>
        <v>1066.9592571627122</v>
      </c>
      <c r="N195" s="85">
        <f t="shared" ca="1" si="215"/>
        <v>1231.153406745414</v>
      </c>
      <c r="O195" s="85">
        <f t="shared" ca="1" si="216"/>
        <v>1202.3717583971647</v>
      </c>
      <c r="P195" s="85">
        <f t="shared" ca="1" si="217"/>
        <v>1341.347332178399</v>
      </c>
      <c r="Q195" s="85">
        <f t="shared" ca="1" si="218"/>
        <v>1338.8845793852593</v>
      </c>
      <c r="R195" s="85">
        <f t="shared" ca="1" si="219"/>
        <v>1165.4799786069543</v>
      </c>
      <c r="S195" s="85">
        <f t="shared" ca="1" si="220"/>
        <v>1262.8014573761923</v>
      </c>
      <c r="T195" s="85">
        <f t="shared" ca="1" si="221"/>
        <v>1243.6836905785649</v>
      </c>
      <c r="U195" s="85">
        <f t="shared" ca="1" si="222"/>
        <v>1163.4779908160144</v>
      </c>
      <c r="V195" s="85">
        <f t="shared" ca="1" si="223"/>
        <v>1403.5595420236086</v>
      </c>
      <c r="W195" s="85">
        <f t="shared" ca="1" si="224"/>
        <v>1209.8078736895416</v>
      </c>
      <c r="X195" s="85">
        <f t="shared" ca="1" si="225"/>
        <v>1288.6823815764833</v>
      </c>
      <c r="Y195" s="85">
        <f t="shared" ca="1" si="226"/>
        <v>1144.6083465990407</v>
      </c>
      <c r="Z195" s="85">
        <f t="shared" ca="1" si="227"/>
        <v>1255.4569249353233</v>
      </c>
      <c r="AA195" s="85">
        <f t="shared" ca="1" si="228"/>
        <v>1140.0626940536399</v>
      </c>
      <c r="AB195" s="85">
        <f t="shared" ca="1" si="229"/>
        <v>1476.0298552703021</v>
      </c>
      <c r="AC195" s="85">
        <f t="shared" ca="1" si="230"/>
        <v>1282.3523429910301</v>
      </c>
      <c r="AD195" s="85">
        <f t="shared" ca="1" si="231"/>
        <v>1432.2469665200854</v>
      </c>
      <c r="AE195" s="85">
        <f t="shared" ca="1" si="232"/>
        <v>1616.7570589985135</v>
      </c>
      <c r="AF195" s="85">
        <f t="shared" ca="1" si="233"/>
        <v>1050.6257669287766</v>
      </c>
      <c r="AG195" s="85">
        <f t="shared" ca="1" si="234"/>
        <v>1420.353967174628</v>
      </c>
      <c r="AH195" s="85">
        <f t="shared" ca="1" si="235"/>
        <v>1160.3771105485046</v>
      </c>
      <c r="AI195" s="85">
        <f t="shared" ca="1" si="236"/>
        <v>1331.823285256791</v>
      </c>
      <c r="AJ195" s="85">
        <f t="shared" ca="1" si="237"/>
        <v>1445.3401073762793</v>
      </c>
      <c r="AK195" s="85">
        <f t="shared" ca="1" si="238"/>
        <v>1303.3597655301371</v>
      </c>
      <c r="AL195" s="85">
        <f t="shared" ca="1" si="239"/>
        <v>1257.1187490286243</v>
      </c>
      <c r="AM195" s="85">
        <f t="shared" ca="1" si="240"/>
        <v>1192.4761667478117</v>
      </c>
      <c r="AN195" s="85">
        <f t="shared" ca="1" si="241"/>
        <v>1350.8800686237412</v>
      </c>
      <c r="AO195" s="85">
        <f t="shared" ca="1" si="242"/>
        <v>1567.1240534799531</v>
      </c>
      <c r="AP195" s="85">
        <f t="shared" ca="1" si="243"/>
        <v>1434.6549592366805</v>
      </c>
      <c r="AQ195" s="85">
        <f t="shared" ca="1" si="244"/>
        <v>1112.7809784444885</v>
      </c>
      <c r="AR195" s="85">
        <f t="shared" ca="1" si="245"/>
        <v>1341.4092739037847</v>
      </c>
      <c r="AS195" s="85">
        <f t="shared" ca="1" si="246"/>
        <v>1214.839165182045</v>
      </c>
      <c r="AT195" s="85">
        <f t="shared" ca="1" si="247"/>
        <v>1248.8975939005315</v>
      </c>
      <c r="AU195" s="85">
        <f t="shared" ca="1" si="248"/>
        <v>1342.6488935015002</v>
      </c>
      <c r="AV195" s="85">
        <f t="shared" ca="1" si="249"/>
        <v>1358.2209498115426</v>
      </c>
      <c r="AW195" s="85">
        <f t="shared" ca="1" si="250"/>
        <v>1339.1923684856743</v>
      </c>
      <c r="AX195" s="85">
        <f t="shared" ca="1" si="251"/>
        <v>1479.1583687697337</v>
      </c>
      <c r="AY195" s="85">
        <f t="shared" ca="1" si="252"/>
        <v>1434.6070234438723</v>
      </c>
      <c r="AZ195" s="85">
        <f t="shared" ca="1" si="253"/>
        <v>1384.9819031423101</v>
      </c>
      <c r="BA195" s="85">
        <f t="shared" ca="1" si="254"/>
        <v>1393.5387720907122</v>
      </c>
      <c r="BB195" s="85">
        <f t="shared" ca="1" si="255"/>
        <v>1165.0986429447805</v>
      </c>
      <c r="BC195" s="85">
        <f t="shared" ca="1" si="256"/>
        <v>1403.6972500714517</v>
      </c>
      <c r="BD195" s="85">
        <f t="shared" ca="1" si="257"/>
        <v>1322.7133578278026</v>
      </c>
      <c r="BE195" s="85">
        <f t="shared" ca="1" si="258"/>
        <v>1177.2979121182118</v>
      </c>
      <c r="BF195" s="85">
        <f t="shared" ca="1" si="259"/>
        <v>1157.1609483218574</v>
      </c>
      <c r="BG195" s="85">
        <f t="shared" ca="1" si="260"/>
        <v>1111.9693823280209</v>
      </c>
      <c r="BH195" s="85">
        <f t="shared" ca="1" si="261"/>
        <v>1370.0739943732779</v>
      </c>
      <c r="BI195" s="85">
        <f t="shared" ca="1" si="262"/>
        <v>1172.0889936522012</v>
      </c>
      <c r="BJ195" s="85">
        <f t="shared" ca="1" si="263"/>
        <v>1288.3325426169763</v>
      </c>
      <c r="BK195" s="85">
        <f t="shared" ca="1" si="264"/>
        <v>1214.7315135800736</v>
      </c>
      <c r="BL195" s="85">
        <f t="shared" ca="1" si="265"/>
        <v>1187.2060392033225</v>
      </c>
      <c r="BM195" s="85">
        <f t="shared" ca="1" si="266"/>
        <v>1257.7104004416019</v>
      </c>
      <c r="BN195" s="85">
        <f t="shared" ca="1" si="203"/>
        <v>1334.7871602405614</v>
      </c>
      <c r="BO195" s="85">
        <f t="shared" ca="1" si="292"/>
        <v>1529.6166982806481</v>
      </c>
      <c r="BP195" s="85">
        <f t="shared" ca="1" si="293"/>
        <v>1210.8968946912275</v>
      </c>
      <c r="BQ195" s="85">
        <f t="shared" ca="1" si="294"/>
        <v>1257.2947009182378</v>
      </c>
      <c r="BR195" s="85">
        <f t="shared" ca="1" si="295"/>
        <v>1139.6725614051231</v>
      </c>
      <c r="BS195" s="85">
        <f t="shared" ca="1" si="296"/>
        <v>1304.0100034470561</v>
      </c>
      <c r="BT195" s="85">
        <f t="shared" ca="1" si="297"/>
        <v>1497.7772952919756</v>
      </c>
      <c r="BU195" s="85">
        <f t="shared" ca="1" si="298"/>
        <v>1193.8843153074638</v>
      </c>
      <c r="BV195" s="85">
        <f t="shared" ca="1" si="299"/>
        <v>1208.4676718180954</v>
      </c>
      <c r="BW195" s="85">
        <f t="shared" ca="1" si="300"/>
        <v>1377.8857699548537</v>
      </c>
      <c r="BX195" s="85">
        <f t="shared" ca="1" si="301"/>
        <v>1277.9514421575029</v>
      </c>
      <c r="BY195" s="85">
        <f t="shared" ca="1" si="267"/>
        <v>1192.9563087816309</v>
      </c>
      <c r="BZ195" s="85">
        <f t="shared" ca="1" si="268"/>
        <v>1219.311095280163</v>
      </c>
      <c r="CA195" s="85">
        <f t="shared" ca="1" si="269"/>
        <v>1246.9847876341032</v>
      </c>
      <c r="CB195" s="85">
        <f t="shared" ca="1" si="270"/>
        <v>1144.1093575980626</v>
      </c>
      <c r="CC195" s="85">
        <f t="shared" ca="1" si="271"/>
        <v>1357.4121042924846</v>
      </c>
      <c r="CD195" s="85">
        <f t="shared" ca="1" si="272"/>
        <v>1475.7390255770122</v>
      </c>
      <c r="CE195" s="85">
        <f t="shared" ca="1" si="273"/>
        <v>1203.452194658754</v>
      </c>
      <c r="CF195" s="85">
        <f t="shared" ca="1" si="274"/>
        <v>1412.0097340371128</v>
      </c>
      <c r="CG195" s="85">
        <f t="shared" ca="1" si="275"/>
        <v>1062.0876495600921</v>
      </c>
      <c r="CH195" s="85">
        <f t="shared" ca="1" si="276"/>
        <v>1320.1543845438819</v>
      </c>
      <c r="CI195" s="85">
        <f t="shared" ca="1" si="277"/>
        <v>1163.473265570085</v>
      </c>
      <c r="CJ195" s="85">
        <f t="shared" ca="1" si="278"/>
        <v>1180.5911706806012</v>
      </c>
      <c r="CK195" s="85">
        <f t="shared" ca="1" si="279"/>
        <v>1256.1085846547792</v>
      </c>
      <c r="CL195" s="85">
        <f t="shared" ca="1" si="280"/>
        <v>1155.0088829890572</v>
      </c>
      <c r="CM195" s="85">
        <f t="shared" ca="1" si="281"/>
        <v>1434.6104822475368</v>
      </c>
      <c r="CN195" s="85">
        <f t="shared" ca="1" si="282"/>
        <v>1003.3526309276037</v>
      </c>
      <c r="CO195" s="85">
        <f t="shared" ca="1" si="283"/>
        <v>1186.3265040982285</v>
      </c>
      <c r="CP195" s="85">
        <f t="shared" ca="1" si="284"/>
        <v>1318.3022920562189</v>
      </c>
      <c r="CQ195" s="85">
        <f t="shared" ca="1" si="285"/>
        <v>1249.561123459381</v>
      </c>
      <c r="CR195" s="85">
        <f t="shared" ca="1" si="286"/>
        <v>1310.4843463808186</v>
      </c>
      <c r="CS195" s="85">
        <f t="shared" ca="1" si="287"/>
        <v>1048.5564085466453</v>
      </c>
      <c r="CT195" s="85">
        <f t="shared" ca="1" si="288"/>
        <v>1116.7868490706746</v>
      </c>
      <c r="CU195" s="85">
        <f t="shared" ca="1" si="289"/>
        <v>1607.0012428227617</v>
      </c>
      <c r="CV195" s="85">
        <f t="shared" ca="1" si="290"/>
        <v>1160.180320641266</v>
      </c>
      <c r="CW195" s="85">
        <f t="shared" ca="1" si="291"/>
        <v>1191.4482916007705</v>
      </c>
    </row>
    <row r="196" spans="1:101" x14ac:dyDescent="0.2">
      <c r="A196" s="115">
        <v>193</v>
      </c>
      <c r="B196" s="85">
        <f t="shared" ca="1" si="202"/>
        <v>995.0945128075773</v>
      </c>
      <c r="C196" s="85">
        <f t="shared" ca="1" si="204"/>
        <v>1259.6101513153969</v>
      </c>
      <c r="D196" s="85">
        <f t="shared" ca="1" si="205"/>
        <v>1276.5064431877995</v>
      </c>
      <c r="E196" s="85">
        <f t="shared" ca="1" si="206"/>
        <v>1102.7700837661225</v>
      </c>
      <c r="F196" s="85">
        <f t="shared" ca="1" si="207"/>
        <v>1204.3282978634882</v>
      </c>
      <c r="G196" s="85">
        <f t="shared" ca="1" si="208"/>
        <v>1251.3215435291743</v>
      </c>
      <c r="H196" s="85">
        <f t="shared" ca="1" si="209"/>
        <v>1263.273785479133</v>
      </c>
      <c r="I196" s="85">
        <f t="shared" ca="1" si="210"/>
        <v>1428.1760800963461</v>
      </c>
      <c r="J196" s="85">
        <f t="shared" ca="1" si="211"/>
        <v>1148.1542489603819</v>
      </c>
      <c r="K196" s="85">
        <f t="shared" ca="1" si="212"/>
        <v>1365.6625269166334</v>
      </c>
      <c r="L196" s="85">
        <f t="shared" ca="1" si="213"/>
        <v>1418.7585000152576</v>
      </c>
      <c r="M196" s="85">
        <f t="shared" ca="1" si="214"/>
        <v>1073.5882584653937</v>
      </c>
      <c r="N196" s="85">
        <f t="shared" ca="1" si="215"/>
        <v>1249.5457687628539</v>
      </c>
      <c r="O196" s="85">
        <f t="shared" ca="1" si="216"/>
        <v>1229.3838646988081</v>
      </c>
      <c r="P196" s="85">
        <f t="shared" ca="1" si="217"/>
        <v>1354.4946948385357</v>
      </c>
      <c r="Q196" s="85">
        <f t="shared" ca="1" si="218"/>
        <v>1360.6426024928621</v>
      </c>
      <c r="R196" s="85">
        <f t="shared" ca="1" si="219"/>
        <v>1176.349539339463</v>
      </c>
      <c r="S196" s="85">
        <f t="shared" ca="1" si="220"/>
        <v>1275.0039686097391</v>
      </c>
      <c r="T196" s="85">
        <f t="shared" ca="1" si="221"/>
        <v>1246.667097877724</v>
      </c>
      <c r="U196" s="85">
        <f t="shared" ca="1" si="222"/>
        <v>1182.1721100634652</v>
      </c>
      <c r="V196" s="85">
        <f t="shared" ca="1" si="223"/>
        <v>1423.5299776463971</v>
      </c>
      <c r="W196" s="85">
        <f t="shared" ca="1" si="224"/>
        <v>1223.2244297853513</v>
      </c>
      <c r="X196" s="85">
        <f t="shared" ca="1" si="225"/>
        <v>1317.4263360245775</v>
      </c>
      <c r="Y196" s="85">
        <f t="shared" ca="1" si="226"/>
        <v>1157.8255484541478</v>
      </c>
      <c r="Z196" s="85">
        <f t="shared" ca="1" si="227"/>
        <v>1268.9966758137198</v>
      </c>
      <c r="AA196" s="85">
        <f t="shared" ca="1" si="228"/>
        <v>1163.3748495089233</v>
      </c>
      <c r="AB196" s="85">
        <f t="shared" ca="1" si="229"/>
        <v>1500.8415575154233</v>
      </c>
      <c r="AC196" s="85">
        <f t="shared" ca="1" si="230"/>
        <v>1299.1447922635432</v>
      </c>
      <c r="AD196" s="85">
        <f t="shared" ca="1" si="231"/>
        <v>1457.2634850904844</v>
      </c>
      <c r="AE196" s="85">
        <f t="shared" ca="1" si="232"/>
        <v>1647.3801073151583</v>
      </c>
      <c r="AF196" s="85">
        <f t="shared" ca="1" si="233"/>
        <v>1069.6703849150986</v>
      </c>
      <c r="AG196" s="85">
        <f t="shared" ca="1" si="234"/>
        <v>1453.9139857054063</v>
      </c>
      <c r="AH196" s="85">
        <f t="shared" ca="1" si="235"/>
        <v>1177.2564054113268</v>
      </c>
      <c r="AI196" s="85">
        <f t="shared" ca="1" si="236"/>
        <v>1365.7057894273228</v>
      </c>
      <c r="AJ196" s="85">
        <f t="shared" ca="1" si="237"/>
        <v>1454.5216239398355</v>
      </c>
      <c r="AK196" s="85">
        <f t="shared" ca="1" si="238"/>
        <v>1314.6363190097225</v>
      </c>
      <c r="AL196" s="85">
        <f t="shared" ca="1" si="239"/>
        <v>1266.0901099014905</v>
      </c>
      <c r="AM196" s="85">
        <f t="shared" ca="1" si="240"/>
        <v>1214.5383086920217</v>
      </c>
      <c r="AN196" s="85">
        <f t="shared" ca="1" si="241"/>
        <v>1358.204608942599</v>
      </c>
      <c r="AO196" s="85">
        <f t="shared" ca="1" si="242"/>
        <v>1576.473742688743</v>
      </c>
      <c r="AP196" s="85">
        <f t="shared" ca="1" si="243"/>
        <v>1462.2558241197275</v>
      </c>
      <c r="AQ196" s="85">
        <f t="shared" ca="1" si="244"/>
        <v>1119.196490251421</v>
      </c>
      <c r="AR196" s="85">
        <f t="shared" ca="1" si="245"/>
        <v>1350.0582147700923</v>
      </c>
      <c r="AS196" s="85">
        <f t="shared" ca="1" si="246"/>
        <v>1234.3720105947825</v>
      </c>
      <c r="AT196" s="85">
        <f t="shared" ca="1" si="247"/>
        <v>1264.8577591558576</v>
      </c>
      <c r="AU196" s="85">
        <f t="shared" ca="1" si="248"/>
        <v>1345.8407819264853</v>
      </c>
      <c r="AV196" s="85">
        <f t="shared" ca="1" si="249"/>
        <v>1373.521872208097</v>
      </c>
      <c r="AW196" s="85">
        <f t="shared" ca="1" si="250"/>
        <v>1343.6740742985085</v>
      </c>
      <c r="AX196" s="85">
        <f t="shared" ca="1" si="251"/>
        <v>1529.5123059014345</v>
      </c>
      <c r="AY196" s="85">
        <f t="shared" ca="1" si="252"/>
        <v>1457.3157244266083</v>
      </c>
      <c r="AZ196" s="85">
        <f t="shared" ca="1" si="253"/>
        <v>1387.2037724954814</v>
      </c>
      <c r="BA196" s="85">
        <f t="shared" ca="1" si="254"/>
        <v>1425.441479796347</v>
      </c>
      <c r="BB196" s="85">
        <f t="shared" ca="1" si="255"/>
        <v>1179.4233818811981</v>
      </c>
      <c r="BC196" s="85">
        <f t="shared" ca="1" si="256"/>
        <v>1436.4205577350785</v>
      </c>
      <c r="BD196" s="85">
        <f t="shared" ca="1" si="257"/>
        <v>1350.7927020135853</v>
      </c>
      <c r="BE196" s="85">
        <f t="shared" ca="1" si="258"/>
        <v>1192.5580128932697</v>
      </c>
      <c r="BF196" s="85">
        <f t="shared" ca="1" si="259"/>
        <v>1166.3904335229897</v>
      </c>
      <c r="BG196" s="85">
        <f t="shared" ca="1" si="260"/>
        <v>1128.8311244459085</v>
      </c>
      <c r="BH196" s="85">
        <f t="shared" ca="1" si="261"/>
        <v>1394.1008500223957</v>
      </c>
      <c r="BI196" s="85">
        <f t="shared" ca="1" si="262"/>
        <v>1181.6527952845197</v>
      </c>
      <c r="BJ196" s="85">
        <f t="shared" ca="1" si="263"/>
        <v>1297.642951519528</v>
      </c>
      <c r="BK196" s="85">
        <f t="shared" ca="1" si="264"/>
        <v>1223.8803102030433</v>
      </c>
      <c r="BL196" s="85">
        <f t="shared" ca="1" si="265"/>
        <v>1201.3360305802357</v>
      </c>
      <c r="BM196" s="85">
        <f t="shared" ca="1" si="266"/>
        <v>1283.9237940355663</v>
      </c>
      <c r="BN196" s="85">
        <f t="shared" ca="1" si="203"/>
        <v>1348.5357236977704</v>
      </c>
      <c r="BO196" s="85">
        <f t="shared" ca="1" si="292"/>
        <v>1541.4728290464168</v>
      </c>
      <c r="BP196" s="85">
        <f t="shared" ca="1" si="293"/>
        <v>1230.4023839945007</v>
      </c>
      <c r="BQ196" s="85">
        <f t="shared" ca="1" si="294"/>
        <v>1274.4343718884923</v>
      </c>
      <c r="BR196" s="85">
        <f t="shared" ca="1" si="295"/>
        <v>1148.9488810768355</v>
      </c>
      <c r="BS196" s="85">
        <f t="shared" ca="1" si="296"/>
        <v>1326.4717317144855</v>
      </c>
      <c r="BT196" s="85">
        <f t="shared" ca="1" si="297"/>
        <v>1516.0318297036165</v>
      </c>
      <c r="BU196" s="85">
        <f t="shared" ca="1" si="298"/>
        <v>1212.2731552562802</v>
      </c>
      <c r="BV196" s="85">
        <f t="shared" ca="1" si="299"/>
        <v>1216.2276447437416</v>
      </c>
      <c r="BW196" s="85">
        <f t="shared" ca="1" si="300"/>
        <v>1397.8982965686466</v>
      </c>
      <c r="BX196" s="85">
        <f t="shared" ca="1" si="301"/>
        <v>1284.5752435061545</v>
      </c>
      <c r="BY196" s="85">
        <f t="shared" ca="1" si="267"/>
        <v>1206.0312010696766</v>
      </c>
      <c r="BZ196" s="85">
        <f t="shared" ca="1" si="268"/>
        <v>1216.4628620365827</v>
      </c>
      <c r="CA196" s="85">
        <f t="shared" ca="1" si="269"/>
        <v>1270.072938785265</v>
      </c>
      <c r="CB196" s="85">
        <f t="shared" ca="1" si="270"/>
        <v>1154.1425206963454</v>
      </c>
      <c r="CC196" s="85">
        <f t="shared" ca="1" si="271"/>
        <v>1400.7223053499295</v>
      </c>
      <c r="CD196" s="85">
        <f t="shared" ca="1" si="272"/>
        <v>1472.8674087625034</v>
      </c>
      <c r="CE196" s="85">
        <f t="shared" ca="1" si="273"/>
        <v>1223.9108403975777</v>
      </c>
      <c r="CF196" s="85">
        <f t="shared" ca="1" si="274"/>
        <v>1408.6852367168788</v>
      </c>
      <c r="CG196" s="85">
        <f t="shared" ca="1" si="275"/>
        <v>1078.8998590820247</v>
      </c>
      <c r="CH196" s="85">
        <f t="shared" ca="1" si="276"/>
        <v>1344.4510909820212</v>
      </c>
      <c r="CI196" s="85">
        <f t="shared" ca="1" si="277"/>
        <v>1188.7010894709892</v>
      </c>
      <c r="CJ196" s="85">
        <f t="shared" ca="1" si="278"/>
        <v>1187.7318369774882</v>
      </c>
      <c r="CK196" s="85">
        <f t="shared" ca="1" si="279"/>
        <v>1263.8537231110226</v>
      </c>
      <c r="CL196" s="85">
        <f t="shared" ca="1" si="280"/>
        <v>1169.890371118184</v>
      </c>
      <c r="CM196" s="85">
        <f t="shared" ca="1" si="281"/>
        <v>1442.9035386332444</v>
      </c>
      <c r="CN196" s="85">
        <f t="shared" ca="1" si="282"/>
        <v>1016.6580862854407</v>
      </c>
      <c r="CO196" s="85">
        <f t="shared" ca="1" si="283"/>
        <v>1192.8106362711455</v>
      </c>
      <c r="CP196" s="85">
        <f t="shared" ca="1" si="284"/>
        <v>1345.7336154396824</v>
      </c>
      <c r="CQ196" s="85">
        <f t="shared" ca="1" si="285"/>
        <v>1258.9635811984365</v>
      </c>
      <c r="CR196" s="85">
        <f t="shared" ca="1" si="286"/>
        <v>1320.6851220687104</v>
      </c>
      <c r="CS196" s="85">
        <f t="shared" ca="1" si="287"/>
        <v>1048.7818024466869</v>
      </c>
      <c r="CT196" s="85">
        <f t="shared" ca="1" si="288"/>
        <v>1136.3256108889473</v>
      </c>
      <c r="CU196" s="85">
        <f t="shared" ca="1" si="289"/>
        <v>1622.764609906661</v>
      </c>
      <c r="CV196" s="85">
        <f t="shared" ca="1" si="290"/>
        <v>1175.0217529594536</v>
      </c>
      <c r="CW196" s="85">
        <f t="shared" ca="1" si="291"/>
        <v>1204.8410110410107</v>
      </c>
    </row>
    <row r="197" spans="1:101" x14ac:dyDescent="0.2">
      <c r="A197" s="115">
        <v>194</v>
      </c>
      <c r="B197" s="85">
        <f t="shared" ref="B197:B255" ca="1" si="302">B196*EXP(($C$259-0.5*$C$260^2)+$C$260*_xlfn.NORM.INV(RAND(),0,1))</f>
        <v>1016.8944204135296</v>
      </c>
      <c r="C197" s="85">
        <f t="shared" ca="1" si="204"/>
        <v>1278.8716814008992</v>
      </c>
      <c r="D197" s="85">
        <f t="shared" ca="1" si="205"/>
        <v>1289.5463140700406</v>
      </c>
      <c r="E197" s="85">
        <f t="shared" ca="1" si="206"/>
        <v>1118.0398093642546</v>
      </c>
      <c r="F197" s="85">
        <f t="shared" ca="1" si="207"/>
        <v>1217.5665201768802</v>
      </c>
      <c r="G197" s="85">
        <f t="shared" ca="1" si="208"/>
        <v>1264.5001897075256</v>
      </c>
      <c r="H197" s="85">
        <f t="shared" ca="1" si="209"/>
        <v>1296.3042580763729</v>
      </c>
      <c r="I197" s="85">
        <f t="shared" ca="1" si="210"/>
        <v>1472.7068354087953</v>
      </c>
      <c r="J197" s="85">
        <f t="shared" ca="1" si="211"/>
        <v>1176.9344446382336</v>
      </c>
      <c r="K197" s="85">
        <f t="shared" ca="1" si="212"/>
        <v>1377.7279122409705</v>
      </c>
      <c r="L197" s="85">
        <f t="shared" ca="1" si="213"/>
        <v>1444.4429543997046</v>
      </c>
      <c r="M197" s="85">
        <f t="shared" ca="1" si="214"/>
        <v>1089.6312842780337</v>
      </c>
      <c r="N197" s="85">
        <f t="shared" ca="1" si="215"/>
        <v>1257.127017428206</v>
      </c>
      <c r="O197" s="85">
        <f t="shared" ca="1" si="216"/>
        <v>1269.0804587734183</v>
      </c>
      <c r="P197" s="85">
        <f t="shared" ca="1" si="217"/>
        <v>1389.965293317634</v>
      </c>
      <c r="Q197" s="85">
        <f t="shared" ca="1" si="218"/>
        <v>1368.3468004605102</v>
      </c>
      <c r="R197" s="85">
        <f t="shared" ca="1" si="219"/>
        <v>1192.1322486558536</v>
      </c>
      <c r="S197" s="85">
        <f t="shared" ca="1" si="220"/>
        <v>1294.9799629240561</v>
      </c>
      <c r="T197" s="85">
        <f t="shared" ca="1" si="221"/>
        <v>1264.115985429562</v>
      </c>
      <c r="U197" s="85">
        <f t="shared" ca="1" si="222"/>
        <v>1204.2172208935574</v>
      </c>
      <c r="V197" s="85">
        <f t="shared" ca="1" si="223"/>
        <v>1427.6093755886773</v>
      </c>
      <c r="W197" s="85">
        <f t="shared" ca="1" si="224"/>
        <v>1226.3696374875378</v>
      </c>
      <c r="X197" s="85">
        <f t="shared" ca="1" si="225"/>
        <v>1337.0503759430349</v>
      </c>
      <c r="Y197" s="85">
        <f t="shared" ca="1" si="226"/>
        <v>1172.5078110299621</v>
      </c>
      <c r="Z197" s="85">
        <f t="shared" ca="1" si="227"/>
        <v>1288.1748157049715</v>
      </c>
      <c r="AA197" s="85">
        <f t="shared" ca="1" si="228"/>
        <v>1174.9961560834281</v>
      </c>
      <c r="AB197" s="85">
        <f t="shared" ca="1" si="229"/>
        <v>1503.7858235348413</v>
      </c>
      <c r="AC197" s="85">
        <f t="shared" ca="1" si="230"/>
        <v>1316.9403229659597</v>
      </c>
      <c r="AD197" s="85">
        <f t="shared" ca="1" si="231"/>
        <v>1485.7680697667931</v>
      </c>
      <c r="AE197" s="85">
        <f t="shared" ca="1" si="232"/>
        <v>1671.6080778458515</v>
      </c>
      <c r="AF197" s="85">
        <f t="shared" ca="1" si="233"/>
        <v>1093.490106508091</v>
      </c>
      <c r="AG197" s="85">
        <f t="shared" ca="1" si="234"/>
        <v>1479.5849981776719</v>
      </c>
      <c r="AH197" s="85">
        <f t="shared" ca="1" si="235"/>
        <v>1191.514686932516</v>
      </c>
      <c r="AI197" s="85">
        <f t="shared" ca="1" si="236"/>
        <v>1378.2874211116812</v>
      </c>
      <c r="AJ197" s="85">
        <f t="shared" ca="1" si="237"/>
        <v>1472.7243565798317</v>
      </c>
      <c r="AK197" s="85">
        <f t="shared" ca="1" si="238"/>
        <v>1341.0299048403808</v>
      </c>
      <c r="AL197" s="85">
        <f t="shared" ca="1" si="239"/>
        <v>1283.3041184842323</v>
      </c>
      <c r="AM197" s="85">
        <f t="shared" ca="1" si="240"/>
        <v>1228.3596051077029</v>
      </c>
      <c r="AN197" s="85">
        <f t="shared" ca="1" si="241"/>
        <v>1387.4042566365429</v>
      </c>
      <c r="AO197" s="85">
        <f t="shared" ca="1" si="242"/>
        <v>1604.1816233851753</v>
      </c>
      <c r="AP197" s="85">
        <f t="shared" ca="1" si="243"/>
        <v>1477.4002651561805</v>
      </c>
      <c r="AQ197" s="85">
        <f t="shared" ca="1" si="244"/>
        <v>1140.1857492139193</v>
      </c>
      <c r="AR197" s="85">
        <f t="shared" ca="1" si="245"/>
        <v>1355.436034422416</v>
      </c>
      <c r="AS197" s="85">
        <f t="shared" ca="1" si="246"/>
        <v>1254.2376676843221</v>
      </c>
      <c r="AT197" s="85">
        <f t="shared" ca="1" si="247"/>
        <v>1294.9579377242549</v>
      </c>
      <c r="AU197" s="85">
        <f t="shared" ca="1" si="248"/>
        <v>1351.4552798212956</v>
      </c>
      <c r="AV197" s="85">
        <f t="shared" ca="1" si="249"/>
        <v>1384.6878525350851</v>
      </c>
      <c r="AW197" s="85">
        <f t="shared" ca="1" si="250"/>
        <v>1359.2573017988891</v>
      </c>
      <c r="AX197" s="85">
        <f t="shared" ca="1" si="251"/>
        <v>1577.9027473849794</v>
      </c>
      <c r="AY197" s="85">
        <f t="shared" ca="1" si="252"/>
        <v>1500.0931128267057</v>
      </c>
      <c r="AZ197" s="85">
        <f t="shared" ca="1" si="253"/>
        <v>1414.8128863347542</v>
      </c>
      <c r="BA197" s="85">
        <f t="shared" ca="1" si="254"/>
        <v>1448.7038793902789</v>
      </c>
      <c r="BB197" s="85">
        <f t="shared" ca="1" si="255"/>
        <v>1189.2516331243346</v>
      </c>
      <c r="BC197" s="85">
        <f t="shared" ca="1" si="256"/>
        <v>1461.9581045181008</v>
      </c>
      <c r="BD197" s="85">
        <f t="shared" ca="1" si="257"/>
        <v>1375.9287206312724</v>
      </c>
      <c r="BE197" s="85">
        <f t="shared" ca="1" si="258"/>
        <v>1197.0487470883129</v>
      </c>
      <c r="BF197" s="85">
        <f t="shared" ca="1" si="259"/>
        <v>1172.1981688090245</v>
      </c>
      <c r="BG197" s="85">
        <f t="shared" ca="1" si="260"/>
        <v>1147.6399690104049</v>
      </c>
      <c r="BH197" s="85">
        <f t="shared" ca="1" si="261"/>
        <v>1400.5336676074398</v>
      </c>
      <c r="BI197" s="85">
        <f t="shared" ca="1" si="262"/>
        <v>1202.0790503672579</v>
      </c>
      <c r="BJ197" s="85">
        <f t="shared" ca="1" si="263"/>
        <v>1318.357637488738</v>
      </c>
      <c r="BK197" s="85">
        <f t="shared" ca="1" si="264"/>
        <v>1234.3034681002064</v>
      </c>
      <c r="BL197" s="85">
        <f t="shared" ca="1" si="265"/>
        <v>1221.8013703585816</v>
      </c>
      <c r="BM197" s="85">
        <f t="shared" ca="1" si="266"/>
        <v>1298.1734707132218</v>
      </c>
      <c r="BN197" s="85">
        <f t="shared" ca="1" si="203"/>
        <v>1369.172095253226</v>
      </c>
      <c r="BO197" s="85">
        <f t="shared" ca="1" si="292"/>
        <v>1563.775675184256</v>
      </c>
      <c r="BP197" s="85">
        <f t="shared" ca="1" si="293"/>
        <v>1239.4645714357193</v>
      </c>
      <c r="BQ197" s="85">
        <f t="shared" ca="1" si="294"/>
        <v>1284.1474624920793</v>
      </c>
      <c r="BR197" s="85">
        <f t="shared" ca="1" si="295"/>
        <v>1183.9822275745585</v>
      </c>
      <c r="BS197" s="85">
        <f t="shared" ca="1" si="296"/>
        <v>1348.4688239353684</v>
      </c>
      <c r="BT197" s="85">
        <f t="shared" ca="1" si="297"/>
        <v>1533.2066971739923</v>
      </c>
      <c r="BU197" s="85">
        <f t="shared" ca="1" si="298"/>
        <v>1222.2045996430381</v>
      </c>
      <c r="BV197" s="85">
        <f t="shared" ca="1" si="299"/>
        <v>1241.9603240605275</v>
      </c>
      <c r="BW197" s="85">
        <f t="shared" ca="1" si="300"/>
        <v>1416.8949347119851</v>
      </c>
      <c r="BX197" s="85">
        <f t="shared" ca="1" si="301"/>
        <v>1298.896285627817</v>
      </c>
      <c r="BY197" s="85">
        <f t="shared" ca="1" si="267"/>
        <v>1210.0477672294712</v>
      </c>
      <c r="BZ197" s="85">
        <f t="shared" ca="1" si="268"/>
        <v>1237.881892497692</v>
      </c>
      <c r="CA197" s="85">
        <f t="shared" ca="1" si="269"/>
        <v>1294.598244090759</v>
      </c>
      <c r="CB197" s="85">
        <f t="shared" ca="1" si="270"/>
        <v>1170.6649981449432</v>
      </c>
      <c r="CC197" s="85">
        <f t="shared" ca="1" si="271"/>
        <v>1408.6222962076749</v>
      </c>
      <c r="CD197" s="85">
        <f t="shared" ca="1" si="272"/>
        <v>1491.6332852176861</v>
      </c>
      <c r="CE197" s="85">
        <f t="shared" ca="1" si="273"/>
        <v>1244.8256746473087</v>
      </c>
      <c r="CF197" s="85">
        <f t="shared" ca="1" si="274"/>
        <v>1424.1804600402052</v>
      </c>
      <c r="CG197" s="85">
        <f t="shared" ca="1" si="275"/>
        <v>1098.1431683777282</v>
      </c>
      <c r="CH197" s="85">
        <f t="shared" ca="1" si="276"/>
        <v>1371.8240972357225</v>
      </c>
      <c r="CI197" s="85">
        <f t="shared" ca="1" si="277"/>
        <v>1198.2867995628746</v>
      </c>
      <c r="CJ197" s="85">
        <f t="shared" ca="1" si="278"/>
        <v>1216.6144043526631</v>
      </c>
      <c r="CK197" s="85">
        <f t="shared" ca="1" si="279"/>
        <v>1283.1058164618146</v>
      </c>
      <c r="CL197" s="85">
        <f t="shared" ca="1" si="280"/>
        <v>1184.4701332812606</v>
      </c>
      <c r="CM197" s="85">
        <f t="shared" ca="1" si="281"/>
        <v>1453.3295294512877</v>
      </c>
      <c r="CN197" s="85">
        <f t="shared" ca="1" si="282"/>
        <v>1028.7773291301551</v>
      </c>
      <c r="CO197" s="85">
        <f t="shared" ca="1" si="283"/>
        <v>1206.3115985041936</v>
      </c>
      <c r="CP197" s="85">
        <f t="shared" ca="1" si="284"/>
        <v>1359.2591969052733</v>
      </c>
      <c r="CQ197" s="85">
        <f t="shared" ca="1" si="285"/>
        <v>1276.2326796406594</v>
      </c>
      <c r="CR197" s="85">
        <f t="shared" ca="1" si="286"/>
        <v>1350.7000218427281</v>
      </c>
      <c r="CS197" s="85">
        <f t="shared" ca="1" si="287"/>
        <v>1063.2118476515675</v>
      </c>
      <c r="CT197" s="85">
        <f t="shared" ca="1" si="288"/>
        <v>1146.8654888955348</v>
      </c>
      <c r="CU197" s="85">
        <f t="shared" ca="1" si="289"/>
        <v>1636.5513761663069</v>
      </c>
      <c r="CV197" s="85">
        <f t="shared" ca="1" si="290"/>
        <v>1183.9478023051581</v>
      </c>
      <c r="CW197" s="85">
        <f t="shared" ca="1" si="291"/>
        <v>1226.1725547713452</v>
      </c>
    </row>
    <row r="198" spans="1:101" x14ac:dyDescent="0.2">
      <c r="A198" s="115">
        <v>195</v>
      </c>
      <c r="B198" s="85">
        <f t="shared" ca="1" si="302"/>
        <v>1031.5500137456995</v>
      </c>
      <c r="C198" s="85">
        <f t="shared" ca="1" si="204"/>
        <v>1293.7488555827263</v>
      </c>
      <c r="D198" s="85">
        <f t="shared" ca="1" si="205"/>
        <v>1301.4723334464975</v>
      </c>
      <c r="E198" s="85">
        <f t="shared" ca="1" si="206"/>
        <v>1129.2128303267166</v>
      </c>
      <c r="F198" s="85">
        <f t="shared" ca="1" si="207"/>
        <v>1234.2874327494369</v>
      </c>
      <c r="G198" s="85">
        <f t="shared" ca="1" si="208"/>
        <v>1276.2634353666072</v>
      </c>
      <c r="H198" s="85">
        <f t="shared" ca="1" si="209"/>
        <v>1304.0756099382199</v>
      </c>
      <c r="I198" s="85">
        <f t="shared" ca="1" si="210"/>
        <v>1514.7329721895471</v>
      </c>
      <c r="J198" s="85">
        <f t="shared" ca="1" si="211"/>
        <v>1188.9158918074104</v>
      </c>
      <c r="K198" s="85">
        <f t="shared" ca="1" si="212"/>
        <v>1399.0473719178005</v>
      </c>
      <c r="L198" s="85">
        <f t="shared" ca="1" si="213"/>
        <v>1492.4306061001882</v>
      </c>
      <c r="M198" s="85">
        <f t="shared" ca="1" si="214"/>
        <v>1104.3162725525474</v>
      </c>
      <c r="N198" s="85">
        <f t="shared" ca="1" si="215"/>
        <v>1276.8915423305798</v>
      </c>
      <c r="O198" s="85">
        <f t="shared" ca="1" si="216"/>
        <v>1292.2173261026498</v>
      </c>
      <c r="P198" s="85">
        <f t="shared" ca="1" si="217"/>
        <v>1405.4125101575326</v>
      </c>
      <c r="Q198" s="85">
        <f t="shared" ca="1" si="218"/>
        <v>1390.471636245788</v>
      </c>
      <c r="R198" s="85">
        <f t="shared" ca="1" si="219"/>
        <v>1195.8666641726575</v>
      </c>
      <c r="S198" s="85">
        <f t="shared" ca="1" si="220"/>
        <v>1328.8857414502934</v>
      </c>
      <c r="T198" s="85">
        <f t="shared" ca="1" si="221"/>
        <v>1277.1929514555716</v>
      </c>
      <c r="U198" s="85">
        <f t="shared" ca="1" si="222"/>
        <v>1222.5509079569576</v>
      </c>
      <c r="V198" s="85">
        <f t="shared" ca="1" si="223"/>
        <v>1452.9605862728649</v>
      </c>
      <c r="W198" s="85">
        <f t="shared" ca="1" si="224"/>
        <v>1255.8167683774639</v>
      </c>
      <c r="X198" s="85">
        <f t="shared" ca="1" si="225"/>
        <v>1376.6370540899384</v>
      </c>
      <c r="Y198" s="85">
        <f t="shared" ca="1" si="226"/>
        <v>1196.2131375762865</v>
      </c>
      <c r="Z198" s="85">
        <f t="shared" ca="1" si="227"/>
        <v>1314.9796336193285</v>
      </c>
      <c r="AA198" s="85">
        <f t="shared" ca="1" si="228"/>
        <v>1191.5438713988933</v>
      </c>
      <c r="AB198" s="85">
        <f t="shared" ca="1" si="229"/>
        <v>1517.5545918021444</v>
      </c>
      <c r="AC198" s="85">
        <f t="shared" ca="1" si="230"/>
        <v>1332.4940549072796</v>
      </c>
      <c r="AD198" s="85">
        <f t="shared" ca="1" si="231"/>
        <v>1491.3926247112672</v>
      </c>
      <c r="AE198" s="85">
        <f t="shared" ca="1" si="232"/>
        <v>1703.0514359944955</v>
      </c>
      <c r="AF198" s="85">
        <f t="shared" ca="1" si="233"/>
        <v>1086.9157344589782</v>
      </c>
      <c r="AG198" s="85">
        <f t="shared" ca="1" si="234"/>
        <v>1504.1420973079223</v>
      </c>
      <c r="AH198" s="85">
        <f t="shared" ca="1" si="235"/>
        <v>1215.6686055422545</v>
      </c>
      <c r="AI198" s="85">
        <f t="shared" ca="1" si="236"/>
        <v>1390.8911392978639</v>
      </c>
      <c r="AJ198" s="85">
        <f t="shared" ca="1" si="237"/>
        <v>1492.5056021332753</v>
      </c>
      <c r="AK198" s="85">
        <f t="shared" ca="1" si="238"/>
        <v>1364.4045572759655</v>
      </c>
      <c r="AL198" s="85">
        <f t="shared" ca="1" si="239"/>
        <v>1300.2803725064086</v>
      </c>
      <c r="AM198" s="85">
        <f t="shared" ca="1" si="240"/>
        <v>1256.1475355938417</v>
      </c>
      <c r="AN198" s="85">
        <f t="shared" ca="1" si="241"/>
        <v>1404.1627307431825</v>
      </c>
      <c r="AO198" s="85">
        <f t="shared" ca="1" si="242"/>
        <v>1628.5442248187871</v>
      </c>
      <c r="AP198" s="85">
        <f t="shared" ca="1" si="243"/>
        <v>1500.7688070597458</v>
      </c>
      <c r="AQ198" s="85">
        <f t="shared" ca="1" si="244"/>
        <v>1163.5104489516195</v>
      </c>
      <c r="AR198" s="85">
        <f t="shared" ca="1" si="245"/>
        <v>1371.0947593528467</v>
      </c>
      <c r="AS198" s="85">
        <f t="shared" ca="1" si="246"/>
        <v>1279.6158303715763</v>
      </c>
      <c r="AT198" s="85">
        <f t="shared" ca="1" si="247"/>
        <v>1319.6076741528984</v>
      </c>
      <c r="AU198" s="85">
        <f t="shared" ca="1" si="248"/>
        <v>1352.710765260179</v>
      </c>
      <c r="AV198" s="85">
        <f t="shared" ca="1" si="249"/>
        <v>1392.4153286871742</v>
      </c>
      <c r="AW198" s="85">
        <f t="shared" ca="1" si="250"/>
        <v>1369.3471955383402</v>
      </c>
      <c r="AX198" s="85">
        <f t="shared" ca="1" si="251"/>
        <v>1625.9228478906537</v>
      </c>
      <c r="AY198" s="85">
        <f t="shared" ca="1" si="252"/>
        <v>1521.1150796178574</v>
      </c>
      <c r="AZ198" s="85">
        <f t="shared" ca="1" si="253"/>
        <v>1436.9970175460771</v>
      </c>
      <c r="BA198" s="85">
        <f t="shared" ca="1" si="254"/>
        <v>1485.3767118733933</v>
      </c>
      <c r="BB198" s="85">
        <f t="shared" ca="1" si="255"/>
        <v>1209.8745653650847</v>
      </c>
      <c r="BC198" s="85">
        <f t="shared" ca="1" si="256"/>
        <v>1488.7369164345459</v>
      </c>
      <c r="BD198" s="85">
        <f t="shared" ca="1" si="257"/>
        <v>1400.8063030766025</v>
      </c>
      <c r="BE198" s="85">
        <f t="shared" ca="1" si="258"/>
        <v>1217.0856152260119</v>
      </c>
      <c r="BF198" s="85">
        <f t="shared" ca="1" si="259"/>
        <v>1182.6996578369701</v>
      </c>
      <c r="BG198" s="85">
        <f t="shared" ca="1" si="260"/>
        <v>1152.3573332187079</v>
      </c>
      <c r="BH198" s="85">
        <f t="shared" ca="1" si="261"/>
        <v>1417.9241981028867</v>
      </c>
      <c r="BI198" s="85">
        <f t="shared" ca="1" si="262"/>
        <v>1208.9809152254365</v>
      </c>
      <c r="BJ198" s="85">
        <f t="shared" ca="1" si="263"/>
        <v>1333.7546169212112</v>
      </c>
      <c r="BK198" s="85">
        <f t="shared" ca="1" si="264"/>
        <v>1266.8772574689826</v>
      </c>
      <c r="BL198" s="85">
        <f t="shared" ca="1" si="265"/>
        <v>1235.2505134670669</v>
      </c>
      <c r="BM198" s="85">
        <f t="shared" ca="1" si="266"/>
        <v>1309.3257128844937</v>
      </c>
      <c r="BN198" s="85">
        <f t="shared" ca="1" si="203"/>
        <v>1403.4673299723715</v>
      </c>
      <c r="BO198" s="85">
        <f t="shared" ca="1" si="292"/>
        <v>1602.6170302583459</v>
      </c>
      <c r="BP198" s="85">
        <f t="shared" ca="1" si="293"/>
        <v>1258.0927699793356</v>
      </c>
      <c r="BQ198" s="85">
        <f t="shared" ca="1" si="294"/>
        <v>1306.9080333977452</v>
      </c>
      <c r="BR198" s="85">
        <f t="shared" ca="1" si="295"/>
        <v>1199.1144283379019</v>
      </c>
      <c r="BS198" s="85">
        <f t="shared" ca="1" si="296"/>
        <v>1362.8440356505034</v>
      </c>
      <c r="BT198" s="85">
        <f t="shared" ca="1" si="297"/>
        <v>1540.7356190310327</v>
      </c>
      <c r="BU198" s="85">
        <f t="shared" ca="1" si="298"/>
        <v>1239.9346917577461</v>
      </c>
      <c r="BV198" s="85">
        <f t="shared" ca="1" si="299"/>
        <v>1253.586506811138</v>
      </c>
      <c r="BW198" s="85">
        <f t="shared" ca="1" si="300"/>
        <v>1447.5174493192858</v>
      </c>
      <c r="BX198" s="85">
        <f t="shared" ca="1" si="301"/>
        <v>1344.288923149438</v>
      </c>
      <c r="BY198" s="85">
        <f t="shared" ca="1" si="267"/>
        <v>1242.4212843578327</v>
      </c>
      <c r="BZ198" s="85">
        <f t="shared" ca="1" si="268"/>
        <v>1240.5994428803328</v>
      </c>
      <c r="CA198" s="85">
        <f t="shared" ca="1" si="269"/>
        <v>1322.2070773471539</v>
      </c>
      <c r="CB198" s="85">
        <f t="shared" ca="1" si="270"/>
        <v>1185.8267838122902</v>
      </c>
      <c r="CC198" s="85">
        <f t="shared" ca="1" si="271"/>
        <v>1419.0222024793134</v>
      </c>
      <c r="CD198" s="85">
        <f t="shared" ca="1" si="272"/>
        <v>1503.6017246606609</v>
      </c>
      <c r="CE198" s="85">
        <f t="shared" ca="1" si="273"/>
        <v>1246.5892111282635</v>
      </c>
      <c r="CF198" s="85">
        <f t="shared" ca="1" si="274"/>
        <v>1444.2943302312297</v>
      </c>
      <c r="CG198" s="85">
        <f t="shared" ca="1" si="275"/>
        <v>1114.5420945164715</v>
      </c>
      <c r="CH198" s="85">
        <f t="shared" ca="1" si="276"/>
        <v>1399.2352690635112</v>
      </c>
      <c r="CI198" s="85">
        <f t="shared" ca="1" si="277"/>
        <v>1206.8579324412781</v>
      </c>
      <c r="CJ198" s="85">
        <f t="shared" ca="1" si="278"/>
        <v>1241.4529915362873</v>
      </c>
      <c r="CK198" s="85">
        <f t="shared" ca="1" si="279"/>
        <v>1290.1001029051697</v>
      </c>
      <c r="CL198" s="85">
        <f t="shared" ca="1" si="280"/>
        <v>1209.7812092509805</v>
      </c>
      <c r="CM198" s="85">
        <f t="shared" ca="1" si="281"/>
        <v>1473.8401952094141</v>
      </c>
      <c r="CN198" s="85">
        <f t="shared" ca="1" si="282"/>
        <v>1049.6131632544225</v>
      </c>
      <c r="CO198" s="85">
        <f t="shared" ca="1" si="283"/>
        <v>1224.1763947553522</v>
      </c>
      <c r="CP198" s="85">
        <f t="shared" ca="1" si="284"/>
        <v>1391.4067349509655</v>
      </c>
      <c r="CQ198" s="85">
        <f t="shared" ca="1" si="285"/>
        <v>1306.9188602674631</v>
      </c>
      <c r="CR198" s="85">
        <f t="shared" ca="1" si="286"/>
        <v>1366.4094388684227</v>
      </c>
      <c r="CS198" s="85">
        <f t="shared" ca="1" si="287"/>
        <v>1078.4038315754904</v>
      </c>
      <c r="CT198" s="85">
        <f t="shared" ca="1" si="288"/>
        <v>1166.7220659198522</v>
      </c>
      <c r="CU198" s="85">
        <f t="shared" ca="1" si="289"/>
        <v>1659.9896098173474</v>
      </c>
      <c r="CV198" s="85">
        <f t="shared" ca="1" si="290"/>
        <v>1201.8054462212126</v>
      </c>
      <c r="CW198" s="85">
        <f t="shared" ca="1" si="291"/>
        <v>1248.6712597474138</v>
      </c>
    </row>
    <row r="199" spans="1:101" x14ac:dyDescent="0.2">
      <c r="A199" s="115">
        <v>196</v>
      </c>
      <c r="B199" s="85">
        <f t="shared" ca="1" si="302"/>
        <v>1042.2607819298428</v>
      </c>
      <c r="C199" s="85">
        <f t="shared" ca="1" si="204"/>
        <v>1307.2583418134561</v>
      </c>
      <c r="D199" s="85">
        <f t="shared" ca="1" si="205"/>
        <v>1321.6674037496798</v>
      </c>
      <c r="E199" s="85">
        <f t="shared" ca="1" si="206"/>
        <v>1153.0842767807815</v>
      </c>
      <c r="F199" s="85">
        <f t="shared" ca="1" si="207"/>
        <v>1246.2702478201841</v>
      </c>
      <c r="G199" s="85">
        <f t="shared" ca="1" si="208"/>
        <v>1300.2186570869114</v>
      </c>
      <c r="H199" s="85">
        <f t="shared" ca="1" si="209"/>
        <v>1326.4036180319979</v>
      </c>
      <c r="I199" s="85">
        <f t="shared" ca="1" si="210"/>
        <v>1522.6033135918979</v>
      </c>
      <c r="J199" s="85">
        <f t="shared" ca="1" si="211"/>
        <v>1212.0780781017668</v>
      </c>
      <c r="K199" s="85">
        <f t="shared" ca="1" si="212"/>
        <v>1416.5700426778562</v>
      </c>
      <c r="L199" s="85">
        <f t="shared" ca="1" si="213"/>
        <v>1510.1962014850403</v>
      </c>
      <c r="M199" s="85">
        <f t="shared" ca="1" si="214"/>
        <v>1112.7008599395631</v>
      </c>
      <c r="N199" s="85">
        <f t="shared" ca="1" si="215"/>
        <v>1302.8112261508304</v>
      </c>
      <c r="O199" s="85">
        <f t="shared" ca="1" si="216"/>
        <v>1307.8198711585073</v>
      </c>
      <c r="P199" s="85">
        <f t="shared" ca="1" si="217"/>
        <v>1423.6020407107787</v>
      </c>
      <c r="Q199" s="85">
        <f t="shared" ca="1" si="218"/>
        <v>1387.2487839334378</v>
      </c>
      <c r="R199" s="85">
        <f t="shared" ca="1" si="219"/>
        <v>1215.5481203765125</v>
      </c>
      <c r="S199" s="85">
        <f t="shared" ca="1" si="220"/>
        <v>1341.856280896902</v>
      </c>
      <c r="T199" s="85">
        <f t="shared" ca="1" si="221"/>
        <v>1305.9253139733605</v>
      </c>
      <c r="U199" s="85">
        <f t="shared" ca="1" si="222"/>
        <v>1243.1869816915221</v>
      </c>
      <c r="V199" s="85">
        <f t="shared" ca="1" si="223"/>
        <v>1487.7105550057286</v>
      </c>
      <c r="W199" s="85">
        <f t="shared" ca="1" si="224"/>
        <v>1261.4382122153277</v>
      </c>
      <c r="X199" s="85">
        <f t="shared" ca="1" si="225"/>
        <v>1393.4260162186158</v>
      </c>
      <c r="Y199" s="85">
        <f t="shared" ca="1" si="226"/>
        <v>1218.9581726540905</v>
      </c>
      <c r="Z199" s="85">
        <f t="shared" ca="1" si="227"/>
        <v>1332.0140062645796</v>
      </c>
      <c r="AA199" s="85">
        <f t="shared" ca="1" si="228"/>
        <v>1211.8914113419341</v>
      </c>
      <c r="AB199" s="85">
        <f t="shared" ca="1" si="229"/>
        <v>1535.4403860735781</v>
      </c>
      <c r="AC199" s="85">
        <f t="shared" ca="1" si="230"/>
        <v>1351.1710468347562</v>
      </c>
      <c r="AD199" s="85">
        <f t="shared" ca="1" si="231"/>
        <v>1515.5054140646805</v>
      </c>
      <c r="AE199" s="85">
        <f t="shared" ca="1" si="232"/>
        <v>1712.7767435929668</v>
      </c>
      <c r="AF199" s="85">
        <f t="shared" ca="1" si="233"/>
        <v>1104.4677278364015</v>
      </c>
      <c r="AG199" s="85">
        <f t="shared" ca="1" si="234"/>
        <v>1518.9856618380456</v>
      </c>
      <c r="AH199" s="85">
        <f t="shared" ca="1" si="235"/>
        <v>1235.3182541448848</v>
      </c>
      <c r="AI199" s="85">
        <f t="shared" ca="1" si="236"/>
        <v>1419.5115152650014</v>
      </c>
      <c r="AJ199" s="85">
        <f t="shared" ca="1" si="237"/>
        <v>1506.2246745451514</v>
      </c>
      <c r="AK199" s="85">
        <f t="shared" ca="1" si="238"/>
        <v>1382.3759363482491</v>
      </c>
      <c r="AL199" s="85">
        <f t="shared" ca="1" si="239"/>
        <v>1316.9186088845056</v>
      </c>
      <c r="AM199" s="85">
        <f t="shared" ca="1" si="240"/>
        <v>1268.2241438659955</v>
      </c>
      <c r="AN199" s="85">
        <f t="shared" ca="1" si="241"/>
        <v>1424.6782271234215</v>
      </c>
      <c r="AO199" s="85">
        <f t="shared" ca="1" si="242"/>
        <v>1663.1861149260553</v>
      </c>
      <c r="AP199" s="85">
        <f t="shared" ca="1" si="243"/>
        <v>1525.5302144653131</v>
      </c>
      <c r="AQ199" s="85">
        <f t="shared" ca="1" si="244"/>
        <v>1184.9288439264164</v>
      </c>
      <c r="AR199" s="85">
        <f t="shared" ca="1" si="245"/>
        <v>1404.8151631370185</v>
      </c>
      <c r="AS199" s="85">
        <f t="shared" ca="1" si="246"/>
        <v>1305.5887146024834</v>
      </c>
      <c r="AT199" s="85">
        <f t="shared" ca="1" si="247"/>
        <v>1333.3605019170093</v>
      </c>
      <c r="AU199" s="85">
        <f t="shared" ca="1" si="248"/>
        <v>1363.3575378060193</v>
      </c>
      <c r="AV199" s="85">
        <f t="shared" ca="1" si="249"/>
        <v>1418.6609283787991</v>
      </c>
      <c r="AW199" s="85">
        <f t="shared" ca="1" si="250"/>
        <v>1396.6021414273941</v>
      </c>
      <c r="AX199" s="85">
        <f t="shared" ca="1" si="251"/>
        <v>1646.9883115984692</v>
      </c>
      <c r="AY199" s="85">
        <f t="shared" ca="1" si="252"/>
        <v>1542.8980650229726</v>
      </c>
      <c r="AZ199" s="85">
        <f t="shared" ca="1" si="253"/>
        <v>1444.9953788096764</v>
      </c>
      <c r="BA199" s="85">
        <f t="shared" ca="1" si="254"/>
        <v>1506.6882801038184</v>
      </c>
      <c r="BB199" s="85">
        <f t="shared" ca="1" si="255"/>
        <v>1230.8851950639482</v>
      </c>
      <c r="BC199" s="85">
        <f t="shared" ca="1" si="256"/>
        <v>1500.0700189437405</v>
      </c>
      <c r="BD199" s="85">
        <f t="shared" ca="1" si="257"/>
        <v>1406.0933767539373</v>
      </c>
      <c r="BE199" s="85">
        <f t="shared" ca="1" si="258"/>
        <v>1235.0504089448077</v>
      </c>
      <c r="BF199" s="85">
        <f t="shared" ca="1" si="259"/>
        <v>1193.8305466506015</v>
      </c>
      <c r="BG199" s="85">
        <f t="shared" ca="1" si="260"/>
        <v>1167.6498258892789</v>
      </c>
      <c r="BH199" s="85">
        <f t="shared" ca="1" si="261"/>
        <v>1434.3557844731654</v>
      </c>
      <c r="BI199" s="85">
        <f t="shared" ca="1" si="262"/>
        <v>1225.7077161587611</v>
      </c>
      <c r="BJ199" s="85">
        <f t="shared" ca="1" si="263"/>
        <v>1353.9956285201677</v>
      </c>
      <c r="BK199" s="85">
        <f t="shared" ca="1" si="264"/>
        <v>1288.3242049088644</v>
      </c>
      <c r="BL199" s="85">
        <f t="shared" ca="1" si="265"/>
        <v>1236.1534821296825</v>
      </c>
      <c r="BM199" s="85">
        <f t="shared" ca="1" si="266"/>
        <v>1326.6777907224566</v>
      </c>
      <c r="BN199" s="85">
        <f t="shared" ref="BN199:BN255" ca="1" si="303">BN198*EXP(($C$259-0.5*$C$260^2)+$C$260*_xlfn.NORM.INV(RAND(),0,1))</f>
        <v>1419.1456094394002</v>
      </c>
      <c r="BO199" s="85">
        <f t="shared" ca="1" si="292"/>
        <v>1612.0791433561094</v>
      </c>
      <c r="BP199" s="85">
        <f t="shared" ca="1" si="293"/>
        <v>1271.2682457946898</v>
      </c>
      <c r="BQ199" s="85">
        <f t="shared" ca="1" si="294"/>
        <v>1327.1674377110648</v>
      </c>
      <c r="BR199" s="85">
        <f t="shared" ca="1" si="295"/>
        <v>1198.4834145987575</v>
      </c>
      <c r="BS199" s="85">
        <f t="shared" ca="1" si="296"/>
        <v>1385.1579894223612</v>
      </c>
      <c r="BT199" s="85">
        <f t="shared" ca="1" si="297"/>
        <v>1559.1415879680294</v>
      </c>
      <c r="BU199" s="85">
        <f t="shared" ca="1" si="298"/>
        <v>1252.1335691130341</v>
      </c>
      <c r="BV199" s="85">
        <f t="shared" ca="1" si="299"/>
        <v>1270.7309959369732</v>
      </c>
      <c r="BW199" s="85">
        <f t="shared" ca="1" si="300"/>
        <v>1465.9480955063989</v>
      </c>
      <c r="BX199" s="85">
        <f t="shared" ca="1" si="301"/>
        <v>1367.1276777783471</v>
      </c>
      <c r="BY199" s="85">
        <f t="shared" ca="1" si="267"/>
        <v>1271.8922902010891</v>
      </c>
      <c r="BZ199" s="85">
        <f t="shared" ca="1" si="268"/>
        <v>1252.3816924681755</v>
      </c>
      <c r="CA199" s="85">
        <f t="shared" ca="1" si="269"/>
        <v>1328.1927827386157</v>
      </c>
      <c r="CB199" s="85">
        <f t="shared" ca="1" si="270"/>
        <v>1193.5058408102075</v>
      </c>
      <c r="CC199" s="85">
        <f t="shared" ca="1" si="271"/>
        <v>1431.1630900530126</v>
      </c>
      <c r="CD199" s="85">
        <f t="shared" ca="1" si="272"/>
        <v>1502.0303554562793</v>
      </c>
      <c r="CE199" s="85">
        <f t="shared" ca="1" si="273"/>
        <v>1251.8963772244672</v>
      </c>
      <c r="CF199" s="85">
        <f t="shared" ca="1" si="274"/>
        <v>1460.286850244255</v>
      </c>
      <c r="CG199" s="85">
        <f t="shared" ca="1" si="275"/>
        <v>1135.4211157758823</v>
      </c>
      <c r="CH199" s="85">
        <f t="shared" ca="1" si="276"/>
        <v>1410.6774603941253</v>
      </c>
      <c r="CI199" s="85">
        <f t="shared" ca="1" si="277"/>
        <v>1220.7054944434306</v>
      </c>
      <c r="CJ199" s="85">
        <f t="shared" ca="1" si="278"/>
        <v>1237.7927151807362</v>
      </c>
      <c r="CK199" s="85">
        <f t="shared" ca="1" si="279"/>
        <v>1308.280158321307</v>
      </c>
      <c r="CL199" s="85">
        <f t="shared" ca="1" si="280"/>
        <v>1233.6240978949879</v>
      </c>
      <c r="CM199" s="85">
        <f t="shared" ca="1" si="281"/>
        <v>1501.8187938236611</v>
      </c>
      <c r="CN199" s="85">
        <f t="shared" ca="1" si="282"/>
        <v>1059.8094858970831</v>
      </c>
      <c r="CO199" s="85">
        <f t="shared" ca="1" si="283"/>
        <v>1220.927075066521</v>
      </c>
      <c r="CP199" s="85">
        <f t="shared" ca="1" si="284"/>
        <v>1406.0699400888529</v>
      </c>
      <c r="CQ199" s="85">
        <f t="shared" ca="1" si="285"/>
        <v>1335.2190344894882</v>
      </c>
      <c r="CR199" s="85">
        <f t="shared" ca="1" si="286"/>
        <v>1393.8647174098842</v>
      </c>
      <c r="CS199" s="85">
        <f t="shared" ca="1" si="287"/>
        <v>1083.5981639941319</v>
      </c>
      <c r="CT199" s="85">
        <f t="shared" ca="1" si="288"/>
        <v>1175.9547401442223</v>
      </c>
      <c r="CU199" s="85">
        <f t="shared" ca="1" si="289"/>
        <v>1654.6079510118018</v>
      </c>
      <c r="CV199" s="85">
        <f t="shared" ca="1" si="290"/>
        <v>1232.6672207162785</v>
      </c>
      <c r="CW199" s="85">
        <f t="shared" ca="1" si="291"/>
        <v>1275.191717886225</v>
      </c>
    </row>
    <row r="200" spans="1:101" x14ac:dyDescent="0.2">
      <c r="A200" s="115">
        <v>197</v>
      </c>
      <c r="B200" s="85">
        <f t="shared" ca="1" si="302"/>
        <v>1049.5781557318985</v>
      </c>
      <c r="C200" s="85">
        <f t="shared" ref="C200:C255" ca="1" si="304">C199*EXP(($C$259-0.5*$C$260^2)+$C$260*_xlfn.NORM.INV(RAND(),0,1))</f>
        <v>1331.0354741606918</v>
      </c>
      <c r="D200" s="85">
        <f t="shared" ref="D200:D255" ca="1" si="305">D199*EXP(($C$259-0.5*$C$260^2)+$C$260*_xlfn.NORM.INV(RAND(),0,1))</f>
        <v>1346.4481630399343</v>
      </c>
      <c r="E200" s="85">
        <f t="shared" ref="E200:E255" ca="1" si="306">E199*EXP(($C$259-0.5*$C$260^2)+$C$260*_xlfn.NORM.INV(RAND(),0,1))</f>
        <v>1182.6224209155141</v>
      </c>
      <c r="F200" s="85">
        <f t="shared" ref="F200:F255" ca="1" si="307">F199*EXP(($C$259-0.5*$C$260^2)+$C$260*_xlfn.NORM.INV(RAND(),0,1))</f>
        <v>1263.4872683754249</v>
      </c>
      <c r="G200" s="85">
        <f t="shared" ref="G200:G255" ca="1" si="308">G199*EXP(($C$259-0.5*$C$260^2)+$C$260*_xlfn.NORM.INV(RAND(),0,1))</f>
        <v>1310.8667285257034</v>
      </c>
      <c r="H200" s="85">
        <f t="shared" ref="H200:H255" ca="1" si="309">H199*EXP(($C$259-0.5*$C$260^2)+$C$260*_xlfn.NORM.INV(RAND(),0,1))</f>
        <v>1339.3315697171097</v>
      </c>
      <c r="I200" s="85">
        <f t="shared" ref="I200:I255" ca="1" si="310">I199*EXP(($C$259-0.5*$C$260^2)+$C$260*_xlfn.NORM.INV(RAND(),0,1))</f>
        <v>1544.1707434644695</v>
      </c>
      <c r="J200" s="85">
        <f t="shared" ref="J200:J255" ca="1" si="311">J199*EXP(($C$259-0.5*$C$260^2)+$C$260*_xlfn.NORM.INV(RAND(),0,1))</f>
        <v>1239.1136175495847</v>
      </c>
      <c r="K200" s="85">
        <f t="shared" ref="K200:K255" ca="1" si="312">K199*EXP(($C$259-0.5*$C$260^2)+$C$260*_xlfn.NORM.INV(RAND(),0,1))</f>
        <v>1454.4365463930599</v>
      </c>
      <c r="L200" s="85">
        <f t="shared" ref="L200:L255" ca="1" si="313">L199*EXP(($C$259-0.5*$C$260^2)+$C$260*_xlfn.NORM.INV(RAND(),0,1))</f>
        <v>1519.9730665618208</v>
      </c>
      <c r="M200" s="85">
        <f t="shared" ref="M200:M255" ca="1" si="314">M199*EXP(($C$259-0.5*$C$260^2)+$C$260*_xlfn.NORM.INV(RAND(),0,1))</f>
        <v>1134.7695860163512</v>
      </c>
      <c r="N200" s="85">
        <f t="shared" ref="N200:N255" ca="1" si="315">N199*EXP(($C$259-0.5*$C$260^2)+$C$260*_xlfn.NORM.INV(RAND(),0,1))</f>
        <v>1308.7787750529421</v>
      </c>
      <c r="O200" s="85">
        <f t="shared" ref="O200:O255" ca="1" si="316">O199*EXP(($C$259-0.5*$C$260^2)+$C$260*_xlfn.NORM.INV(RAND(),0,1))</f>
        <v>1339.0226012090461</v>
      </c>
      <c r="P200" s="85">
        <f t="shared" ref="P200:P255" ca="1" si="317">P199*EXP(($C$259-0.5*$C$260^2)+$C$260*_xlfn.NORM.INV(RAND(),0,1))</f>
        <v>1439.8460182453762</v>
      </c>
      <c r="Q200" s="85">
        <f t="shared" ref="Q200:Q255" ca="1" si="318">Q199*EXP(($C$259-0.5*$C$260^2)+$C$260*_xlfn.NORM.INV(RAND(),0,1))</f>
        <v>1387.357585758677</v>
      </c>
      <c r="R200" s="85">
        <f t="shared" ref="R200:R255" ca="1" si="319">R199*EXP(($C$259-0.5*$C$260^2)+$C$260*_xlfn.NORM.INV(RAND(),0,1))</f>
        <v>1230.8905005432057</v>
      </c>
      <c r="S200" s="85">
        <f t="shared" ref="S200:S255" ca="1" si="320">S199*EXP(($C$259-0.5*$C$260^2)+$C$260*_xlfn.NORM.INV(RAND(),0,1))</f>
        <v>1352.2704641468656</v>
      </c>
      <c r="T200" s="85">
        <f t="shared" ref="T200:T255" ca="1" si="321">T199*EXP(($C$259-0.5*$C$260^2)+$C$260*_xlfn.NORM.INV(RAND(),0,1))</f>
        <v>1311.541635507263</v>
      </c>
      <c r="U200" s="85">
        <f t="shared" ref="U200:U255" ca="1" si="322">U199*EXP(($C$259-0.5*$C$260^2)+$C$260*_xlfn.NORM.INV(RAND(),0,1))</f>
        <v>1255.8153623204489</v>
      </c>
      <c r="V200" s="85">
        <f t="shared" ref="V200:V255" ca="1" si="323">V199*EXP(($C$259-0.5*$C$260^2)+$C$260*_xlfn.NORM.INV(RAND(),0,1))</f>
        <v>1522.5804118898507</v>
      </c>
      <c r="W200" s="85">
        <f t="shared" ref="W200:W255" ca="1" si="324">W199*EXP(($C$259-0.5*$C$260^2)+$C$260*_xlfn.NORM.INV(RAND(),0,1))</f>
        <v>1256.0113724512707</v>
      </c>
      <c r="X200" s="85">
        <f t="shared" ref="X200:X255" ca="1" si="325">X199*EXP(($C$259-0.5*$C$260^2)+$C$260*_xlfn.NORM.INV(RAND(),0,1))</f>
        <v>1421.0919814748415</v>
      </c>
      <c r="Y200" s="85">
        <f t="shared" ref="Y200:Y255" ca="1" si="326">Y199*EXP(($C$259-0.5*$C$260^2)+$C$260*_xlfn.NORM.INV(RAND(),0,1))</f>
        <v>1251.8273693732285</v>
      </c>
      <c r="Z200" s="85">
        <f t="shared" ref="Z200:Z255" ca="1" si="327">Z199*EXP(($C$259-0.5*$C$260^2)+$C$260*_xlfn.NORM.INV(RAND(),0,1))</f>
        <v>1339.1963452002565</v>
      </c>
      <c r="AA200" s="85">
        <f t="shared" ref="AA200:AA255" ca="1" si="328">AA199*EXP(($C$259-0.5*$C$260^2)+$C$260*_xlfn.NORM.INV(RAND(),0,1))</f>
        <v>1221.5960336092924</v>
      </c>
      <c r="AB200" s="85">
        <f t="shared" ref="AB200:AB255" ca="1" si="329">AB199*EXP(($C$259-0.5*$C$260^2)+$C$260*_xlfn.NORM.INV(RAND(),0,1))</f>
        <v>1566.9124928398087</v>
      </c>
      <c r="AC200" s="85">
        <f t="shared" ref="AC200:AC255" ca="1" si="330">AC199*EXP(($C$259-0.5*$C$260^2)+$C$260*_xlfn.NORM.INV(RAND(),0,1))</f>
        <v>1370.1000828020897</v>
      </c>
      <c r="AD200" s="85">
        <f t="shared" ref="AD200:AD255" ca="1" si="331">AD199*EXP(($C$259-0.5*$C$260^2)+$C$260*_xlfn.NORM.INV(RAND(),0,1))</f>
        <v>1542.2298968509592</v>
      </c>
      <c r="AE200" s="85">
        <f t="shared" ref="AE200:AE255" ca="1" si="332">AE199*EXP(($C$259-0.5*$C$260^2)+$C$260*_xlfn.NORM.INV(RAND(),0,1))</f>
        <v>1746.9458463862723</v>
      </c>
      <c r="AF200" s="85">
        <f t="shared" ref="AF200:AF255" ca="1" si="333">AF199*EXP(($C$259-0.5*$C$260^2)+$C$260*_xlfn.NORM.INV(RAND(),0,1))</f>
        <v>1115.4383901415872</v>
      </c>
      <c r="AG200" s="85">
        <f t="shared" ref="AG200:AG255" ca="1" si="334">AG199*EXP(($C$259-0.5*$C$260^2)+$C$260*_xlfn.NORM.INV(RAND(),0,1))</f>
        <v>1530.9241966734478</v>
      </c>
      <c r="AH200" s="85">
        <f t="shared" ref="AH200:AH255" ca="1" si="335">AH199*EXP(($C$259-0.5*$C$260^2)+$C$260*_xlfn.NORM.INV(RAND(),0,1))</f>
        <v>1242.2825591534374</v>
      </c>
      <c r="AI200" s="85">
        <f t="shared" ref="AI200:AI255" ca="1" si="336">AI199*EXP(($C$259-0.5*$C$260^2)+$C$260*_xlfn.NORM.INV(RAND(),0,1))</f>
        <v>1446.4871822031016</v>
      </c>
      <c r="AJ200" s="85">
        <f t="shared" ref="AJ200:AJ255" ca="1" si="337">AJ199*EXP(($C$259-0.5*$C$260^2)+$C$260*_xlfn.NORM.INV(RAND(),0,1))</f>
        <v>1522.222529782367</v>
      </c>
      <c r="AK200" s="85">
        <f t="shared" ref="AK200:AK255" ca="1" si="338">AK199*EXP(($C$259-0.5*$C$260^2)+$C$260*_xlfn.NORM.INV(RAND(),0,1))</f>
        <v>1396.5829829182896</v>
      </c>
      <c r="AL200" s="85">
        <f t="shared" ref="AL200:AL255" ca="1" si="339">AL199*EXP(($C$259-0.5*$C$260^2)+$C$260*_xlfn.NORM.INV(RAND(),0,1))</f>
        <v>1333.3450404929747</v>
      </c>
      <c r="AM200" s="85">
        <f t="shared" ref="AM200:AM255" ca="1" si="340">AM199*EXP(($C$259-0.5*$C$260^2)+$C$260*_xlfn.NORM.INV(RAND(),0,1))</f>
        <v>1280.4169151645456</v>
      </c>
      <c r="AN200" s="85">
        <f t="shared" ref="AN200:AN255" ca="1" si="341">AN199*EXP(($C$259-0.5*$C$260^2)+$C$260*_xlfn.NORM.INV(RAND(),0,1))</f>
        <v>1438.8270936346532</v>
      </c>
      <c r="AO200" s="85">
        <f t="shared" ref="AO200:AO255" ca="1" si="342">AO199*EXP(($C$259-0.5*$C$260^2)+$C$260*_xlfn.NORM.INV(RAND(),0,1))</f>
        <v>1697.9042721555245</v>
      </c>
      <c r="AP200" s="85">
        <f t="shared" ref="AP200:AP255" ca="1" si="343">AP199*EXP(($C$259-0.5*$C$260^2)+$C$260*_xlfn.NORM.INV(RAND(),0,1))</f>
        <v>1552.2085081781131</v>
      </c>
      <c r="AQ200" s="85">
        <f t="shared" ref="AQ200:AQ255" ca="1" si="344">AQ199*EXP(($C$259-0.5*$C$260^2)+$C$260*_xlfn.NORM.INV(RAND(),0,1))</f>
        <v>1203.7520885105919</v>
      </c>
      <c r="AR200" s="85">
        <f t="shared" ref="AR200:AR255" ca="1" si="345">AR199*EXP(($C$259-0.5*$C$260^2)+$C$260*_xlfn.NORM.INV(RAND(),0,1))</f>
        <v>1426.5266991024396</v>
      </c>
      <c r="AS200" s="85">
        <f t="shared" ref="AS200:AS255" ca="1" si="346">AS199*EXP(($C$259-0.5*$C$260^2)+$C$260*_xlfn.NORM.INV(RAND(),0,1))</f>
        <v>1324.9715023993476</v>
      </c>
      <c r="AT200" s="85">
        <f t="shared" ref="AT200:AT255" ca="1" si="347">AT199*EXP(($C$259-0.5*$C$260^2)+$C$260*_xlfn.NORM.INV(RAND(),0,1))</f>
        <v>1356.6504843214916</v>
      </c>
      <c r="AU200" s="85">
        <f t="shared" ref="AU200:AU255" ca="1" si="348">AU199*EXP(($C$259-0.5*$C$260^2)+$C$260*_xlfn.NORM.INV(RAND(),0,1))</f>
        <v>1399.5359502434153</v>
      </c>
      <c r="AV200" s="85">
        <f t="shared" ref="AV200:AV255" ca="1" si="349">AV199*EXP(($C$259-0.5*$C$260^2)+$C$260*_xlfn.NORM.INV(RAND(),0,1))</f>
        <v>1423.7800316830594</v>
      </c>
      <c r="AW200" s="85">
        <f t="shared" ref="AW200:AW255" ca="1" si="350">AW199*EXP(($C$259-0.5*$C$260^2)+$C$260*_xlfn.NORM.INV(RAND(),0,1))</f>
        <v>1400.476609366269</v>
      </c>
      <c r="AX200" s="85">
        <f t="shared" ref="AX200:AX255" ca="1" si="351">AX199*EXP(($C$259-0.5*$C$260^2)+$C$260*_xlfn.NORM.INV(RAND(),0,1))</f>
        <v>1673.4994942119454</v>
      </c>
      <c r="AY200" s="85">
        <f t="shared" ref="AY200:AY255" ca="1" si="352">AY199*EXP(($C$259-0.5*$C$260^2)+$C$260*_xlfn.NORM.INV(RAND(),0,1))</f>
        <v>1578.411296331785</v>
      </c>
      <c r="AZ200" s="85">
        <f t="shared" ref="AZ200:AZ255" ca="1" si="353">AZ199*EXP(($C$259-0.5*$C$260^2)+$C$260*_xlfn.NORM.INV(RAND(),0,1))</f>
        <v>1488.197621806105</v>
      </c>
      <c r="BA200" s="85">
        <f t="shared" ref="BA200:BA255" ca="1" si="354">BA199*EXP(($C$259-0.5*$C$260^2)+$C$260*_xlfn.NORM.INV(RAND(),0,1))</f>
        <v>1534.1337525138588</v>
      </c>
      <c r="BB200" s="85">
        <f t="shared" ref="BB200:BB255" ca="1" si="355">BB199*EXP(($C$259-0.5*$C$260^2)+$C$260*_xlfn.NORM.INV(RAND(),0,1))</f>
        <v>1252.0120391324986</v>
      </c>
      <c r="BC200" s="85">
        <f t="shared" ref="BC200:BC255" ca="1" si="356">BC199*EXP(($C$259-0.5*$C$260^2)+$C$260*_xlfn.NORM.INV(RAND(),0,1))</f>
        <v>1524.8303938373306</v>
      </c>
      <c r="BD200" s="85">
        <f t="shared" ref="BD200:BD255" ca="1" si="357">BD199*EXP(($C$259-0.5*$C$260^2)+$C$260*_xlfn.NORM.INV(RAND(),0,1))</f>
        <v>1417.335065488114</v>
      </c>
      <c r="BE200" s="85">
        <f t="shared" ref="BE200:BE255" ca="1" si="358">BE199*EXP(($C$259-0.5*$C$260^2)+$C$260*_xlfn.NORM.INV(RAND(),0,1))</f>
        <v>1253.2645544904321</v>
      </c>
      <c r="BF200" s="85">
        <f t="shared" ref="BF200:BF255" ca="1" si="359">BF199*EXP(($C$259-0.5*$C$260^2)+$C$260*_xlfn.NORM.INV(RAND(),0,1))</f>
        <v>1208.8333203588952</v>
      </c>
      <c r="BG200" s="85">
        <f t="shared" ref="BG200:BG255" ca="1" si="360">BG199*EXP(($C$259-0.5*$C$260^2)+$C$260*_xlfn.NORM.INV(RAND(),0,1))</f>
        <v>1186.4427781746258</v>
      </c>
      <c r="BH200" s="85">
        <f t="shared" ref="BH200:BH255" ca="1" si="361">BH199*EXP(($C$259-0.5*$C$260^2)+$C$260*_xlfn.NORM.INV(RAND(),0,1))</f>
        <v>1448.6214952920582</v>
      </c>
      <c r="BI200" s="85">
        <f t="shared" ref="BI200:BI255" ca="1" si="362">BI199*EXP(($C$259-0.5*$C$260^2)+$C$260*_xlfn.NORM.INV(RAND(),0,1))</f>
        <v>1220.252969088275</v>
      </c>
      <c r="BJ200" s="85">
        <f t="shared" ref="BJ200:BJ255" ca="1" si="363">BJ199*EXP(($C$259-0.5*$C$260^2)+$C$260*_xlfn.NORM.INV(RAND(),0,1))</f>
        <v>1378.7334915751621</v>
      </c>
      <c r="BK200" s="85">
        <f t="shared" ref="BK200:BK255" ca="1" si="364">BK199*EXP(($C$259-0.5*$C$260^2)+$C$260*_xlfn.NORM.INV(RAND(),0,1))</f>
        <v>1302.3585724737566</v>
      </c>
      <c r="BL200" s="85">
        <f t="shared" ref="BL200:BL255" ca="1" si="365">BL199*EXP(($C$259-0.5*$C$260^2)+$C$260*_xlfn.NORM.INV(RAND(),0,1))</f>
        <v>1243.9819743138562</v>
      </c>
      <c r="BM200" s="85">
        <f t="shared" ref="BM200:BM255" ca="1" si="366">BM199*EXP(($C$259-0.5*$C$260^2)+$C$260*_xlfn.NORM.INV(RAND(),0,1))</f>
        <v>1345.9120198914222</v>
      </c>
      <c r="BN200" s="85">
        <f t="shared" ca="1" si="303"/>
        <v>1427.9593965126501</v>
      </c>
      <c r="BO200" s="85">
        <f t="shared" ca="1" si="292"/>
        <v>1644.2018854104554</v>
      </c>
      <c r="BP200" s="85">
        <f t="shared" ca="1" si="293"/>
        <v>1295.2177290374664</v>
      </c>
      <c r="BQ200" s="85">
        <f t="shared" ca="1" si="294"/>
        <v>1358.8724704409715</v>
      </c>
      <c r="BR200" s="85">
        <f t="shared" ca="1" si="295"/>
        <v>1211.0573481334325</v>
      </c>
      <c r="BS200" s="85">
        <f t="shared" ca="1" si="296"/>
        <v>1403.721598438349</v>
      </c>
      <c r="BT200" s="85">
        <f t="shared" ca="1" si="297"/>
        <v>1587.4929383770998</v>
      </c>
      <c r="BU200" s="85">
        <f t="shared" ca="1" si="298"/>
        <v>1277.7616894722121</v>
      </c>
      <c r="BV200" s="85">
        <f t="shared" ca="1" si="299"/>
        <v>1293.6004905943448</v>
      </c>
      <c r="BW200" s="85">
        <f t="shared" ca="1" si="300"/>
        <v>1481.009268477759</v>
      </c>
      <c r="BX200" s="85">
        <f t="shared" ca="1" si="301"/>
        <v>1401.2808149148996</v>
      </c>
      <c r="BY200" s="85">
        <f t="shared" ca="1" si="267"/>
        <v>1282.2525598024101</v>
      </c>
      <c r="BZ200" s="85">
        <f t="shared" ca="1" si="268"/>
        <v>1265.5303173599041</v>
      </c>
      <c r="CA200" s="85">
        <f t="shared" ca="1" si="269"/>
        <v>1345.2584306117337</v>
      </c>
      <c r="CB200" s="85">
        <f t="shared" ca="1" si="270"/>
        <v>1215.5455352753454</v>
      </c>
      <c r="CC200" s="85">
        <f t="shared" ca="1" si="271"/>
        <v>1443.6025222852072</v>
      </c>
      <c r="CD200" s="85">
        <f t="shared" ca="1" si="272"/>
        <v>1518.6661816909022</v>
      </c>
      <c r="CE200" s="85">
        <f t="shared" ca="1" si="273"/>
        <v>1291.0977675079844</v>
      </c>
      <c r="CF200" s="85">
        <f t="shared" ca="1" si="274"/>
        <v>1496.1468789921712</v>
      </c>
      <c r="CG200" s="85">
        <f t="shared" ca="1" si="275"/>
        <v>1151.55777915108</v>
      </c>
      <c r="CH200" s="85">
        <f t="shared" ca="1" si="276"/>
        <v>1428.7733872506342</v>
      </c>
      <c r="CI200" s="85">
        <f t="shared" ca="1" si="277"/>
        <v>1230.3377250539911</v>
      </c>
      <c r="CJ200" s="85">
        <f t="shared" ca="1" si="278"/>
        <v>1256.4601977035325</v>
      </c>
      <c r="CK200" s="85">
        <f t="shared" ca="1" si="279"/>
        <v>1314.803046581108</v>
      </c>
      <c r="CL200" s="85">
        <f t="shared" ca="1" si="280"/>
        <v>1247.4427152897392</v>
      </c>
      <c r="CM200" s="85">
        <f t="shared" ca="1" si="281"/>
        <v>1536.4321636482296</v>
      </c>
      <c r="CN200" s="85">
        <f t="shared" ca="1" si="282"/>
        <v>1082.7470456250574</v>
      </c>
      <c r="CO200" s="85">
        <f t="shared" ca="1" si="283"/>
        <v>1238.2469174277082</v>
      </c>
      <c r="CP200" s="85">
        <f t="shared" ca="1" si="284"/>
        <v>1441.7598141397534</v>
      </c>
      <c r="CQ200" s="85">
        <f t="shared" ca="1" si="285"/>
        <v>1363.7875397542716</v>
      </c>
      <c r="CR200" s="85">
        <f t="shared" ca="1" si="286"/>
        <v>1418.3034800775331</v>
      </c>
      <c r="CS200" s="85">
        <f t="shared" ca="1" si="287"/>
        <v>1092.0738730512169</v>
      </c>
      <c r="CT200" s="85">
        <f t="shared" ca="1" si="288"/>
        <v>1191.5310191527133</v>
      </c>
      <c r="CU200" s="85">
        <f t="shared" ca="1" si="289"/>
        <v>1691.3188105779973</v>
      </c>
      <c r="CV200" s="85">
        <f t="shared" ca="1" si="290"/>
        <v>1250.7547710158892</v>
      </c>
      <c r="CW200" s="85">
        <f t="shared" ca="1" si="291"/>
        <v>1289.227879158906</v>
      </c>
    </row>
    <row r="201" spans="1:101" x14ac:dyDescent="0.2">
      <c r="A201" s="115">
        <v>198</v>
      </c>
      <c r="B201" s="85">
        <f t="shared" ca="1" si="302"/>
        <v>1054.7115492188857</v>
      </c>
      <c r="C201" s="85">
        <f t="shared" ca="1" si="304"/>
        <v>1359.0819544310657</v>
      </c>
      <c r="D201" s="85">
        <f t="shared" ca="1" si="305"/>
        <v>1369.1832264875438</v>
      </c>
      <c r="E201" s="85">
        <f t="shared" ca="1" si="306"/>
        <v>1193.7814086922281</v>
      </c>
      <c r="F201" s="85">
        <f t="shared" ca="1" si="307"/>
        <v>1287.6956635715999</v>
      </c>
      <c r="G201" s="85">
        <f t="shared" ca="1" si="308"/>
        <v>1325.7843996213558</v>
      </c>
      <c r="H201" s="85">
        <f t="shared" ca="1" si="309"/>
        <v>1359.8289091700185</v>
      </c>
      <c r="I201" s="85">
        <f t="shared" ca="1" si="310"/>
        <v>1553.0066475614919</v>
      </c>
      <c r="J201" s="85">
        <f t="shared" ca="1" si="311"/>
        <v>1249.5402202190842</v>
      </c>
      <c r="K201" s="85">
        <f t="shared" ca="1" si="312"/>
        <v>1488.9611939683782</v>
      </c>
      <c r="L201" s="85">
        <f t="shared" ca="1" si="313"/>
        <v>1552.3018915809434</v>
      </c>
      <c r="M201" s="85">
        <f t="shared" ca="1" si="314"/>
        <v>1160.3792610116705</v>
      </c>
      <c r="N201" s="85">
        <f t="shared" ca="1" si="315"/>
        <v>1305.7241005248898</v>
      </c>
      <c r="O201" s="85">
        <f t="shared" ca="1" si="316"/>
        <v>1363.0119328444175</v>
      </c>
      <c r="P201" s="85">
        <f t="shared" ca="1" si="317"/>
        <v>1476.4450230342125</v>
      </c>
      <c r="Q201" s="85">
        <f t="shared" ca="1" si="318"/>
        <v>1410.4174843853414</v>
      </c>
      <c r="R201" s="85">
        <f t="shared" ca="1" si="319"/>
        <v>1246.6787680670482</v>
      </c>
      <c r="S201" s="85">
        <f t="shared" ca="1" si="320"/>
        <v>1361.1229902063267</v>
      </c>
      <c r="T201" s="85">
        <f t="shared" ca="1" si="321"/>
        <v>1327.2056410811592</v>
      </c>
      <c r="U201" s="85">
        <f t="shared" ca="1" si="322"/>
        <v>1266.3928843642634</v>
      </c>
      <c r="V201" s="85">
        <f t="shared" ca="1" si="323"/>
        <v>1538.6901941401461</v>
      </c>
      <c r="W201" s="85">
        <f t="shared" ca="1" si="324"/>
        <v>1282.855172288123</v>
      </c>
      <c r="X201" s="85">
        <f t="shared" ca="1" si="325"/>
        <v>1417.559243864647</v>
      </c>
      <c r="Y201" s="85">
        <f t="shared" ca="1" si="326"/>
        <v>1275.6964590761745</v>
      </c>
      <c r="Z201" s="85">
        <f t="shared" ca="1" si="327"/>
        <v>1359.8604204366961</v>
      </c>
      <c r="AA201" s="85">
        <f t="shared" ca="1" si="328"/>
        <v>1234.8009369224694</v>
      </c>
      <c r="AB201" s="85">
        <f t="shared" ca="1" si="329"/>
        <v>1587.099748101082</v>
      </c>
      <c r="AC201" s="85">
        <f t="shared" ca="1" si="330"/>
        <v>1397.1588516921042</v>
      </c>
      <c r="AD201" s="85">
        <f t="shared" ca="1" si="331"/>
        <v>1568.3659751057874</v>
      </c>
      <c r="AE201" s="85">
        <f t="shared" ca="1" si="332"/>
        <v>1754.6024617195878</v>
      </c>
      <c r="AF201" s="85">
        <f t="shared" ca="1" si="333"/>
        <v>1118.0330511773975</v>
      </c>
      <c r="AG201" s="85">
        <f t="shared" ca="1" si="334"/>
        <v>1556.6275351994664</v>
      </c>
      <c r="AH201" s="85">
        <f t="shared" ca="1" si="335"/>
        <v>1265.2872054312213</v>
      </c>
      <c r="AI201" s="85">
        <f t="shared" ca="1" si="336"/>
        <v>1472.6048062187053</v>
      </c>
      <c r="AJ201" s="85">
        <f t="shared" ca="1" si="337"/>
        <v>1556.390526082118</v>
      </c>
      <c r="AK201" s="85">
        <f t="shared" ca="1" si="338"/>
        <v>1398.1837864618858</v>
      </c>
      <c r="AL201" s="85">
        <f t="shared" ca="1" si="339"/>
        <v>1354.3661482363032</v>
      </c>
      <c r="AM201" s="85">
        <f t="shared" ca="1" si="340"/>
        <v>1280.0078648643487</v>
      </c>
      <c r="AN201" s="85">
        <f t="shared" ca="1" si="341"/>
        <v>1438.1331705849298</v>
      </c>
      <c r="AO201" s="85">
        <f t="shared" ca="1" si="342"/>
        <v>1715.6275660779513</v>
      </c>
      <c r="AP201" s="85">
        <f t="shared" ca="1" si="343"/>
        <v>1570.5543157156999</v>
      </c>
      <c r="AQ201" s="85">
        <f t="shared" ca="1" si="344"/>
        <v>1217.6124244171881</v>
      </c>
      <c r="AR201" s="85">
        <f t="shared" ca="1" si="345"/>
        <v>1424.0175418744147</v>
      </c>
      <c r="AS201" s="85">
        <f t="shared" ca="1" si="346"/>
        <v>1332.2064527667694</v>
      </c>
      <c r="AT201" s="85">
        <f t="shared" ca="1" si="347"/>
        <v>1354.4426835392062</v>
      </c>
      <c r="AU201" s="85">
        <f t="shared" ca="1" si="348"/>
        <v>1406.5662419916571</v>
      </c>
      <c r="AV201" s="85">
        <f t="shared" ca="1" si="349"/>
        <v>1436.3568602661021</v>
      </c>
      <c r="AW201" s="85">
        <f t="shared" ca="1" si="350"/>
        <v>1404.5781632053602</v>
      </c>
      <c r="AX201" s="85">
        <f t="shared" ca="1" si="351"/>
        <v>1687.987457790874</v>
      </c>
      <c r="AY201" s="85">
        <f t="shared" ca="1" si="352"/>
        <v>1591.0964800165375</v>
      </c>
      <c r="AZ201" s="85">
        <f t="shared" ca="1" si="353"/>
        <v>1506.8994604514351</v>
      </c>
      <c r="BA201" s="85">
        <f t="shared" ca="1" si="354"/>
        <v>1551.4364796069065</v>
      </c>
      <c r="BB201" s="85">
        <f t="shared" ca="1" si="355"/>
        <v>1278.3332563618874</v>
      </c>
      <c r="BC201" s="85">
        <f t="shared" ca="1" si="356"/>
        <v>1542.8618405864379</v>
      </c>
      <c r="BD201" s="85">
        <f t="shared" ca="1" si="357"/>
        <v>1434.0568425450654</v>
      </c>
      <c r="BE201" s="85">
        <f t="shared" ca="1" si="358"/>
        <v>1264.9333784941839</v>
      </c>
      <c r="BF201" s="85">
        <f t="shared" ca="1" si="359"/>
        <v>1223.2944077748948</v>
      </c>
      <c r="BG201" s="85">
        <f t="shared" ca="1" si="360"/>
        <v>1187.8411630215016</v>
      </c>
      <c r="BH201" s="85">
        <f t="shared" ca="1" si="361"/>
        <v>1472.8009782965808</v>
      </c>
      <c r="BI201" s="85">
        <f t="shared" ca="1" si="362"/>
        <v>1237.6559817247191</v>
      </c>
      <c r="BJ201" s="85">
        <f t="shared" ca="1" si="363"/>
        <v>1399.3615887314954</v>
      </c>
      <c r="BK201" s="85">
        <f t="shared" ca="1" si="364"/>
        <v>1322.2787634961476</v>
      </c>
      <c r="BL201" s="85">
        <f t="shared" ca="1" si="365"/>
        <v>1251.3030858085133</v>
      </c>
      <c r="BM201" s="85">
        <f t="shared" ca="1" si="366"/>
        <v>1372.6633275551749</v>
      </c>
      <c r="BN201" s="85">
        <f t="shared" ca="1" si="303"/>
        <v>1461.1884985517192</v>
      </c>
      <c r="BO201" s="85">
        <f t="shared" ca="1" si="292"/>
        <v>1652.263136219347</v>
      </c>
      <c r="BP201" s="85">
        <f t="shared" ca="1" si="293"/>
        <v>1311.627744230407</v>
      </c>
      <c r="BQ201" s="85">
        <f t="shared" ca="1" si="294"/>
        <v>1374.3628079162468</v>
      </c>
      <c r="BR201" s="85">
        <f t="shared" ca="1" si="295"/>
        <v>1222.4879953775364</v>
      </c>
      <c r="BS201" s="85">
        <f t="shared" ca="1" si="296"/>
        <v>1432.8478304519545</v>
      </c>
      <c r="BT201" s="85">
        <f t="shared" ca="1" si="297"/>
        <v>1620.0264787241924</v>
      </c>
      <c r="BU201" s="85">
        <f t="shared" ca="1" si="298"/>
        <v>1284.2196454672569</v>
      </c>
      <c r="BV201" s="85">
        <f t="shared" ca="1" si="299"/>
        <v>1317.7288725154317</v>
      </c>
      <c r="BW201" s="85">
        <f t="shared" ca="1" si="300"/>
        <v>1509.5095950602554</v>
      </c>
      <c r="BX201" s="85">
        <f t="shared" ca="1" si="301"/>
        <v>1430.6143061758999</v>
      </c>
      <c r="BY201" s="85">
        <f t="shared" ca="1" si="267"/>
        <v>1308.2036303663888</v>
      </c>
      <c r="BZ201" s="85">
        <f t="shared" ca="1" si="268"/>
        <v>1282.4011491172371</v>
      </c>
      <c r="CA201" s="85">
        <f t="shared" ca="1" si="269"/>
        <v>1365.3322019915365</v>
      </c>
      <c r="CB201" s="85">
        <f t="shared" ca="1" si="270"/>
        <v>1227.6687276392222</v>
      </c>
      <c r="CC201" s="85">
        <f t="shared" ca="1" si="271"/>
        <v>1461.8395393556445</v>
      </c>
      <c r="CD201" s="85">
        <f t="shared" ca="1" si="272"/>
        <v>1542.8856349835</v>
      </c>
      <c r="CE201" s="85">
        <f t="shared" ca="1" si="273"/>
        <v>1306.7056834385878</v>
      </c>
      <c r="CF201" s="85">
        <f t="shared" ca="1" si="274"/>
        <v>1529.7282096977963</v>
      </c>
      <c r="CG201" s="85">
        <f t="shared" ca="1" si="275"/>
        <v>1166.9509239206407</v>
      </c>
      <c r="CH201" s="85">
        <f t="shared" ca="1" si="276"/>
        <v>1446.2532446235289</v>
      </c>
      <c r="CI201" s="85">
        <f t="shared" ca="1" si="277"/>
        <v>1244.027713318852</v>
      </c>
      <c r="CJ201" s="85">
        <f t="shared" ca="1" si="278"/>
        <v>1268.3408731071579</v>
      </c>
      <c r="CK201" s="85">
        <f t="shared" ca="1" si="279"/>
        <v>1313.3463973905334</v>
      </c>
      <c r="CL201" s="85">
        <f t="shared" ca="1" si="280"/>
        <v>1256.7573295083948</v>
      </c>
      <c r="CM201" s="85">
        <f t="shared" ca="1" si="281"/>
        <v>1556.1541436678604</v>
      </c>
      <c r="CN201" s="85">
        <f t="shared" ca="1" si="282"/>
        <v>1083.7903185249577</v>
      </c>
      <c r="CO201" s="85">
        <f t="shared" ca="1" si="283"/>
        <v>1255.0620536862498</v>
      </c>
      <c r="CP201" s="85">
        <f t="shared" ca="1" si="284"/>
        <v>1481.3049508265019</v>
      </c>
      <c r="CQ201" s="85">
        <f t="shared" ca="1" si="285"/>
        <v>1387.9448658490433</v>
      </c>
      <c r="CR201" s="85">
        <f t="shared" ca="1" si="286"/>
        <v>1434.2544536730502</v>
      </c>
      <c r="CS201" s="85">
        <f t="shared" ca="1" si="287"/>
        <v>1106.1067271978279</v>
      </c>
      <c r="CT201" s="85">
        <f t="shared" ca="1" si="288"/>
        <v>1212.6841847869148</v>
      </c>
      <c r="CU201" s="85">
        <f t="shared" ca="1" si="289"/>
        <v>1716.7659943561409</v>
      </c>
      <c r="CV201" s="85">
        <f t="shared" ca="1" si="290"/>
        <v>1258.8432545465157</v>
      </c>
      <c r="CW201" s="85">
        <f t="shared" ca="1" si="291"/>
        <v>1311.7959258956951</v>
      </c>
    </row>
    <row r="202" spans="1:101" x14ac:dyDescent="0.2">
      <c r="A202" s="115">
        <v>199</v>
      </c>
      <c r="B202" s="85">
        <f t="shared" ca="1" si="302"/>
        <v>1079.2928149890631</v>
      </c>
      <c r="C202" s="85">
        <f t="shared" ca="1" si="304"/>
        <v>1385.6798968517642</v>
      </c>
      <c r="D202" s="85">
        <f t="shared" ca="1" si="305"/>
        <v>1381.1861741516605</v>
      </c>
      <c r="E202" s="85">
        <f t="shared" ca="1" si="306"/>
        <v>1217.9366090597912</v>
      </c>
      <c r="F202" s="85">
        <f t="shared" ca="1" si="307"/>
        <v>1309.4055648354963</v>
      </c>
      <c r="G202" s="85">
        <f t="shared" ca="1" si="308"/>
        <v>1334.7367874647491</v>
      </c>
      <c r="H202" s="85">
        <f t="shared" ca="1" si="309"/>
        <v>1391.3528468770135</v>
      </c>
      <c r="I202" s="85">
        <f t="shared" ca="1" si="310"/>
        <v>1562.1537139639931</v>
      </c>
      <c r="J202" s="85">
        <f t="shared" ca="1" si="311"/>
        <v>1286.403038157772</v>
      </c>
      <c r="K202" s="85">
        <f t="shared" ca="1" si="312"/>
        <v>1489.6138227394852</v>
      </c>
      <c r="L202" s="85">
        <f t="shared" ca="1" si="313"/>
        <v>1592.4843060332848</v>
      </c>
      <c r="M202" s="85">
        <f t="shared" ca="1" si="314"/>
        <v>1191.5342669220806</v>
      </c>
      <c r="N202" s="85">
        <f t="shared" ca="1" si="315"/>
        <v>1329.584769434952</v>
      </c>
      <c r="O202" s="85">
        <f t="shared" ca="1" si="316"/>
        <v>1376.8609942983855</v>
      </c>
      <c r="P202" s="85">
        <f t="shared" ca="1" si="317"/>
        <v>1488.9461683025174</v>
      </c>
      <c r="Q202" s="85">
        <f t="shared" ca="1" si="318"/>
        <v>1425.4117510566975</v>
      </c>
      <c r="R202" s="85">
        <f t="shared" ca="1" si="319"/>
        <v>1257.2785041387508</v>
      </c>
      <c r="S202" s="85">
        <f t="shared" ca="1" si="320"/>
        <v>1376.4797198767471</v>
      </c>
      <c r="T202" s="85">
        <f t="shared" ca="1" si="321"/>
        <v>1340.5867416355889</v>
      </c>
      <c r="U202" s="85">
        <f t="shared" ca="1" si="322"/>
        <v>1275.1718127502095</v>
      </c>
      <c r="V202" s="85">
        <f t="shared" ca="1" si="323"/>
        <v>1560.3366273366037</v>
      </c>
      <c r="W202" s="85">
        <f t="shared" ca="1" si="324"/>
        <v>1288.0603292733431</v>
      </c>
      <c r="X202" s="85">
        <f t="shared" ca="1" si="325"/>
        <v>1426.0636805236049</v>
      </c>
      <c r="Y202" s="85">
        <f t="shared" ca="1" si="326"/>
        <v>1287.2206584806368</v>
      </c>
      <c r="Z202" s="85">
        <f t="shared" ca="1" si="327"/>
        <v>1387.7323348141733</v>
      </c>
      <c r="AA202" s="85">
        <f t="shared" ca="1" si="328"/>
        <v>1243.8372991810597</v>
      </c>
      <c r="AB202" s="85">
        <f t="shared" ca="1" si="329"/>
        <v>1587.2779049924079</v>
      </c>
      <c r="AC202" s="85">
        <f t="shared" ca="1" si="330"/>
        <v>1425.5803833684943</v>
      </c>
      <c r="AD202" s="85">
        <f t="shared" ca="1" si="331"/>
        <v>1596.641717576508</v>
      </c>
      <c r="AE202" s="85">
        <f t="shared" ca="1" si="332"/>
        <v>1770.6475111682471</v>
      </c>
      <c r="AF202" s="85">
        <f t="shared" ca="1" si="333"/>
        <v>1141.0079260878622</v>
      </c>
      <c r="AG202" s="85">
        <f t="shared" ca="1" si="334"/>
        <v>1577.0270725175837</v>
      </c>
      <c r="AH202" s="85">
        <f t="shared" ca="1" si="335"/>
        <v>1293.3933635044284</v>
      </c>
      <c r="AI202" s="85">
        <f t="shared" ca="1" si="336"/>
        <v>1492.6098653770055</v>
      </c>
      <c r="AJ202" s="85">
        <f t="shared" ca="1" si="337"/>
        <v>1598.0196077918376</v>
      </c>
      <c r="AK202" s="85">
        <f t="shared" ca="1" si="338"/>
        <v>1407.6942270335173</v>
      </c>
      <c r="AL202" s="85">
        <f t="shared" ca="1" si="339"/>
        <v>1389.6908659404787</v>
      </c>
      <c r="AM202" s="85">
        <f t="shared" ca="1" si="340"/>
        <v>1302.8687486668039</v>
      </c>
      <c r="AN202" s="85">
        <f t="shared" ca="1" si="341"/>
        <v>1457.7295309477536</v>
      </c>
      <c r="AO202" s="85">
        <f t="shared" ca="1" si="342"/>
        <v>1749.5327987058879</v>
      </c>
      <c r="AP202" s="85">
        <f t="shared" ca="1" si="343"/>
        <v>1593.017226846775</v>
      </c>
      <c r="AQ202" s="85">
        <f t="shared" ca="1" si="344"/>
        <v>1248.235384077117</v>
      </c>
      <c r="AR202" s="85">
        <f t="shared" ca="1" si="345"/>
        <v>1448.8552031220297</v>
      </c>
      <c r="AS202" s="85">
        <f t="shared" ca="1" si="346"/>
        <v>1357.592713723895</v>
      </c>
      <c r="AT202" s="85">
        <f t="shared" ca="1" si="347"/>
        <v>1367.7047858713356</v>
      </c>
      <c r="AU202" s="85">
        <f t="shared" ca="1" si="348"/>
        <v>1425.246679724251</v>
      </c>
      <c r="AV202" s="85">
        <f t="shared" ca="1" si="349"/>
        <v>1467.623772278271</v>
      </c>
      <c r="AW202" s="85">
        <f t="shared" ca="1" si="350"/>
        <v>1414.7090607838695</v>
      </c>
      <c r="AX202" s="85">
        <f t="shared" ca="1" si="351"/>
        <v>1708.8269642532705</v>
      </c>
      <c r="AY202" s="85">
        <f t="shared" ca="1" si="352"/>
        <v>1608.4634524674857</v>
      </c>
      <c r="AZ202" s="85">
        <f t="shared" ca="1" si="353"/>
        <v>1511.7029498323025</v>
      </c>
      <c r="BA202" s="85">
        <f t="shared" ca="1" si="354"/>
        <v>1566.5694708445292</v>
      </c>
      <c r="BB202" s="85">
        <f t="shared" ca="1" si="355"/>
        <v>1299.5795133558217</v>
      </c>
      <c r="BC202" s="85">
        <f t="shared" ca="1" si="356"/>
        <v>1577.3697317215135</v>
      </c>
      <c r="BD202" s="85">
        <f t="shared" ca="1" si="357"/>
        <v>1450.3619705911242</v>
      </c>
      <c r="BE202" s="85">
        <f t="shared" ca="1" si="358"/>
        <v>1289.4254532140301</v>
      </c>
      <c r="BF202" s="85">
        <f t="shared" ca="1" si="359"/>
        <v>1251.7133546923965</v>
      </c>
      <c r="BG202" s="85">
        <f t="shared" ca="1" si="360"/>
        <v>1195.8539315875289</v>
      </c>
      <c r="BH202" s="85">
        <f t="shared" ca="1" si="361"/>
        <v>1499.2199079862121</v>
      </c>
      <c r="BI202" s="85">
        <f t="shared" ca="1" si="362"/>
        <v>1246.3624419379437</v>
      </c>
      <c r="BJ202" s="85">
        <f t="shared" ca="1" si="363"/>
        <v>1415.6075910132438</v>
      </c>
      <c r="BK202" s="85">
        <f t="shared" ca="1" si="364"/>
        <v>1358.9437764957306</v>
      </c>
      <c r="BL202" s="85">
        <f t="shared" ca="1" si="365"/>
        <v>1272.7646923558475</v>
      </c>
      <c r="BM202" s="85">
        <f t="shared" ca="1" si="366"/>
        <v>1387.4794592058379</v>
      </c>
      <c r="BN202" s="85">
        <f t="shared" ca="1" si="303"/>
        <v>1477.5854637183286</v>
      </c>
      <c r="BO202" s="85">
        <f t="shared" ca="1" si="292"/>
        <v>1694.021806791638</v>
      </c>
      <c r="BP202" s="85">
        <f t="shared" ca="1" si="293"/>
        <v>1333.2950674332433</v>
      </c>
      <c r="BQ202" s="85">
        <f t="shared" ca="1" si="294"/>
        <v>1388.2597751301303</v>
      </c>
      <c r="BR202" s="85">
        <f t="shared" ca="1" si="295"/>
        <v>1226.2723257744158</v>
      </c>
      <c r="BS202" s="85">
        <f t="shared" ca="1" si="296"/>
        <v>1435.9772046719067</v>
      </c>
      <c r="BT202" s="85">
        <f t="shared" ca="1" si="297"/>
        <v>1648.7230002126407</v>
      </c>
      <c r="BU202" s="85">
        <f t="shared" ca="1" si="298"/>
        <v>1287.7740665647302</v>
      </c>
      <c r="BV202" s="85">
        <f t="shared" ca="1" si="299"/>
        <v>1336.8229479856004</v>
      </c>
      <c r="BW202" s="85">
        <f t="shared" ca="1" si="300"/>
        <v>1527.8083467678703</v>
      </c>
      <c r="BX202" s="85">
        <f t="shared" ca="1" si="301"/>
        <v>1457.3661243426625</v>
      </c>
      <c r="BY202" s="85">
        <f t="shared" ca="1" si="267"/>
        <v>1316.9923731311853</v>
      </c>
      <c r="BZ202" s="85">
        <f t="shared" ca="1" si="268"/>
        <v>1302.7953676257134</v>
      </c>
      <c r="CA202" s="85">
        <f t="shared" ca="1" si="269"/>
        <v>1383.8769040130214</v>
      </c>
      <c r="CB202" s="85">
        <f t="shared" ca="1" si="270"/>
        <v>1249.0088984934689</v>
      </c>
      <c r="CC202" s="85">
        <f t="shared" ca="1" si="271"/>
        <v>1490.2826531564888</v>
      </c>
      <c r="CD202" s="85">
        <f t="shared" ca="1" si="272"/>
        <v>1570.7512543497269</v>
      </c>
      <c r="CE202" s="85">
        <f t="shared" ca="1" si="273"/>
        <v>1339.6758527774527</v>
      </c>
      <c r="CF202" s="85">
        <f t="shared" ca="1" si="274"/>
        <v>1529.7997221280975</v>
      </c>
      <c r="CG202" s="85">
        <f t="shared" ca="1" si="275"/>
        <v>1174.581087788333</v>
      </c>
      <c r="CH202" s="85">
        <f t="shared" ca="1" si="276"/>
        <v>1468.2779627327357</v>
      </c>
      <c r="CI202" s="85">
        <f t="shared" ca="1" si="277"/>
        <v>1255.6614405132782</v>
      </c>
      <c r="CJ202" s="85">
        <f t="shared" ca="1" si="278"/>
        <v>1295.7902096150483</v>
      </c>
      <c r="CK202" s="85">
        <f t="shared" ca="1" si="279"/>
        <v>1339.4515512449859</v>
      </c>
      <c r="CL202" s="85">
        <f t="shared" ca="1" si="280"/>
        <v>1264.8696148454587</v>
      </c>
      <c r="CM202" s="85">
        <f t="shared" ca="1" si="281"/>
        <v>1565.8528554608342</v>
      </c>
      <c r="CN202" s="85">
        <f t="shared" ca="1" si="282"/>
        <v>1097.0072491449293</v>
      </c>
      <c r="CO202" s="85">
        <f t="shared" ca="1" si="283"/>
        <v>1269.5970327257558</v>
      </c>
      <c r="CP202" s="85">
        <f t="shared" ca="1" si="284"/>
        <v>1517.1646412756218</v>
      </c>
      <c r="CQ202" s="85">
        <f t="shared" ca="1" si="285"/>
        <v>1400.0325755616775</v>
      </c>
      <c r="CR202" s="85">
        <f t="shared" ca="1" si="286"/>
        <v>1451.2825965377465</v>
      </c>
      <c r="CS202" s="85">
        <f t="shared" ca="1" si="287"/>
        <v>1129.1653001227171</v>
      </c>
      <c r="CT202" s="85">
        <f t="shared" ca="1" si="288"/>
        <v>1222.9255659620867</v>
      </c>
      <c r="CU202" s="85">
        <f t="shared" ca="1" si="289"/>
        <v>1743.6212229279724</v>
      </c>
      <c r="CV202" s="85">
        <f t="shared" ca="1" si="290"/>
        <v>1286.7326318439739</v>
      </c>
      <c r="CW202" s="85">
        <f t="shared" ca="1" si="291"/>
        <v>1323.7092752324495</v>
      </c>
    </row>
    <row r="203" spans="1:101" x14ac:dyDescent="0.2">
      <c r="A203" s="115">
        <v>200</v>
      </c>
      <c r="B203" s="85">
        <f t="shared" ca="1" si="302"/>
        <v>1091.5701563479815</v>
      </c>
      <c r="C203" s="85">
        <f t="shared" ca="1" si="304"/>
        <v>1400.7800185376402</v>
      </c>
      <c r="D203" s="85">
        <f t="shared" ca="1" si="305"/>
        <v>1386.7471610127375</v>
      </c>
      <c r="E203" s="85">
        <f t="shared" ca="1" si="306"/>
        <v>1223.6555535947198</v>
      </c>
      <c r="F203" s="85">
        <f t="shared" ca="1" si="307"/>
        <v>1324.6699457797265</v>
      </c>
      <c r="G203" s="85">
        <f t="shared" ca="1" si="308"/>
        <v>1358.6119043989031</v>
      </c>
      <c r="H203" s="85">
        <f t="shared" ca="1" si="309"/>
        <v>1401.9355883723608</v>
      </c>
      <c r="I203" s="85">
        <f t="shared" ca="1" si="310"/>
        <v>1589.8726654499969</v>
      </c>
      <c r="J203" s="85">
        <f t="shared" ca="1" si="311"/>
        <v>1299.8192696780491</v>
      </c>
      <c r="K203" s="85">
        <f t="shared" ca="1" si="312"/>
        <v>1521.340905672246</v>
      </c>
      <c r="L203" s="85">
        <f t="shared" ca="1" si="313"/>
        <v>1605.0572150234914</v>
      </c>
      <c r="M203" s="85">
        <f t="shared" ca="1" si="314"/>
        <v>1216.3411957425558</v>
      </c>
      <c r="N203" s="85">
        <f t="shared" ca="1" si="315"/>
        <v>1337.6896993948808</v>
      </c>
      <c r="O203" s="85">
        <f t="shared" ca="1" si="316"/>
        <v>1392.052636926881</v>
      </c>
      <c r="P203" s="85">
        <f t="shared" ca="1" si="317"/>
        <v>1508.6341560634089</v>
      </c>
      <c r="Q203" s="85">
        <f t="shared" ca="1" si="318"/>
        <v>1446.0418983420332</v>
      </c>
      <c r="R203" s="85">
        <f t="shared" ca="1" si="319"/>
        <v>1256.5013741339214</v>
      </c>
      <c r="S203" s="85">
        <f t="shared" ca="1" si="320"/>
        <v>1409.6125822126737</v>
      </c>
      <c r="T203" s="85">
        <f t="shared" ca="1" si="321"/>
        <v>1369.684298925843</v>
      </c>
      <c r="U203" s="85">
        <f t="shared" ca="1" si="322"/>
        <v>1286.4893784485885</v>
      </c>
      <c r="V203" s="85">
        <f t="shared" ca="1" si="323"/>
        <v>1584.9460604004132</v>
      </c>
      <c r="W203" s="85">
        <f t="shared" ca="1" si="324"/>
        <v>1293.6107503753451</v>
      </c>
      <c r="X203" s="85">
        <f t="shared" ca="1" si="325"/>
        <v>1449.2379524442331</v>
      </c>
      <c r="Y203" s="85">
        <f t="shared" ca="1" si="326"/>
        <v>1301.0097080405378</v>
      </c>
      <c r="Z203" s="85">
        <f t="shared" ca="1" si="327"/>
        <v>1402.4594317719136</v>
      </c>
      <c r="AA203" s="85">
        <f t="shared" ca="1" si="328"/>
        <v>1249.699188254287</v>
      </c>
      <c r="AB203" s="85">
        <f t="shared" ca="1" si="329"/>
        <v>1616.7299054326047</v>
      </c>
      <c r="AC203" s="85">
        <f t="shared" ca="1" si="330"/>
        <v>1455.7000573696675</v>
      </c>
      <c r="AD203" s="85">
        <f t="shared" ca="1" si="331"/>
        <v>1627.4249612302287</v>
      </c>
      <c r="AE203" s="85">
        <f t="shared" ca="1" si="332"/>
        <v>1793.8009976110066</v>
      </c>
      <c r="AF203" s="85">
        <f t="shared" ca="1" si="333"/>
        <v>1158.6578100482827</v>
      </c>
      <c r="AG203" s="85">
        <f t="shared" ca="1" si="334"/>
        <v>1595.0513008166076</v>
      </c>
      <c r="AH203" s="85">
        <f t="shared" ca="1" si="335"/>
        <v>1309.3282507575025</v>
      </c>
      <c r="AI203" s="85">
        <f t="shared" ca="1" si="336"/>
        <v>1497.6396540502485</v>
      </c>
      <c r="AJ203" s="85">
        <f t="shared" ca="1" si="337"/>
        <v>1628.7911072777479</v>
      </c>
      <c r="AK203" s="85">
        <f t="shared" ca="1" si="338"/>
        <v>1439.7725047449967</v>
      </c>
      <c r="AL203" s="85">
        <f t="shared" ca="1" si="339"/>
        <v>1409.9887125345044</v>
      </c>
      <c r="AM203" s="85">
        <f t="shared" ca="1" si="340"/>
        <v>1329.0358144244951</v>
      </c>
      <c r="AN203" s="85">
        <f t="shared" ca="1" si="341"/>
        <v>1487.7824931475936</v>
      </c>
      <c r="AO203" s="85">
        <f t="shared" ca="1" si="342"/>
        <v>1785.0745499940138</v>
      </c>
      <c r="AP203" s="85">
        <f t="shared" ca="1" si="343"/>
        <v>1606.4095003928051</v>
      </c>
      <c r="AQ203" s="85">
        <f t="shared" ca="1" si="344"/>
        <v>1257.0124676629691</v>
      </c>
      <c r="AR203" s="85">
        <f t="shared" ca="1" si="345"/>
        <v>1464.5575206865872</v>
      </c>
      <c r="AS203" s="85">
        <f t="shared" ca="1" si="346"/>
        <v>1380.9849126109041</v>
      </c>
      <c r="AT203" s="85">
        <f t="shared" ca="1" si="347"/>
        <v>1384.8237568557299</v>
      </c>
      <c r="AU203" s="85">
        <f t="shared" ca="1" si="348"/>
        <v>1428.8435837597794</v>
      </c>
      <c r="AV203" s="85">
        <f t="shared" ca="1" si="349"/>
        <v>1507.8297181858443</v>
      </c>
      <c r="AW203" s="85">
        <f t="shared" ca="1" si="350"/>
        <v>1433.9232400675446</v>
      </c>
      <c r="AX203" s="85">
        <f t="shared" ca="1" si="351"/>
        <v>1728.0612082688276</v>
      </c>
      <c r="AY203" s="85">
        <f t="shared" ca="1" si="352"/>
        <v>1620.2549720506502</v>
      </c>
      <c r="AZ203" s="85">
        <f t="shared" ca="1" si="353"/>
        <v>1552.4064510398036</v>
      </c>
      <c r="BA203" s="85">
        <f t="shared" ca="1" si="354"/>
        <v>1582.0090985971599</v>
      </c>
      <c r="BB203" s="85">
        <f t="shared" ca="1" si="355"/>
        <v>1311.3758726666804</v>
      </c>
      <c r="BC203" s="85">
        <f t="shared" ca="1" si="356"/>
        <v>1590.524018316735</v>
      </c>
      <c r="BD203" s="85">
        <f t="shared" ca="1" si="357"/>
        <v>1464.9009777902745</v>
      </c>
      <c r="BE203" s="85">
        <f t="shared" ca="1" si="358"/>
        <v>1308.0126210766161</v>
      </c>
      <c r="BF203" s="85">
        <f t="shared" ca="1" si="359"/>
        <v>1256.3419083425215</v>
      </c>
      <c r="BG203" s="85">
        <f t="shared" ca="1" si="360"/>
        <v>1218.2580672592458</v>
      </c>
      <c r="BH203" s="85">
        <f t="shared" ca="1" si="361"/>
        <v>1505.3981758085697</v>
      </c>
      <c r="BI203" s="85">
        <f t="shared" ca="1" si="362"/>
        <v>1257.0840376303386</v>
      </c>
      <c r="BJ203" s="85">
        <f t="shared" ca="1" si="363"/>
        <v>1436.3680830654503</v>
      </c>
      <c r="BK203" s="85">
        <f t="shared" ca="1" si="364"/>
        <v>1367.8849514881824</v>
      </c>
      <c r="BL203" s="85">
        <f t="shared" ca="1" si="365"/>
        <v>1289.0929707561218</v>
      </c>
      <c r="BM203" s="85">
        <f t="shared" ca="1" si="366"/>
        <v>1378.5150940543313</v>
      </c>
      <c r="BN203" s="85">
        <f t="shared" ca="1" si="303"/>
        <v>1492.1592434154868</v>
      </c>
      <c r="BO203" s="85">
        <f t="shared" ca="1" si="292"/>
        <v>1715.8880327672173</v>
      </c>
      <c r="BP203" s="85">
        <f t="shared" ca="1" si="293"/>
        <v>1360.1283221813203</v>
      </c>
      <c r="BQ203" s="85">
        <f t="shared" ca="1" si="294"/>
        <v>1413.4937771105378</v>
      </c>
      <c r="BR203" s="85">
        <f t="shared" ca="1" si="295"/>
        <v>1252.5887510655962</v>
      </c>
      <c r="BS203" s="85">
        <f t="shared" ca="1" si="296"/>
        <v>1447.1917505950473</v>
      </c>
      <c r="BT203" s="85">
        <f t="shared" ca="1" si="297"/>
        <v>1663.2589677274682</v>
      </c>
      <c r="BU203" s="85">
        <f t="shared" ca="1" si="298"/>
        <v>1304.4271306757537</v>
      </c>
      <c r="BV203" s="85">
        <f t="shared" ca="1" si="299"/>
        <v>1350.0186545256192</v>
      </c>
      <c r="BW203" s="85">
        <f t="shared" ca="1" si="300"/>
        <v>1555.7147750200349</v>
      </c>
      <c r="BX203" s="85">
        <f t="shared" ca="1" si="301"/>
        <v>1495.5821033589266</v>
      </c>
      <c r="BY203" s="85">
        <f t="shared" ref="BY203:BY255" ca="1" si="367">BY202*EXP(($C$259-0.5*$C$260^2)+$C$260*_xlfn.NORM.INV(RAND(),0,1))</f>
        <v>1315.0827495736032</v>
      </c>
      <c r="BZ203" s="85">
        <f t="shared" ref="BZ203:BZ255" ca="1" si="368">BZ202*EXP(($C$259-0.5*$C$260^2)+$C$260*_xlfn.NORM.INV(RAND(),0,1))</f>
        <v>1331.8104312819648</v>
      </c>
      <c r="CA203" s="85">
        <f t="shared" ref="CA203:CA255" ca="1" si="369">CA202*EXP(($C$259-0.5*$C$260^2)+$C$260*_xlfn.NORM.INV(RAND(),0,1))</f>
        <v>1400.3379191349402</v>
      </c>
      <c r="CB203" s="85">
        <f t="shared" ref="CB203:CB255" ca="1" si="370">CB202*EXP(($C$259-0.5*$C$260^2)+$C$260*_xlfn.NORM.INV(RAND(),0,1))</f>
        <v>1257.0158902522601</v>
      </c>
      <c r="CC203" s="85">
        <f t="shared" ref="CC203:CC255" ca="1" si="371">CC202*EXP(($C$259-0.5*$C$260^2)+$C$260*_xlfn.NORM.INV(RAND(),0,1))</f>
        <v>1512.9850066636543</v>
      </c>
      <c r="CD203" s="85">
        <f t="shared" ref="CD203:CD255" ca="1" si="372">CD202*EXP(($C$259-0.5*$C$260^2)+$C$260*_xlfn.NORM.INV(RAND(),0,1))</f>
        <v>1594.1417381939461</v>
      </c>
      <c r="CE203" s="85">
        <f t="shared" ref="CE203:CE255" ca="1" si="373">CE202*EXP(($C$259-0.5*$C$260^2)+$C$260*_xlfn.NORM.INV(RAND(),0,1))</f>
        <v>1356.0117495323816</v>
      </c>
      <c r="CF203" s="85">
        <f t="shared" ref="CF203:CF255" ca="1" si="374">CF202*EXP(($C$259-0.5*$C$260^2)+$C$260*_xlfn.NORM.INV(RAND(),0,1))</f>
        <v>1563.120250993433</v>
      </c>
      <c r="CG203" s="85">
        <f t="shared" ref="CG203:CG255" ca="1" si="375">CG202*EXP(($C$259-0.5*$C$260^2)+$C$260*_xlfn.NORM.INV(RAND(),0,1))</f>
        <v>1190.5333845407165</v>
      </c>
      <c r="CH203" s="85">
        <f t="shared" ref="CH203:CH255" ca="1" si="376">CH202*EXP(($C$259-0.5*$C$260^2)+$C$260*_xlfn.NORM.INV(RAND(),0,1))</f>
        <v>1489.0449198706237</v>
      </c>
      <c r="CI203" s="85">
        <f t="shared" ref="CI203:CI255" ca="1" si="377">CI202*EXP(($C$259-0.5*$C$260^2)+$C$260*_xlfn.NORM.INV(RAND(),0,1))</f>
        <v>1280.5586263671291</v>
      </c>
      <c r="CJ203" s="85">
        <f t="shared" ref="CJ203:CJ255" ca="1" si="378">CJ202*EXP(($C$259-0.5*$C$260^2)+$C$260*_xlfn.NORM.INV(RAND(),0,1))</f>
        <v>1300.7065945915656</v>
      </c>
      <c r="CK203" s="85">
        <f t="shared" ref="CK203:CK255" ca="1" si="379">CK202*EXP(($C$259-0.5*$C$260^2)+$C$260*_xlfn.NORM.INV(RAND(),0,1))</f>
        <v>1351.5146247305738</v>
      </c>
      <c r="CL203" s="85">
        <f t="shared" ref="CL203:CL255" ca="1" si="380">CL202*EXP(($C$259-0.5*$C$260^2)+$C$260*_xlfn.NORM.INV(RAND(),0,1))</f>
        <v>1287.9844015987703</v>
      </c>
      <c r="CM203" s="85">
        <f t="shared" ref="CM203:CM255" ca="1" si="381">CM202*EXP(($C$259-0.5*$C$260^2)+$C$260*_xlfn.NORM.INV(RAND(),0,1))</f>
        <v>1590.8680673421404</v>
      </c>
      <c r="CN203" s="85">
        <f t="shared" ref="CN203:CN255" ca="1" si="382">CN202*EXP(($C$259-0.5*$C$260^2)+$C$260*_xlfn.NORM.INV(RAND(),0,1))</f>
        <v>1122.3405862783175</v>
      </c>
      <c r="CO203" s="85">
        <f t="shared" ref="CO203:CO255" ca="1" si="383">CO202*EXP(($C$259-0.5*$C$260^2)+$C$260*_xlfn.NORM.INV(RAND(),0,1))</f>
        <v>1290.2783985540973</v>
      </c>
      <c r="CP203" s="85">
        <f t="shared" ref="CP203:CP255" ca="1" si="384">CP202*EXP(($C$259-0.5*$C$260^2)+$C$260*_xlfn.NORM.INV(RAND(),0,1))</f>
        <v>1521.8740475112354</v>
      </c>
      <c r="CQ203" s="85">
        <f t="shared" ref="CQ203:CQ255" ca="1" si="385">CQ202*EXP(($C$259-0.5*$C$260^2)+$C$260*_xlfn.NORM.INV(RAND(),0,1))</f>
        <v>1418.008083650037</v>
      </c>
      <c r="CR203" s="85">
        <f t="shared" ref="CR203:CR255" ca="1" si="386">CR202*EXP(($C$259-0.5*$C$260^2)+$C$260*_xlfn.NORM.INV(RAND(),0,1))</f>
        <v>1477.0713638484863</v>
      </c>
      <c r="CS203" s="85">
        <f t="shared" ref="CS203:CS255" ca="1" si="387">CS202*EXP(($C$259-0.5*$C$260^2)+$C$260*_xlfn.NORM.INV(RAND(),0,1))</f>
        <v>1142.2617985423585</v>
      </c>
      <c r="CT203" s="85">
        <f t="shared" ref="CT203:CT255" ca="1" si="388">CT202*EXP(($C$259-0.5*$C$260^2)+$C$260*_xlfn.NORM.INV(RAND(),0,1))</f>
        <v>1245.3783858245913</v>
      </c>
      <c r="CU203" s="85">
        <f t="shared" ref="CU203:CU255" ca="1" si="389">CU202*EXP(($C$259-0.5*$C$260^2)+$C$260*_xlfn.NORM.INV(RAND(),0,1))</f>
        <v>1761.1778200033798</v>
      </c>
      <c r="CV203" s="85">
        <f t="shared" ref="CV203:CV255" ca="1" si="390">CV202*EXP(($C$259-0.5*$C$260^2)+$C$260*_xlfn.NORM.INV(RAND(),0,1))</f>
        <v>1296.3228499902511</v>
      </c>
      <c r="CW203" s="85">
        <f t="shared" ref="CW203:CW255" ca="1" si="391">CW202*EXP(($C$259-0.5*$C$260^2)+$C$260*_xlfn.NORM.INV(RAND(),0,1))</f>
        <v>1351.7570651836463</v>
      </c>
    </row>
    <row r="204" spans="1:101" x14ac:dyDescent="0.2">
      <c r="A204" s="115">
        <v>201</v>
      </c>
      <c r="B204" s="85">
        <f t="shared" ca="1" si="302"/>
        <v>1112.5609833034666</v>
      </c>
      <c r="C204" s="85">
        <f t="shared" ca="1" si="304"/>
        <v>1431.2316100660869</v>
      </c>
      <c r="D204" s="85">
        <f t="shared" ca="1" si="305"/>
        <v>1381.3597036952099</v>
      </c>
      <c r="E204" s="85">
        <f t="shared" ca="1" si="306"/>
        <v>1236.9672188048037</v>
      </c>
      <c r="F204" s="85">
        <f t="shared" ca="1" si="307"/>
        <v>1345.3557296450269</v>
      </c>
      <c r="G204" s="85">
        <f t="shared" ca="1" si="308"/>
        <v>1391.9520229411783</v>
      </c>
      <c r="H204" s="85">
        <f t="shared" ca="1" si="309"/>
        <v>1423.1668451114581</v>
      </c>
      <c r="I204" s="85">
        <f t="shared" ca="1" si="310"/>
        <v>1600.9604489612273</v>
      </c>
      <c r="J204" s="85">
        <f t="shared" ca="1" si="311"/>
        <v>1314.6781562801648</v>
      </c>
      <c r="K204" s="85">
        <f t="shared" ca="1" si="312"/>
        <v>1537.7683829931582</v>
      </c>
      <c r="L204" s="85">
        <f t="shared" ca="1" si="313"/>
        <v>1623.860539585952</v>
      </c>
      <c r="M204" s="85">
        <f t="shared" ca="1" si="314"/>
        <v>1236.3184074442793</v>
      </c>
      <c r="N204" s="85">
        <f t="shared" ca="1" si="315"/>
        <v>1348.8073834984893</v>
      </c>
      <c r="O204" s="85">
        <f t="shared" ca="1" si="316"/>
        <v>1404.3549318380017</v>
      </c>
      <c r="P204" s="85">
        <f t="shared" ca="1" si="317"/>
        <v>1520.8930360627053</v>
      </c>
      <c r="Q204" s="85">
        <f t="shared" ca="1" si="318"/>
        <v>1467.8910220922273</v>
      </c>
      <c r="R204" s="85">
        <f t="shared" ca="1" si="319"/>
        <v>1265.0578514714834</v>
      </c>
      <c r="S204" s="85">
        <f t="shared" ca="1" si="320"/>
        <v>1428.7735596800267</v>
      </c>
      <c r="T204" s="85">
        <f t="shared" ca="1" si="321"/>
        <v>1402.8703759409909</v>
      </c>
      <c r="U204" s="85">
        <f t="shared" ca="1" si="322"/>
        <v>1297.6531909787961</v>
      </c>
      <c r="V204" s="85">
        <f t="shared" ca="1" si="323"/>
        <v>1603.9626281453018</v>
      </c>
      <c r="W204" s="85">
        <f t="shared" ca="1" si="324"/>
        <v>1303.4000868031301</v>
      </c>
      <c r="X204" s="85">
        <f t="shared" ca="1" si="325"/>
        <v>1468.3296219808594</v>
      </c>
      <c r="Y204" s="85">
        <f t="shared" ca="1" si="326"/>
        <v>1307.501413595576</v>
      </c>
      <c r="Z204" s="85">
        <f t="shared" ca="1" si="327"/>
        <v>1428.4011408470978</v>
      </c>
      <c r="AA204" s="85">
        <f t="shared" ca="1" si="328"/>
        <v>1272.8116104285671</v>
      </c>
      <c r="AB204" s="85">
        <f t="shared" ca="1" si="329"/>
        <v>1648.3532630441805</v>
      </c>
      <c r="AC204" s="85">
        <f t="shared" ca="1" si="330"/>
        <v>1478.2878719923135</v>
      </c>
      <c r="AD204" s="85">
        <f t="shared" ca="1" si="331"/>
        <v>1630.9631606178918</v>
      </c>
      <c r="AE204" s="85">
        <f t="shared" ca="1" si="332"/>
        <v>1808.4915046298577</v>
      </c>
      <c r="AF204" s="85">
        <f t="shared" ca="1" si="333"/>
        <v>1170.6596736687809</v>
      </c>
      <c r="AG204" s="85">
        <f t="shared" ca="1" si="334"/>
        <v>1628.6125346849276</v>
      </c>
      <c r="AH204" s="85">
        <f t="shared" ca="1" si="335"/>
        <v>1317.798500669111</v>
      </c>
      <c r="AI204" s="85">
        <f t="shared" ca="1" si="336"/>
        <v>1537.4100005764021</v>
      </c>
      <c r="AJ204" s="85">
        <f t="shared" ca="1" si="337"/>
        <v>1643.5718218873665</v>
      </c>
      <c r="AK204" s="85">
        <f t="shared" ca="1" si="338"/>
        <v>1464.132977927891</v>
      </c>
      <c r="AL204" s="85">
        <f t="shared" ca="1" si="339"/>
        <v>1435.2380734538008</v>
      </c>
      <c r="AM204" s="85">
        <f t="shared" ca="1" si="340"/>
        <v>1349.6609382084021</v>
      </c>
      <c r="AN204" s="85">
        <f t="shared" ca="1" si="341"/>
        <v>1502.9006888451656</v>
      </c>
      <c r="AO204" s="85">
        <f t="shared" ca="1" si="342"/>
        <v>1798.2360374097925</v>
      </c>
      <c r="AP204" s="85">
        <f t="shared" ca="1" si="343"/>
        <v>1624.8362682330533</v>
      </c>
      <c r="AQ204" s="85">
        <f t="shared" ca="1" si="344"/>
        <v>1276.103687502557</v>
      </c>
      <c r="AR204" s="85">
        <f t="shared" ca="1" si="345"/>
        <v>1486.0609269195377</v>
      </c>
      <c r="AS204" s="85">
        <f t="shared" ca="1" si="346"/>
        <v>1393.1391354358816</v>
      </c>
      <c r="AT204" s="85">
        <f t="shared" ca="1" si="347"/>
        <v>1416.2113470557597</v>
      </c>
      <c r="AU204" s="85">
        <f t="shared" ca="1" si="348"/>
        <v>1439.9245701355042</v>
      </c>
      <c r="AV204" s="85">
        <f t="shared" ca="1" si="349"/>
        <v>1510.4575869644018</v>
      </c>
      <c r="AW204" s="85">
        <f t="shared" ca="1" si="350"/>
        <v>1456.3730193930842</v>
      </c>
      <c r="AX204" s="85">
        <f t="shared" ca="1" si="351"/>
        <v>1752.8592828968783</v>
      </c>
      <c r="AY204" s="85">
        <f t="shared" ca="1" si="352"/>
        <v>1631.6905621547992</v>
      </c>
      <c r="AZ204" s="85">
        <f t="shared" ca="1" si="353"/>
        <v>1586.8133610620375</v>
      </c>
      <c r="BA204" s="85">
        <f t="shared" ca="1" si="354"/>
        <v>1615.7764542351802</v>
      </c>
      <c r="BB204" s="85">
        <f t="shared" ca="1" si="355"/>
        <v>1321.6387399628766</v>
      </c>
      <c r="BC204" s="85">
        <f t="shared" ca="1" si="356"/>
        <v>1617.3101470315867</v>
      </c>
      <c r="BD204" s="85">
        <f t="shared" ca="1" si="357"/>
        <v>1468.7034045497483</v>
      </c>
      <c r="BE204" s="85">
        <f t="shared" ca="1" si="358"/>
        <v>1327.7167961985256</v>
      </c>
      <c r="BF204" s="85">
        <f t="shared" ca="1" si="359"/>
        <v>1289.6865759985478</v>
      </c>
      <c r="BG204" s="85">
        <f t="shared" ca="1" si="360"/>
        <v>1238.5676516471465</v>
      </c>
      <c r="BH204" s="85">
        <f t="shared" ca="1" si="361"/>
        <v>1529.0520218763588</v>
      </c>
      <c r="BI204" s="85">
        <f t="shared" ca="1" si="362"/>
        <v>1284.9607095603333</v>
      </c>
      <c r="BJ204" s="85">
        <f t="shared" ca="1" si="363"/>
        <v>1450.9585157414658</v>
      </c>
      <c r="BK204" s="85">
        <f t="shared" ca="1" si="364"/>
        <v>1403.2885496844522</v>
      </c>
      <c r="BL204" s="85">
        <f t="shared" ca="1" si="365"/>
        <v>1296.709590891865</v>
      </c>
      <c r="BM204" s="85">
        <f t="shared" ca="1" si="366"/>
        <v>1394.4651289220019</v>
      </c>
      <c r="BN204" s="85">
        <f t="shared" ca="1" si="303"/>
        <v>1505.6701633829798</v>
      </c>
      <c r="BO204" s="85">
        <f t="shared" ref="BO204:BO255" ca="1" si="392">BO203*EXP(($C$259-0.5*$C$260^2)+$C$260*_xlfn.NORM.INV(RAND(),0,1))</f>
        <v>1721.530907918099</v>
      </c>
      <c r="BP204" s="85">
        <f t="shared" ref="BP204:BP255" ca="1" si="393">BP203*EXP(($C$259-0.5*$C$260^2)+$C$260*_xlfn.NORM.INV(RAND(),0,1))</f>
        <v>1386.7945797245109</v>
      </c>
      <c r="BQ204" s="85">
        <f t="shared" ref="BQ204:BQ255" ca="1" si="394">BQ203*EXP(($C$259-0.5*$C$260^2)+$C$260*_xlfn.NORM.INV(RAND(),0,1))</f>
        <v>1428.5191611550431</v>
      </c>
      <c r="BR204" s="85">
        <f t="shared" ref="BR204:BR255" ca="1" si="395">BR203*EXP(($C$259-0.5*$C$260^2)+$C$260*_xlfn.NORM.INV(RAND(),0,1))</f>
        <v>1275.5032844783868</v>
      </c>
      <c r="BS204" s="85">
        <f t="shared" ref="BS204:BS255" ca="1" si="396">BS203*EXP(($C$259-0.5*$C$260^2)+$C$260*_xlfn.NORM.INV(RAND(),0,1))</f>
        <v>1464.7455268224289</v>
      </c>
      <c r="BT204" s="85">
        <f t="shared" ref="BT204:BT255" ca="1" si="397">BT203*EXP(($C$259-0.5*$C$260^2)+$C$260*_xlfn.NORM.INV(RAND(),0,1))</f>
        <v>1679.4220744675924</v>
      </c>
      <c r="BU204" s="85">
        <f t="shared" ref="BU204:BU255" ca="1" si="398">BU203*EXP(($C$259-0.5*$C$260^2)+$C$260*_xlfn.NORM.INV(RAND(),0,1))</f>
        <v>1315.3935960757112</v>
      </c>
      <c r="BV204" s="85">
        <f t="shared" ref="BV204:BV255" ca="1" si="399">BV203*EXP(($C$259-0.5*$C$260^2)+$C$260*_xlfn.NORM.INV(RAND(),0,1))</f>
        <v>1370.4934235136145</v>
      </c>
      <c r="BW204" s="85">
        <f t="shared" ref="BW204:BW255" ca="1" si="400">BW203*EXP(($C$259-0.5*$C$260^2)+$C$260*_xlfn.NORM.INV(RAND(),0,1))</f>
        <v>1569.7678562653171</v>
      </c>
      <c r="BX204" s="85">
        <f t="shared" ref="BX204:BX255" ca="1" si="401">BX203*EXP(($C$259-0.5*$C$260^2)+$C$260*_xlfn.NORM.INV(RAND(),0,1))</f>
        <v>1503.7107250579154</v>
      </c>
      <c r="BY204" s="85">
        <f t="shared" ca="1" si="367"/>
        <v>1331.8394846293204</v>
      </c>
      <c r="BZ204" s="85">
        <f t="shared" ca="1" si="368"/>
        <v>1349.3262670828653</v>
      </c>
      <c r="CA204" s="85">
        <f t="shared" ca="1" si="369"/>
        <v>1417.6612075737839</v>
      </c>
      <c r="CB204" s="85">
        <f t="shared" ca="1" si="370"/>
        <v>1271.1857868755176</v>
      </c>
      <c r="CC204" s="85">
        <f t="shared" ca="1" si="371"/>
        <v>1556.5011866144887</v>
      </c>
      <c r="CD204" s="85">
        <f t="shared" ca="1" si="372"/>
        <v>1611.0098419705444</v>
      </c>
      <c r="CE204" s="85">
        <f t="shared" ca="1" si="373"/>
        <v>1375.4854701187987</v>
      </c>
      <c r="CF204" s="85">
        <f t="shared" ca="1" si="374"/>
        <v>1604.6166758591592</v>
      </c>
      <c r="CG204" s="85">
        <f t="shared" ca="1" si="375"/>
        <v>1210.2587834747251</v>
      </c>
      <c r="CH204" s="85">
        <f t="shared" ca="1" si="376"/>
        <v>1494.2372864468089</v>
      </c>
      <c r="CI204" s="85">
        <f t="shared" ca="1" si="377"/>
        <v>1302.2903453482368</v>
      </c>
      <c r="CJ204" s="85">
        <f t="shared" ca="1" si="378"/>
        <v>1317.2609443722183</v>
      </c>
      <c r="CK204" s="85">
        <f t="shared" ca="1" si="379"/>
        <v>1394.4046673475395</v>
      </c>
      <c r="CL204" s="85">
        <f t="shared" ca="1" si="380"/>
        <v>1307.2042265125367</v>
      </c>
      <c r="CM204" s="85">
        <f t="shared" ca="1" si="381"/>
        <v>1599.2428800566609</v>
      </c>
      <c r="CN204" s="85">
        <f t="shared" ca="1" si="382"/>
        <v>1136.1686198022724</v>
      </c>
      <c r="CO204" s="85">
        <f t="shared" ca="1" si="383"/>
        <v>1315.5039714308496</v>
      </c>
      <c r="CP204" s="85">
        <f t="shared" ca="1" si="384"/>
        <v>1530.5393403200869</v>
      </c>
      <c r="CQ204" s="85">
        <f t="shared" ca="1" si="385"/>
        <v>1453.9851788989938</v>
      </c>
      <c r="CR204" s="85">
        <f t="shared" ca="1" si="386"/>
        <v>1499.1041934742834</v>
      </c>
      <c r="CS204" s="85">
        <f t="shared" ca="1" si="387"/>
        <v>1153.8459425078581</v>
      </c>
      <c r="CT204" s="85">
        <f t="shared" ca="1" si="388"/>
        <v>1270.2890442215371</v>
      </c>
      <c r="CU204" s="85">
        <f t="shared" ca="1" si="389"/>
        <v>1787.9608724568022</v>
      </c>
      <c r="CV204" s="85">
        <f t="shared" ca="1" si="390"/>
        <v>1310.5892352989626</v>
      </c>
      <c r="CW204" s="85">
        <f t="shared" ca="1" si="391"/>
        <v>1366.5537751669171</v>
      </c>
    </row>
    <row r="205" spans="1:101" x14ac:dyDescent="0.2">
      <c r="A205" s="115">
        <v>202</v>
      </c>
      <c r="B205" s="85">
        <f t="shared" ca="1" si="302"/>
        <v>1127.6755923118731</v>
      </c>
      <c r="C205" s="85">
        <f t="shared" ca="1" si="304"/>
        <v>1468.2304956315763</v>
      </c>
      <c r="D205" s="85">
        <f t="shared" ca="1" si="305"/>
        <v>1395.3431686713357</v>
      </c>
      <c r="E205" s="85">
        <f t="shared" ca="1" si="306"/>
        <v>1246.2261786115653</v>
      </c>
      <c r="F205" s="85">
        <f t="shared" ca="1" si="307"/>
        <v>1377.8684808908347</v>
      </c>
      <c r="G205" s="85">
        <f t="shared" ca="1" si="308"/>
        <v>1407.7853506394197</v>
      </c>
      <c r="H205" s="85">
        <f t="shared" ca="1" si="309"/>
        <v>1434.6148950301356</v>
      </c>
      <c r="I205" s="85">
        <f t="shared" ca="1" si="310"/>
        <v>1625.0930639769713</v>
      </c>
      <c r="J205" s="85">
        <f t="shared" ca="1" si="311"/>
        <v>1336.5044748219152</v>
      </c>
      <c r="K205" s="85">
        <f t="shared" ca="1" si="312"/>
        <v>1549.5825739304832</v>
      </c>
      <c r="L205" s="85">
        <f t="shared" ca="1" si="313"/>
        <v>1645.9031786363753</v>
      </c>
      <c r="M205" s="85">
        <f t="shared" ca="1" si="314"/>
        <v>1248.4779287075148</v>
      </c>
      <c r="N205" s="85">
        <f t="shared" ca="1" si="315"/>
        <v>1353.1347317722173</v>
      </c>
      <c r="O205" s="85">
        <f t="shared" ca="1" si="316"/>
        <v>1428.4910545412956</v>
      </c>
      <c r="P205" s="85">
        <f t="shared" ca="1" si="317"/>
        <v>1534.4659744786873</v>
      </c>
      <c r="Q205" s="85">
        <f t="shared" ca="1" si="318"/>
        <v>1496.1506238138545</v>
      </c>
      <c r="R205" s="85">
        <f t="shared" ca="1" si="319"/>
        <v>1283.0011638430765</v>
      </c>
      <c r="S205" s="85">
        <f t="shared" ca="1" si="320"/>
        <v>1438.184474594058</v>
      </c>
      <c r="T205" s="85">
        <f t="shared" ca="1" si="321"/>
        <v>1418.041129894184</v>
      </c>
      <c r="U205" s="85">
        <f t="shared" ca="1" si="322"/>
        <v>1320.6934064896054</v>
      </c>
      <c r="V205" s="85">
        <f t="shared" ca="1" si="323"/>
        <v>1603.7807049462617</v>
      </c>
      <c r="W205" s="85">
        <f t="shared" ca="1" si="324"/>
        <v>1316.4439523503775</v>
      </c>
      <c r="X205" s="85">
        <f t="shared" ca="1" si="325"/>
        <v>1489.2374794835457</v>
      </c>
      <c r="Y205" s="85">
        <f t="shared" ca="1" si="326"/>
        <v>1322.6170901314713</v>
      </c>
      <c r="Z205" s="85">
        <f t="shared" ca="1" si="327"/>
        <v>1448.7033082211426</v>
      </c>
      <c r="AA205" s="85">
        <f t="shared" ca="1" si="328"/>
        <v>1273.2655361569666</v>
      </c>
      <c r="AB205" s="85">
        <f t="shared" ca="1" si="329"/>
        <v>1649.6138304863828</v>
      </c>
      <c r="AC205" s="85">
        <f t="shared" ca="1" si="330"/>
        <v>1482.3983106590863</v>
      </c>
      <c r="AD205" s="85">
        <f t="shared" ca="1" si="331"/>
        <v>1647.1919836959348</v>
      </c>
      <c r="AE205" s="85">
        <f t="shared" ca="1" si="332"/>
        <v>1812.7862620861488</v>
      </c>
      <c r="AF205" s="85">
        <f t="shared" ca="1" si="333"/>
        <v>1184.0333856097047</v>
      </c>
      <c r="AG205" s="85">
        <f t="shared" ca="1" si="334"/>
        <v>1637.9209505397812</v>
      </c>
      <c r="AH205" s="85">
        <f t="shared" ca="1" si="335"/>
        <v>1334.3869295155957</v>
      </c>
      <c r="AI205" s="85">
        <f t="shared" ca="1" si="336"/>
        <v>1554.6304486794613</v>
      </c>
      <c r="AJ205" s="85">
        <f t="shared" ca="1" si="337"/>
        <v>1659.4449353877153</v>
      </c>
      <c r="AK205" s="85">
        <f t="shared" ca="1" si="338"/>
        <v>1488.6898328593038</v>
      </c>
      <c r="AL205" s="85">
        <f t="shared" ca="1" si="339"/>
        <v>1447.1113375991683</v>
      </c>
      <c r="AM205" s="85">
        <f t="shared" ca="1" si="340"/>
        <v>1378.3689798838591</v>
      </c>
      <c r="AN205" s="85">
        <f t="shared" ca="1" si="341"/>
        <v>1526.2699300433651</v>
      </c>
      <c r="AO205" s="85">
        <f t="shared" ca="1" si="342"/>
        <v>1824.51732409286</v>
      </c>
      <c r="AP205" s="85">
        <f t="shared" ca="1" si="343"/>
        <v>1637.6000766048412</v>
      </c>
      <c r="AQ205" s="85">
        <f t="shared" ca="1" si="344"/>
        <v>1301.2201507316952</v>
      </c>
      <c r="AR205" s="85">
        <f t="shared" ca="1" si="345"/>
        <v>1508.621905484496</v>
      </c>
      <c r="AS205" s="85">
        <f t="shared" ca="1" si="346"/>
        <v>1408.498895471648</v>
      </c>
      <c r="AT205" s="85">
        <f t="shared" ca="1" si="347"/>
        <v>1430.8002302791606</v>
      </c>
      <c r="AU205" s="85">
        <f t="shared" ca="1" si="348"/>
        <v>1449.2487716714456</v>
      </c>
      <c r="AV205" s="85">
        <f t="shared" ca="1" si="349"/>
        <v>1525.0816400458973</v>
      </c>
      <c r="AW205" s="85">
        <f t="shared" ca="1" si="350"/>
        <v>1477.2486917709305</v>
      </c>
      <c r="AX205" s="85">
        <f t="shared" ca="1" si="351"/>
        <v>1785.957274650948</v>
      </c>
      <c r="AY205" s="85">
        <f t="shared" ca="1" si="352"/>
        <v>1636.5176273369195</v>
      </c>
      <c r="AZ205" s="85">
        <f t="shared" ca="1" si="353"/>
        <v>1592.4637157019099</v>
      </c>
      <c r="BA205" s="85">
        <f t="shared" ca="1" si="354"/>
        <v>1654.1345707395444</v>
      </c>
      <c r="BB205" s="85">
        <f t="shared" ca="1" si="355"/>
        <v>1339.908444908069</v>
      </c>
      <c r="BC205" s="85">
        <f t="shared" ca="1" si="356"/>
        <v>1636.6303459408023</v>
      </c>
      <c r="BD205" s="85">
        <f t="shared" ca="1" si="357"/>
        <v>1489.2483243261315</v>
      </c>
      <c r="BE205" s="85">
        <f t="shared" ca="1" si="358"/>
        <v>1334.5212010326075</v>
      </c>
      <c r="BF205" s="85">
        <f t="shared" ca="1" si="359"/>
        <v>1292.6240767184358</v>
      </c>
      <c r="BG205" s="85">
        <f t="shared" ca="1" si="360"/>
        <v>1252.455305624123</v>
      </c>
      <c r="BH205" s="85">
        <f t="shared" ca="1" si="361"/>
        <v>1543.4953256278604</v>
      </c>
      <c r="BI205" s="85">
        <f t="shared" ca="1" si="362"/>
        <v>1300.1402011650935</v>
      </c>
      <c r="BJ205" s="85">
        <f t="shared" ca="1" si="363"/>
        <v>1477.4543177561125</v>
      </c>
      <c r="BK205" s="85">
        <f t="shared" ca="1" si="364"/>
        <v>1413.1777323901267</v>
      </c>
      <c r="BL205" s="85">
        <f t="shared" ca="1" si="365"/>
        <v>1310.840231568156</v>
      </c>
      <c r="BM205" s="85">
        <f t="shared" ca="1" si="366"/>
        <v>1410.3918694723272</v>
      </c>
      <c r="BN205" s="85">
        <f t="shared" ca="1" si="303"/>
        <v>1513.2347985121899</v>
      </c>
      <c r="BO205" s="85">
        <f t="shared" ca="1" si="392"/>
        <v>1750.9067118670998</v>
      </c>
      <c r="BP205" s="85">
        <f t="shared" ca="1" si="393"/>
        <v>1401.3242628234375</v>
      </c>
      <c r="BQ205" s="85">
        <f t="shared" ca="1" si="394"/>
        <v>1462.8912599895</v>
      </c>
      <c r="BR205" s="85">
        <f t="shared" ca="1" si="395"/>
        <v>1291.4347651331395</v>
      </c>
      <c r="BS205" s="85">
        <f t="shared" ca="1" si="396"/>
        <v>1487.7203690037868</v>
      </c>
      <c r="BT205" s="85">
        <f t="shared" ca="1" si="397"/>
        <v>1704.7324895205597</v>
      </c>
      <c r="BU205" s="85">
        <f t="shared" ca="1" si="398"/>
        <v>1336.82871529057</v>
      </c>
      <c r="BV205" s="85">
        <f t="shared" ca="1" si="399"/>
        <v>1398.3047849000793</v>
      </c>
      <c r="BW205" s="85">
        <f t="shared" ca="1" si="400"/>
        <v>1579.7903217969911</v>
      </c>
      <c r="BX205" s="85">
        <f t="shared" ca="1" si="401"/>
        <v>1523.1618453796425</v>
      </c>
      <c r="BY205" s="85">
        <f t="shared" ca="1" si="367"/>
        <v>1345.8119336415975</v>
      </c>
      <c r="BZ205" s="85">
        <f t="shared" ca="1" si="368"/>
        <v>1391.9400826842696</v>
      </c>
      <c r="CA205" s="85">
        <f t="shared" ca="1" si="369"/>
        <v>1410.8653501185795</v>
      </c>
      <c r="CB205" s="85">
        <f t="shared" ca="1" si="370"/>
        <v>1287.916281290213</v>
      </c>
      <c r="CC205" s="85">
        <f t="shared" ca="1" si="371"/>
        <v>1561.6147069988028</v>
      </c>
      <c r="CD205" s="85">
        <f t="shared" ca="1" si="372"/>
        <v>1654.7482105624422</v>
      </c>
      <c r="CE205" s="85">
        <f t="shared" ca="1" si="373"/>
        <v>1385.3637945692758</v>
      </c>
      <c r="CF205" s="85">
        <f t="shared" ca="1" si="374"/>
        <v>1610.2948424438271</v>
      </c>
      <c r="CG205" s="85">
        <f t="shared" ca="1" si="375"/>
        <v>1214.4909155627299</v>
      </c>
      <c r="CH205" s="85">
        <f t="shared" ca="1" si="376"/>
        <v>1494.6576999597935</v>
      </c>
      <c r="CI205" s="85">
        <f t="shared" ca="1" si="377"/>
        <v>1308.4174859608254</v>
      </c>
      <c r="CJ205" s="85">
        <f t="shared" ca="1" si="378"/>
        <v>1331.9181122048949</v>
      </c>
      <c r="CK205" s="85">
        <f t="shared" ca="1" si="379"/>
        <v>1420.0707027037886</v>
      </c>
      <c r="CL205" s="85">
        <f t="shared" ca="1" si="380"/>
        <v>1326.5543745658972</v>
      </c>
      <c r="CM205" s="85">
        <f t="shared" ca="1" si="381"/>
        <v>1617.2110690081377</v>
      </c>
      <c r="CN205" s="85">
        <f t="shared" ca="1" si="382"/>
        <v>1152.8979531992459</v>
      </c>
      <c r="CO205" s="85">
        <f t="shared" ca="1" si="383"/>
        <v>1325.7027657842673</v>
      </c>
      <c r="CP205" s="85">
        <f t="shared" ca="1" si="384"/>
        <v>1543.2455313467699</v>
      </c>
      <c r="CQ205" s="85">
        <f t="shared" ca="1" si="385"/>
        <v>1470.1272274495727</v>
      </c>
      <c r="CR205" s="85">
        <f t="shared" ca="1" si="386"/>
        <v>1535.5773961043319</v>
      </c>
      <c r="CS205" s="85">
        <f t="shared" ca="1" si="387"/>
        <v>1166.5707942475012</v>
      </c>
      <c r="CT205" s="85">
        <f t="shared" ca="1" si="388"/>
        <v>1292.1572775459636</v>
      </c>
      <c r="CU205" s="85">
        <f t="shared" ca="1" si="389"/>
        <v>1817.2814387388285</v>
      </c>
      <c r="CV205" s="85">
        <f t="shared" ca="1" si="390"/>
        <v>1320.2283361254365</v>
      </c>
      <c r="CW205" s="85">
        <f t="shared" ca="1" si="391"/>
        <v>1402.0900480149392</v>
      </c>
    </row>
    <row r="206" spans="1:101" x14ac:dyDescent="0.2">
      <c r="A206" s="115">
        <v>203</v>
      </c>
      <c r="B206" s="85">
        <f t="shared" ca="1" si="302"/>
        <v>1125.9141951585243</v>
      </c>
      <c r="C206" s="85">
        <f t="shared" ca="1" si="304"/>
        <v>1493.8665816712939</v>
      </c>
      <c r="D206" s="85">
        <f t="shared" ca="1" si="305"/>
        <v>1397.6059635759439</v>
      </c>
      <c r="E206" s="85">
        <f t="shared" ca="1" si="306"/>
        <v>1270.9571775667837</v>
      </c>
      <c r="F206" s="85">
        <f t="shared" ca="1" si="307"/>
        <v>1396.3644910213816</v>
      </c>
      <c r="G206" s="85">
        <f t="shared" ca="1" si="308"/>
        <v>1439.4426374261736</v>
      </c>
      <c r="H206" s="85">
        <f t="shared" ca="1" si="309"/>
        <v>1446.7102988302552</v>
      </c>
      <c r="I206" s="85">
        <f t="shared" ca="1" si="310"/>
        <v>1640.8347907095845</v>
      </c>
      <c r="J206" s="85">
        <f t="shared" ca="1" si="311"/>
        <v>1365.7155843997753</v>
      </c>
      <c r="K206" s="85">
        <f t="shared" ca="1" si="312"/>
        <v>1572.2450902963992</v>
      </c>
      <c r="L206" s="85">
        <f t="shared" ca="1" si="313"/>
        <v>1664.3278677709245</v>
      </c>
      <c r="M206" s="85">
        <f t="shared" ca="1" si="314"/>
        <v>1262.8179894543109</v>
      </c>
      <c r="N206" s="85">
        <f t="shared" ca="1" si="315"/>
        <v>1384.013968084829</v>
      </c>
      <c r="O206" s="85">
        <f t="shared" ca="1" si="316"/>
        <v>1445.32769226491</v>
      </c>
      <c r="P206" s="85">
        <f t="shared" ca="1" si="317"/>
        <v>1548.2266360518186</v>
      </c>
      <c r="Q206" s="85">
        <f t="shared" ca="1" si="318"/>
        <v>1519.0753445201167</v>
      </c>
      <c r="R206" s="85">
        <f t="shared" ca="1" si="319"/>
        <v>1309.1180322383545</v>
      </c>
      <c r="S206" s="85">
        <f t="shared" ca="1" si="320"/>
        <v>1467.0026220118871</v>
      </c>
      <c r="T206" s="85">
        <f t="shared" ca="1" si="321"/>
        <v>1440.3550242639351</v>
      </c>
      <c r="U206" s="85">
        <f t="shared" ca="1" si="322"/>
        <v>1341.8520433367635</v>
      </c>
      <c r="V206" s="85">
        <f t="shared" ca="1" si="323"/>
        <v>1640.5342934983696</v>
      </c>
      <c r="W206" s="85">
        <f t="shared" ca="1" si="324"/>
        <v>1321.5065590877252</v>
      </c>
      <c r="X206" s="85">
        <f t="shared" ca="1" si="325"/>
        <v>1519.5736884680277</v>
      </c>
      <c r="Y206" s="85">
        <f t="shared" ca="1" si="326"/>
        <v>1330.5226906582293</v>
      </c>
      <c r="Z206" s="85">
        <f t="shared" ca="1" si="327"/>
        <v>1471.0727116396272</v>
      </c>
      <c r="AA206" s="85">
        <f t="shared" ca="1" si="328"/>
        <v>1283.169962374958</v>
      </c>
      <c r="AB206" s="85">
        <f t="shared" ca="1" si="329"/>
        <v>1666.6279091314555</v>
      </c>
      <c r="AC206" s="85">
        <f t="shared" ca="1" si="330"/>
        <v>1500.8081352942734</v>
      </c>
      <c r="AD206" s="85">
        <f t="shared" ca="1" si="331"/>
        <v>1676.6890216160125</v>
      </c>
      <c r="AE206" s="85">
        <f t="shared" ca="1" si="332"/>
        <v>1842.9862248179954</v>
      </c>
      <c r="AF206" s="85">
        <f t="shared" ca="1" si="333"/>
        <v>1190.7927211207348</v>
      </c>
      <c r="AG206" s="85">
        <f t="shared" ca="1" si="334"/>
        <v>1653.4171498674464</v>
      </c>
      <c r="AH206" s="85">
        <f t="shared" ca="1" si="335"/>
        <v>1354.7709247828573</v>
      </c>
      <c r="AI206" s="85">
        <f t="shared" ca="1" si="336"/>
        <v>1587.4650430667616</v>
      </c>
      <c r="AJ206" s="85">
        <f t="shared" ca="1" si="337"/>
        <v>1680.6442191855135</v>
      </c>
      <c r="AK206" s="85">
        <f t="shared" ca="1" si="338"/>
        <v>1517.53796158354</v>
      </c>
      <c r="AL206" s="85">
        <f t="shared" ca="1" si="339"/>
        <v>1442.9885271095957</v>
      </c>
      <c r="AM206" s="85">
        <f t="shared" ca="1" si="340"/>
        <v>1412.0616843433879</v>
      </c>
      <c r="AN206" s="85">
        <f t="shared" ca="1" si="341"/>
        <v>1531.6474568376259</v>
      </c>
      <c r="AO206" s="85">
        <f t="shared" ca="1" si="342"/>
        <v>1854.3932294462925</v>
      </c>
      <c r="AP206" s="85">
        <f t="shared" ca="1" si="343"/>
        <v>1678.460475379937</v>
      </c>
      <c r="AQ206" s="85">
        <f t="shared" ca="1" si="344"/>
        <v>1323.9795977970041</v>
      </c>
      <c r="AR206" s="85">
        <f t="shared" ca="1" si="345"/>
        <v>1524.284976615744</v>
      </c>
      <c r="AS206" s="85">
        <f t="shared" ca="1" si="346"/>
        <v>1417.5854908368212</v>
      </c>
      <c r="AT206" s="85">
        <f t="shared" ca="1" si="347"/>
        <v>1445.4908478898572</v>
      </c>
      <c r="AU206" s="85">
        <f t="shared" ca="1" si="348"/>
        <v>1481.2208262404315</v>
      </c>
      <c r="AV206" s="85">
        <f t="shared" ca="1" si="349"/>
        <v>1534.0081851457683</v>
      </c>
      <c r="AW206" s="85">
        <f t="shared" ca="1" si="350"/>
        <v>1494.8256189939298</v>
      </c>
      <c r="AX206" s="85">
        <f t="shared" ca="1" si="351"/>
        <v>1789.5697525654041</v>
      </c>
      <c r="AY206" s="85">
        <f t="shared" ca="1" si="352"/>
        <v>1657.4371793951616</v>
      </c>
      <c r="AZ206" s="85">
        <f t="shared" ca="1" si="353"/>
        <v>1615.1532297021913</v>
      </c>
      <c r="BA206" s="85">
        <f t="shared" ca="1" si="354"/>
        <v>1700.0126711391667</v>
      </c>
      <c r="BB206" s="85">
        <f t="shared" ca="1" si="355"/>
        <v>1351.6344439759296</v>
      </c>
      <c r="BC206" s="85">
        <f t="shared" ca="1" si="356"/>
        <v>1654.4857997614515</v>
      </c>
      <c r="BD206" s="85">
        <f t="shared" ca="1" si="357"/>
        <v>1505.8348166680198</v>
      </c>
      <c r="BE206" s="85">
        <f t="shared" ca="1" si="358"/>
        <v>1344.1042456768585</v>
      </c>
      <c r="BF206" s="85">
        <f t="shared" ca="1" si="359"/>
        <v>1310.0241785057826</v>
      </c>
      <c r="BG206" s="85">
        <f t="shared" ca="1" si="360"/>
        <v>1273.3965963351498</v>
      </c>
      <c r="BH206" s="85">
        <f t="shared" ca="1" si="361"/>
        <v>1572.8074711322761</v>
      </c>
      <c r="BI206" s="85">
        <f t="shared" ca="1" si="362"/>
        <v>1317.6004285556414</v>
      </c>
      <c r="BJ206" s="85">
        <f t="shared" ca="1" si="363"/>
        <v>1504.5465513354879</v>
      </c>
      <c r="BK206" s="85">
        <f t="shared" ca="1" si="364"/>
        <v>1430.2560423421419</v>
      </c>
      <c r="BL206" s="85">
        <f t="shared" ca="1" si="365"/>
        <v>1330.161345117041</v>
      </c>
      <c r="BM206" s="85">
        <f t="shared" ca="1" si="366"/>
        <v>1432.8860367700133</v>
      </c>
      <c r="BN206" s="85">
        <f t="shared" ca="1" si="303"/>
        <v>1514.6767341351572</v>
      </c>
      <c r="BO206" s="85">
        <f t="shared" ca="1" si="392"/>
        <v>1800.8069605218211</v>
      </c>
      <c r="BP206" s="85">
        <f t="shared" ca="1" si="393"/>
        <v>1427.8160638337672</v>
      </c>
      <c r="BQ206" s="85">
        <f t="shared" ca="1" si="394"/>
        <v>1500.9248013642732</v>
      </c>
      <c r="BR206" s="85">
        <f t="shared" ca="1" si="395"/>
        <v>1297.4747402786827</v>
      </c>
      <c r="BS206" s="85">
        <f t="shared" ca="1" si="396"/>
        <v>1508.2910807927899</v>
      </c>
      <c r="BT206" s="85">
        <f t="shared" ca="1" si="397"/>
        <v>1733.4664638347074</v>
      </c>
      <c r="BU206" s="85">
        <f t="shared" ca="1" si="398"/>
        <v>1357.669983017413</v>
      </c>
      <c r="BV206" s="85">
        <f t="shared" ca="1" si="399"/>
        <v>1425.8990212902409</v>
      </c>
      <c r="BW206" s="85">
        <f t="shared" ca="1" si="400"/>
        <v>1602.9534535262001</v>
      </c>
      <c r="BX206" s="85">
        <f t="shared" ca="1" si="401"/>
        <v>1557.0781764573699</v>
      </c>
      <c r="BY206" s="85">
        <f t="shared" ca="1" si="367"/>
        <v>1362.0343330100611</v>
      </c>
      <c r="BZ206" s="85">
        <f t="shared" ca="1" si="368"/>
        <v>1400.9746219633373</v>
      </c>
      <c r="CA206" s="85">
        <f t="shared" ca="1" si="369"/>
        <v>1436.3754646451061</v>
      </c>
      <c r="CB206" s="85">
        <f t="shared" ca="1" si="370"/>
        <v>1306.352174720693</v>
      </c>
      <c r="CC206" s="85">
        <f t="shared" ca="1" si="371"/>
        <v>1572.5174797319928</v>
      </c>
      <c r="CD206" s="85">
        <f t="shared" ca="1" si="372"/>
        <v>1673.4400058708904</v>
      </c>
      <c r="CE206" s="85">
        <f t="shared" ca="1" si="373"/>
        <v>1416.3107715233211</v>
      </c>
      <c r="CF206" s="85">
        <f t="shared" ca="1" si="374"/>
        <v>1632.7974665855313</v>
      </c>
      <c r="CG206" s="85">
        <f t="shared" ca="1" si="375"/>
        <v>1217.9406422104437</v>
      </c>
      <c r="CH206" s="85">
        <f t="shared" ca="1" si="376"/>
        <v>1512.7280937062701</v>
      </c>
      <c r="CI206" s="85">
        <f t="shared" ca="1" si="377"/>
        <v>1324.4017513808099</v>
      </c>
      <c r="CJ206" s="85">
        <f t="shared" ca="1" si="378"/>
        <v>1340.379101432108</v>
      </c>
      <c r="CK206" s="85">
        <f t="shared" ca="1" si="379"/>
        <v>1428.2144639726414</v>
      </c>
      <c r="CL206" s="85">
        <f t="shared" ca="1" si="380"/>
        <v>1334.1971720554955</v>
      </c>
      <c r="CM206" s="85">
        <f t="shared" ca="1" si="381"/>
        <v>1649.3160996292002</v>
      </c>
      <c r="CN206" s="85">
        <f t="shared" ca="1" si="382"/>
        <v>1167.2887979716345</v>
      </c>
      <c r="CO206" s="85">
        <f t="shared" ca="1" si="383"/>
        <v>1345.5251335808773</v>
      </c>
      <c r="CP206" s="85">
        <f t="shared" ca="1" si="384"/>
        <v>1555.3733715821593</v>
      </c>
      <c r="CQ206" s="85">
        <f t="shared" ca="1" si="385"/>
        <v>1481.4572290015133</v>
      </c>
      <c r="CR206" s="85">
        <f t="shared" ca="1" si="386"/>
        <v>1560.4413848525917</v>
      </c>
      <c r="CS206" s="85">
        <f t="shared" ca="1" si="387"/>
        <v>1182.1299761556536</v>
      </c>
      <c r="CT206" s="85">
        <f t="shared" ca="1" si="388"/>
        <v>1309.4848186860061</v>
      </c>
      <c r="CU206" s="85">
        <f t="shared" ca="1" si="389"/>
        <v>1834.546346643453</v>
      </c>
      <c r="CV206" s="85">
        <f t="shared" ca="1" si="390"/>
        <v>1340.6476938201138</v>
      </c>
      <c r="CW206" s="85">
        <f t="shared" ca="1" si="391"/>
        <v>1418.9490831324501</v>
      </c>
    </row>
    <row r="207" spans="1:101" x14ac:dyDescent="0.2">
      <c r="A207" s="115">
        <v>204</v>
      </c>
      <c r="B207" s="85">
        <f t="shared" ca="1" si="302"/>
        <v>1141.3725103870456</v>
      </c>
      <c r="C207" s="85">
        <f t="shared" ca="1" si="304"/>
        <v>1522.272260212211</v>
      </c>
      <c r="D207" s="85">
        <f t="shared" ca="1" si="305"/>
        <v>1415.1081578187138</v>
      </c>
      <c r="E207" s="85">
        <f t="shared" ca="1" si="306"/>
        <v>1297.7799360017896</v>
      </c>
      <c r="F207" s="85">
        <f t="shared" ca="1" si="307"/>
        <v>1402.3894165996917</v>
      </c>
      <c r="G207" s="85">
        <f t="shared" ca="1" si="308"/>
        <v>1452.9697048035648</v>
      </c>
      <c r="H207" s="85">
        <f t="shared" ca="1" si="309"/>
        <v>1440.3287235935943</v>
      </c>
      <c r="I207" s="85">
        <f t="shared" ca="1" si="310"/>
        <v>1641.064453878161</v>
      </c>
      <c r="J207" s="85">
        <f t="shared" ca="1" si="311"/>
        <v>1373.2370287471076</v>
      </c>
      <c r="K207" s="85">
        <f t="shared" ca="1" si="312"/>
        <v>1592.7886861861323</v>
      </c>
      <c r="L207" s="85">
        <f t="shared" ca="1" si="313"/>
        <v>1684.9410994422294</v>
      </c>
      <c r="M207" s="85">
        <f t="shared" ca="1" si="314"/>
        <v>1271.8242800775129</v>
      </c>
      <c r="N207" s="85">
        <f t="shared" ca="1" si="315"/>
        <v>1396.4305329692231</v>
      </c>
      <c r="O207" s="85">
        <f t="shared" ca="1" si="316"/>
        <v>1460.8992229550604</v>
      </c>
      <c r="P207" s="85">
        <f t="shared" ca="1" si="317"/>
        <v>1580.5870213800035</v>
      </c>
      <c r="Q207" s="85">
        <f t="shared" ca="1" si="318"/>
        <v>1547.6621110030628</v>
      </c>
      <c r="R207" s="85">
        <f t="shared" ca="1" si="319"/>
        <v>1325.6794739195848</v>
      </c>
      <c r="S207" s="85">
        <f t="shared" ca="1" si="320"/>
        <v>1487.6807468177869</v>
      </c>
      <c r="T207" s="85">
        <f t="shared" ca="1" si="321"/>
        <v>1468.1940844528456</v>
      </c>
      <c r="U207" s="85">
        <f t="shared" ca="1" si="322"/>
        <v>1352.5769802902344</v>
      </c>
      <c r="V207" s="85">
        <f t="shared" ca="1" si="323"/>
        <v>1680.3215955730172</v>
      </c>
      <c r="W207" s="85">
        <f t="shared" ca="1" si="324"/>
        <v>1337.5143528632852</v>
      </c>
      <c r="X207" s="85">
        <f t="shared" ca="1" si="325"/>
        <v>1538.5203253235436</v>
      </c>
      <c r="Y207" s="85">
        <f t="shared" ca="1" si="326"/>
        <v>1350.7832017194539</v>
      </c>
      <c r="Z207" s="85">
        <f t="shared" ca="1" si="327"/>
        <v>1488.8993395322605</v>
      </c>
      <c r="AA207" s="85">
        <f t="shared" ca="1" si="328"/>
        <v>1304.6114835865196</v>
      </c>
      <c r="AB207" s="85">
        <f t="shared" ca="1" si="329"/>
        <v>1704.2824985281168</v>
      </c>
      <c r="AC207" s="85">
        <f t="shared" ca="1" si="330"/>
        <v>1527.3041941213746</v>
      </c>
      <c r="AD207" s="85">
        <f t="shared" ca="1" si="331"/>
        <v>1689.6807564484213</v>
      </c>
      <c r="AE207" s="85">
        <f t="shared" ca="1" si="332"/>
        <v>1855.0168117722164</v>
      </c>
      <c r="AF207" s="85">
        <f t="shared" ca="1" si="333"/>
        <v>1203.176895972907</v>
      </c>
      <c r="AG207" s="85">
        <f t="shared" ca="1" si="334"/>
        <v>1665.090716803596</v>
      </c>
      <c r="AH207" s="85">
        <f t="shared" ca="1" si="335"/>
        <v>1373.6521041863471</v>
      </c>
      <c r="AI207" s="85">
        <f t="shared" ca="1" si="336"/>
        <v>1591.3119583711091</v>
      </c>
      <c r="AJ207" s="85">
        <f t="shared" ca="1" si="337"/>
        <v>1700.9946008930108</v>
      </c>
      <c r="AK207" s="85">
        <f t="shared" ca="1" si="338"/>
        <v>1523.1442485885254</v>
      </c>
      <c r="AL207" s="85">
        <f t="shared" ca="1" si="339"/>
        <v>1450.430673264814</v>
      </c>
      <c r="AM207" s="85">
        <f t="shared" ca="1" si="340"/>
        <v>1413.2196925179721</v>
      </c>
      <c r="AN207" s="85">
        <f t="shared" ca="1" si="341"/>
        <v>1547.7709993259853</v>
      </c>
      <c r="AO207" s="85">
        <f t="shared" ca="1" si="342"/>
        <v>1878.6182769057039</v>
      </c>
      <c r="AP207" s="85">
        <f t="shared" ca="1" si="343"/>
        <v>1695.3939273898529</v>
      </c>
      <c r="AQ207" s="85">
        <f t="shared" ca="1" si="344"/>
        <v>1353.6298657906884</v>
      </c>
      <c r="AR207" s="85">
        <f t="shared" ca="1" si="345"/>
        <v>1551.0087961865381</v>
      </c>
      <c r="AS207" s="85">
        <f t="shared" ca="1" si="346"/>
        <v>1433.6168868085506</v>
      </c>
      <c r="AT207" s="85">
        <f t="shared" ca="1" si="347"/>
        <v>1470.0220975217082</v>
      </c>
      <c r="AU207" s="85">
        <f t="shared" ca="1" si="348"/>
        <v>1494.7569854820156</v>
      </c>
      <c r="AV207" s="85">
        <f t="shared" ca="1" si="349"/>
        <v>1567.3380069925629</v>
      </c>
      <c r="AW207" s="85">
        <f t="shared" ca="1" si="350"/>
        <v>1523.1637464705179</v>
      </c>
      <c r="AX207" s="85">
        <f t="shared" ca="1" si="351"/>
        <v>1811.5147616364704</v>
      </c>
      <c r="AY207" s="85">
        <f t="shared" ca="1" si="352"/>
        <v>1667.6636620415002</v>
      </c>
      <c r="AZ207" s="85">
        <f t="shared" ca="1" si="353"/>
        <v>1639.0657354778796</v>
      </c>
      <c r="BA207" s="85">
        <f t="shared" ca="1" si="354"/>
        <v>1740.7748341157405</v>
      </c>
      <c r="BB207" s="85">
        <f t="shared" ca="1" si="355"/>
        <v>1374.3473515270866</v>
      </c>
      <c r="BC207" s="85">
        <f t="shared" ca="1" si="356"/>
        <v>1678.1398125266858</v>
      </c>
      <c r="BD207" s="85">
        <f t="shared" ca="1" si="357"/>
        <v>1527.1179694273123</v>
      </c>
      <c r="BE207" s="85">
        <f t="shared" ca="1" si="358"/>
        <v>1370.0546004409189</v>
      </c>
      <c r="BF207" s="85">
        <f t="shared" ca="1" si="359"/>
        <v>1311.9414817951872</v>
      </c>
      <c r="BG207" s="85">
        <f t="shared" ca="1" si="360"/>
        <v>1291.4399120138924</v>
      </c>
      <c r="BH207" s="85">
        <f t="shared" ca="1" si="361"/>
        <v>1604.1135294768978</v>
      </c>
      <c r="BI207" s="85">
        <f t="shared" ca="1" si="362"/>
        <v>1340.3301007426735</v>
      </c>
      <c r="BJ207" s="85">
        <f t="shared" ca="1" si="363"/>
        <v>1539.0368188990315</v>
      </c>
      <c r="BK207" s="85">
        <f t="shared" ca="1" si="364"/>
        <v>1444.4540811079928</v>
      </c>
      <c r="BL207" s="85">
        <f t="shared" ca="1" si="365"/>
        <v>1340.0982354335563</v>
      </c>
      <c r="BM207" s="85">
        <f t="shared" ca="1" si="366"/>
        <v>1453.7028692534784</v>
      </c>
      <c r="BN207" s="85">
        <f t="shared" ca="1" si="303"/>
        <v>1539.0495119231391</v>
      </c>
      <c r="BO207" s="85">
        <f t="shared" ca="1" si="392"/>
        <v>1823.5455857255331</v>
      </c>
      <c r="BP207" s="85">
        <f t="shared" ca="1" si="393"/>
        <v>1420.1791994170792</v>
      </c>
      <c r="BQ207" s="85">
        <f t="shared" ca="1" si="394"/>
        <v>1514.3087945073978</v>
      </c>
      <c r="BR207" s="85">
        <f t="shared" ca="1" si="395"/>
        <v>1298.7931714105521</v>
      </c>
      <c r="BS207" s="85">
        <f t="shared" ca="1" si="396"/>
        <v>1533.7587913772097</v>
      </c>
      <c r="BT207" s="85">
        <f t="shared" ca="1" si="397"/>
        <v>1762.4371112658471</v>
      </c>
      <c r="BU207" s="85">
        <f t="shared" ca="1" si="398"/>
        <v>1383.5551250661897</v>
      </c>
      <c r="BV207" s="85">
        <f t="shared" ca="1" si="399"/>
        <v>1434.3996120500829</v>
      </c>
      <c r="BW207" s="85">
        <f t="shared" ca="1" si="400"/>
        <v>1629.4288267342363</v>
      </c>
      <c r="BX207" s="85">
        <f t="shared" ca="1" si="401"/>
        <v>1595.8019852925413</v>
      </c>
      <c r="BY207" s="85">
        <f t="shared" ca="1" si="367"/>
        <v>1392.3811322970048</v>
      </c>
      <c r="BZ207" s="85">
        <f t="shared" ca="1" si="368"/>
        <v>1420.4301719683442</v>
      </c>
      <c r="CA207" s="85">
        <f t="shared" ca="1" si="369"/>
        <v>1451.1663029798572</v>
      </c>
      <c r="CB207" s="85">
        <f t="shared" ca="1" si="370"/>
        <v>1317.377475699451</v>
      </c>
      <c r="CC207" s="85">
        <f t="shared" ca="1" si="371"/>
        <v>1601.7783104957666</v>
      </c>
      <c r="CD207" s="85">
        <f t="shared" ca="1" si="372"/>
        <v>1689.4163477535983</v>
      </c>
      <c r="CE207" s="85">
        <f t="shared" ca="1" si="373"/>
        <v>1425.4949414783275</v>
      </c>
      <c r="CF207" s="85">
        <f t="shared" ca="1" si="374"/>
        <v>1666.7928154301887</v>
      </c>
      <c r="CG207" s="85">
        <f t="shared" ca="1" si="375"/>
        <v>1221.5297420993227</v>
      </c>
      <c r="CH207" s="85">
        <f t="shared" ca="1" si="376"/>
        <v>1523.4449495796307</v>
      </c>
      <c r="CI207" s="85">
        <f t="shared" ca="1" si="377"/>
        <v>1347.5212105316371</v>
      </c>
      <c r="CJ207" s="85">
        <f t="shared" ca="1" si="378"/>
        <v>1355.7994597868094</v>
      </c>
      <c r="CK207" s="85">
        <f t="shared" ca="1" si="379"/>
        <v>1455.4800740628352</v>
      </c>
      <c r="CL207" s="85">
        <f t="shared" ca="1" si="380"/>
        <v>1346.4478816694464</v>
      </c>
      <c r="CM207" s="85">
        <f t="shared" ca="1" si="381"/>
        <v>1684.0692855977375</v>
      </c>
      <c r="CN207" s="85">
        <f t="shared" ca="1" si="382"/>
        <v>1202.6563542911922</v>
      </c>
      <c r="CO207" s="85">
        <f t="shared" ca="1" si="383"/>
        <v>1370.6791091413045</v>
      </c>
      <c r="CP207" s="85">
        <f t="shared" ca="1" si="384"/>
        <v>1559.1214472906147</v>
      </c>
      <c r="CQ207" s="85">
        <f t="shared" ca="1" si="385"/>
        <v>1491.1747291023892</v>
      </c>
      <c r="CR207" s="85">
        <f t="shared" ca="1" si="386"/>
        <v>1577.4144949280544</v>
      </c>
      <c r="CS207" s="85">
        <f t="shared" ca="1" si="387"/>
        <v>1203.1612566200781</v>
      </c>
      <c r="CT207" s="85">
        <f t="shared" ca="1" si="388"/>
        <v>1332.1617595793143</v>
      </c>
      <c r="CU207" s="85">
        <f t="shared" ca="1" si="389"/>
        <v>1858.834220800529</v>
      </c>
      <c r="CV207" s="85">
        <f t="shared" ca="1" si="390"/>
        <v>1353.6100955927743</v>
      </c>
      <c r="CW207" s="85">
        <f t="shared" ca="1" si="391"/>
        <v>1439.2801119154592</v>
      </c>
    </row>
    <row r="208" spans="1:101" x14ac:dyDescent="0.2">
      <c r="A208" s="115">
        <v>205</v>
      </c>
      <c r="B208" s="85">
        <f t="shared" ca="1" si="302"/>
        <v>1165.8285467543783</v>
      </c>
      <c r="C208" s="85">
        <f t="shared" ca="1" si="304"/>
        <v>1551.8557390663707</v>
      </c>
      <c r="D208" s="85">
        <f t="shared" ca="1" si="305"/>
        <v>1433.0113453025217</v>
      </c>
      <c r="E208" s="85">
        <f t="shared" ca="1" si="306"/>
        <v>1300.5530541005189</v>
      </c>
      <c r="F208" s="85">
        <f t="shared" ca="1" si="307"/>
        <v>1411.6490921564471</v>
      </c>
      <c r="G208" s="85">
        <f t="shared" ca="1" si="308"/>
        <v>1478.5733876055281</v>
      </c>
      <c r="H208" s="85">
        <f t="shared" ca="1" si="309"/>
        <v>1450.0288026638977</v>
      </c>
      <c r="I208" s="85">
        <f t="shared" ca="1" si="310"/>
        <v>1669.1583799900116</v>
      </c>
      <c r="J208" s="85">
        <f t="shared" ca="1" si="311"/>
        <v>1398.2086225307746</v>
      </c>
      <c r="K208" s="85">
        <f t="shared" ca="1" si="312"/>
        <v>1605.6789552555017</v>
      </c>
      <c r="L208" s="85">
        <f t="shared" ca="1" si="313"/>
        <v>1707.9916655581353</v>
      </c>
      <c r="M208" s="85">
        <f t="shared" ca="1" si="314"/>
        <v>1298.7453114781188</v>
      </c>
      <c r="N208" s="85">
        <f t="shared" ca="1" si="315"/>
        <v>1426.3206980113105</v>
      </c>
      <c r="O208" s="85">
        <f t="shared" ca="1" si="316"/>
        <v>1468.0064453482075</v>
      </c>
      <c r="P208" s="85">
        <f t="shared" ca="1" si="317"/>
        <v>1598.6635252891156</v>
      </c>
      <c r="Q208" s="85">
        <f t="shared" ca="1" si="318"/>
        <v>1561.2567314945049</v>
      </c>
      <c r="R208" s="85">
        <f t="shared" ca="1" si="319"/>
        <v>1350.5901115639094</v>
      </c>
      <c r="S208" s="85">
        <f t="shared" ca="1" si="320"/>
        <v>1511.2525887311829</v>
      </c>
      <c r="T208" s="85">
        <f t="shared" ca="1" si="321"/>
        <v>1490.0539492950209</v>
      </c>
      <c r="U208" s="85">
        <f t="shared" ca="1" si="322"/>
        <v>1366.703636325766</v>
      </c>
      <c r="V208" s="85">
        <f t="shared" ca="1" si="323"/>
        <v>1713.3979306379165</v>
      </c>
      <c r="W208" s="85">
        <f t="shared" ca="1" si="324"/>
        <v>1362.3134382985183</v>
      </c>
      <c r="X208" s="85">
        <f t="shared" ca="1" si="325"/>
        <v>1545.3450093907236</v>
      </c>
      <c r="Y208" s="85">
        <f t="shared" ca="1" si="326"/>
        <v>1364.5636553909167</v>
      </c>
      <c r="Z208" s="85">
        <f t="shared" ca="1" si="327"/>
        <v>1495.8262548196237</v>
      </c>
      <c r="AA208" s="85">
        <f t="shared" ca="1" si="328"/>
        <v>1321.9071680958914</v>
      </c>
      <c r="AB208" s="85">
        <f t="shared" ca="1" si="329"/>
        <v>1716.0463222085039</v>
      </c>
      <c r="AC208" s="85">
        <f t="shared" ca="1" si="330"/>
        <v>1558.5798663790804</v>
      </c>
      <c r="AD208" s="85">
        <f t="shared" ca="1" si="331"/>
        <v>1692.089280365378</v>
      </c>
      <c r="AE208" s="85">
        <f t="shared" ca="1" si="332"/>
        <v>1870.1972191663278</v>
      </c>
      <c r="AF208" s="85">
        <f t="shared" ca="1" si="333"/>
        <v>1226.4428858678275</v>
      </c>
      <c r="AG208" s="85">
        <f t="shared" ca="1" si="334"/>
        <v>1711.7579013094244</v>
      </c>
      <c r="AH208" s="85">
        <f t="shared" ca="1" si="335"/>
        <v>1394.808483790345</v>
      </c>
      <c r="AI208" s="85">
        <f t="shared" ca="1" si="336"/>
        <v>1613.5383984786627</v>
      </c>
      <c r="AJ208" s="85">
        <f t="shared" ca="1" si="337"/>
        <v>1745.1351197758299</v>
      </c>
      <c r="AK208" s="85">
        <f t="shared" ca="1" si="338"/>
        <v>1528.4808672481599</v>
      </c>
      <c r="AL208" s="85">
        <f t="shared" ca="1" si="339"/>
        <v>1480.6409824658069</v>
      </c>
      <c r="AM208" s="85">
        <f t="shared" ca="1" si="340"/>
        <v>1437.6572048736953</v>
      </c>
      <c r="AN208" s="85">
        <f t="shared" ca="1" si="341"/>
        <v>1564.5321806128686</v>
      </c>
      <c r="AO208" s="85">
        <f t="shared" ca="1" si="342"/>
        <v>1913.2512250582201</v>
      </c>
      <c r="AP208" s="85">
        <f t="shared" ca="1" si="343"/>
        <v>1713.373250545666</v>
      </c>
      <c r="AQ208" s="85">
        <f t="shared" ca="1" si="344"/>
        <v>1359.9226146854096</v>
      </c>
      <c r="AR208" s="85">
        <f t="shared" ca="1" si="345"/>
        <v>1578.6566825213522</v>
      </c>
      <c r="AS208" s="85">
        <f t="shared" ca="1" si="346"/>
        <v>1426.2244457397167</v>
      </c>
      <c r="AT208" s="85">
        <f t="shared" ca="1" si="347"/>
        <v>1506.7425870553038</v>
      </c>
      <c r="AU208" s="85">
        <f t="shared" ca="1" si="348"/>
        <v>1507.846599664018</v>
      </c>
      <c r="AV208" s="85">
        <f t="shared" ca="1" si="349"/>
        <v>1585.1360125065935</v>
      </c>
      <c r="AW208" s="85">
        <f t="shared" ca="1" si="350"/>
        <v>1542.989996560565</v>
      </c>
      <c r="AX208" s="85">
        <f t="shared" ca="1" si="351"/>
        <v>1823.912079360764</v>
      </c>
      <c r="AY208" s="85">
        <f t="shared" ca="1" si="352"/>
        <v>1699.0697076875911</v>
      </c>
      <c r="AZ208" s="85">
        <f t="shared" ca="1" si="353"/>
        <v>1662.1263237020373</v>
      </c>
      <c r="BA208" s="85">
        <f t="shared" ca="1" si="354"/>
        <v>1756.3612002025466</v>
      </c>
      <c r="BB208" s="85">
        <f t="shared" ca="1" si="355"/>
        <v>1398.1270884706328</v>
      </c>
      <c r="BC208" s="85">
        <f t="shared" ca="1" si="356"/>
        <v>1686.2741204240483</v>
      </c>
      <c r="BD208" s="85">
        <f t="shared" ca="1" si="357"/>
        <v>1550.033075027615</v>
      </c>
      <c r="BE208" s="85">
        <f t="shared" ca="1" si="358"/>
        <v>1395.8736408537784</v>
      </c>
      <c r="BF208" s="85">
        <f t="shared" ca="1" si="359"/>
        <v>1335.6530135413202</v>
      </c>
      <c r="BG208" s="85">
        <f t="shared" ca="1" si="360"/>
        <v>1311.5471598696986</v>
      </c>
      <c r="BH208" s="85">
        <f t="shared" ca="1" si="361"/>
        <v>1639.6580889176612</v>
      </c>
      <c r="BI208" s="85">
        <f t="shared" ca="1" si="362"/>
        <v>1360.8539533121723</v>
      </c>
      <c r="BJ208" s="85">
        <f t="shared" ca="1" si="363"/>
        <v>1555.7030646555129</v>
      </c>
      <c r="BK208" s="85">
        <f t="shared" ca="1" si="364"/>
        <v>1462.6545557831585</v>
      </c>
      <c r="BL208" s="85">
        <f t="shared" ca="1" si="365"/>
        <v>1357.9128201738135</v>
      </c>
      <c r="BM208" s="85">
        <f t="shared" ca="1" si="366"/>
        <v>1458.4115359804121</v>
      </c>
      <c r="BN208" s="85">
        <f t="shared" ca="1" si="303"/>
        <v>1568.6019061168286</v>
      </c>
      <c r="BO208" s="85">
        <f t="shared" ca="1" si="392"/>
        <v>1845.7910085868743</v>
      </c>
      <c r="BP208" s="85">
        <f t="shared" ca="1" si="393"/>
        <v>1431.6499809431721</v>
      </c>
      <c r="BQ208" s="85">
        <f t="shared" ca="1" si="394"/>
        <v>1537.3482535681505</v>
      </c>
      <c r="BR208" s="85">
        <f t="shared" ca="1" si="395"/>
        <v>1316.5654229035895</v>
      </c>
      <c r="BS208" s="85">
        <f t="shared" ca="1" si="396"/>
        <v>1561.6799438934563</v>
      </c>
      <c r="BT208" s="85">
        <f t="shared" ca="1" si="397"/>
        <v>1774.596310216393</v>
      </c>
      <c r="BU208" s="85">
        <f t="shared" ca="1" si="398"/>
        <v>1395.0078613305257</v>
      </c>
      <c r="BV208" s="85">
        <f t="shared" ca="1" si="399"/>
        <v>1455.4819078599255</v>
      </c>
      <c r="BW208" s="85">
        <f t="shared" ca="1" si="400"/>
        <v>1658.6807179777516</v>
      </c>
      <c r="BX208" s="85">
        <f t="shared" ca="1" si="401"/>
        <v>1602.2781575893525</v>
      </c>
      <c r="BY208" s="85">
        <f t="shared" ca="1" si="367"/>
        <v>1398.5749774069602</v>
      </c>
      <c r="BZ208" s="85">
        <f t="shared" ca="1" si="368"/>
        <v>1436.2410125307135</v>
      </c>
      <c r="CA208" s="85">
        <f t="shared" ca="1" si="369"/>
        <v>1481.6642614939105</v>
      </c>
      <c r="CB208" s="85">
        <f t="shared" ca="1" si="370"/>
        <v>1356.2123534023319</v>
      </c>
      <c r="CC208" s="85">
        <f t="shared" ca="1" si="371"/>
        <v>1632.5627039748194</v>
      </c>
      <c r="CD208" s="85">
        <f t="shared" ca="1" si="372"/>
        <v>1717.8014787354546</v>
      </c>
      <c r="CE208" s="85">
        <f t="shared" ca="1" si="373"/>
        <v>1438.4379496248655</v>
      </c>
      <c r="CF208" s="85">
        <f t="shared" ca="1" si="374"/>
        <v>1685.5030561171216</v>
      </c>
      <c r="CG208" s="85">
        <f t="shared" ca="1" si="375"/>
        <v>1236.7150340157159</v>
      </c>
      <c r="CH208" s="85">
        <f t="shared" ca="1" si="376"/>
        <v>1540.6680470478568</v>
      </c>
      <c r="CI208" s="85">
        <f t="shared" ca="1" si="377"/>
        <v>1356.8152090698486</v>
      </c>
      <c r="CJ208" s="85">
        <f t="shared" ca="1" si="378"/>
        <v>1371.7022510058991</v>
      </c>
      <c r="CK208" s="85">
        <f t="shared" ca="1" si="379"/>
        <v>1473.2747110140581</v>
      </c>
      <c r="CL208" s="85">
        <f t="shared" ca="1" si="380"/>
        <v>1379.1690185197529</v>
      </c>
      <c r="CM208" s="85">
        <f t="shared" ca="1" si="381"/>
        <v>1698.7599208322729</v>
      </c>
      <c r="CN208" s="85">
        <f t="shared" ca="1" si="382"/>
        <v>1212.3189189894986</v>
      </c>
      <c r="CO208" s="85">
        <f t="shared" ca="1" si="383"/>
        <v>1382.8260578248207</v>
      </c>
      <c r="CP208" s="85">
        <f t="shared" ca="1" si="384"/>
        <v>1587.8934097156985</v>
      </c>
      <c r="CQ208" s="85">
        <f t="shared" ca="1" si="385"/>
        <v>1517.3418305122823</v>
      </c>
      <c r="CR208" s="85">
        <f t="shared" ca="1" si="386"/>
        <v>1596.4775263675281</v>
      </c>
      <c r="CS208" s="85">
        <f t="shared" ca="1" si="387"/>
        <v>1219.9197646439845</v>
      </c>
      <c r="CT208" s="85">
        <f t="shared" ca="1" si="388"/>
        <v>1346.8719213924103</v>
      </c>
      <c r="CU208" s="85">
        <f t="shared" ca="1" si="389"/>
        <v>1892.2928053802502</v>
      </c>
      <c r="CV208" s="85">
        <f t="shared" ca="1" si="390"/>
        <v>1372.3754017099552</v>
      </c>
      <c r="CW208" s="85">
        <f t="shared" ca="1" si="391"/>
        <v>1449.9549100723489</v>
      </c>
    </row>
    <row r="209" spans="1:101" x14ac:dyDescent="0.2">
      <c r="A209" s="115">
        <v>206</v>
      </c>
      <c r="B209" s="85">
        <f t="shared" ca="1" si="302"/>
        <v>1187.100792900128</v>
      </c>
      <c r="C209" s="85">
        <f t="shared" ca="1" si="304"/>
        <v>1559.5609272639413</v>
      </c>
      <c r="D209" s="85">
        <f t="shared" ca="1" si="305"/>
        <v>1458.2935965218949</v>
      </c>
      <c r="E209" s="85">
        <f t="shared" ca="1" si="306"/>
        <v>1334.6418743335139</v>
      </c>
      <c r="F209" s="85">
        <f t="shared" ca="1" si="307"/>
        <v>1426.0714570029122</v>
      </c>
      <c r="G209" s="85">
        <f t="shared" ca="1" si="308"/>
        <v>1496.1800145038665</v>
      </c>
      <c r="H209" s="85">
        <f t="shared" ca="1" si="309"/>
        <v>1487.6935466993191</v>
      </c>
      <c r="I209" s="85">
        <f t="shared" ca="1" si="310"/>
        <v>1672.1321235214768</v>
      </c>
      <c r="J209" s="85">
        <f t="shared" ca="1" si="311"/>
        <v>1402.9117765146789</v>
      </c>
      <c r="K209" s="85">
        <f t="shared" ca="1" si="312"/>
        <v>1619.6563198120673</v>
      </c>
      <c r="L209" s="85">
        <f t="shared" ca="1" si="313"/>
        <v>1768.7478370266883</v>
      </c>
      <c r="M209" s="85">
        <f t="shared" ca="1" si="314"/>
        <v>1312.3540670292305</v>
      </c>
      <c r="N209" s="85">
        <f t="shared" ca="1" si="315"/>
        <v>1443.4294153428334</v>
      </c>
      <c r="O209" s="85">
        <f t="shared" ca="1" si="316"/>
        <v>1478.2872417966296</v>
      </c>
      <c r="P209" s="85">
        <f t="shared" ca="1" si="317"/>
        <v>1604.6723064757514</v>
      </c>
      <c r="Q209" s="85">
        <f t="shared" ca="1" si="318"/>
        <v>1580.2554132390426</v>
      </c>
      <c r="R209" s="85">
        <f t="shared" ca="1" si="319"/>
        <v>1364.1824225435955</v>
      </c>
      <c r="S209" s="85">
        <f t="shared" ca="1" si="320"/>
        <v>1539.2576493891791</v>
      </c>
      <c r="T209" s="85">
        <f t="shared" ca="1" si="321"/>
        <v>1509.1656236518863</v>
      </c>
      <c r="U209" s="85">
        <f t="shared" ca="1" si="322"/>
        <v>1384.70131815118</v>
      </c>
      <c r="V209" s="85">
        <f t="shared" ca="1" si="323"/>
        <v>1748.5656509641149</v>
      </c>
      <c r="W209" s="85">
        <f t="shared" ca="1" si="324"/>
        <v>1378.3663112501749</v>
      </c>
      <c r="X209" s="85">
        <f t="shared" ca="1" si="325"/>
        <v>1568.4277063054542</v>
      </c>
      <c r="Y209" s="85">
        <f t="shared" ca="1" si="326"/>
        <v>1382.1783183910243</v>
      </c>
      <c r="Z209" s="85">
        <f t="shared" ca="1" si="327"/>
        <v>1523.2220401825887</v>
      </c>
      <c r="AA209" s="85">
        <f t="shared" ca="1" si="328"/>
        <v>1335.4231337947324</v>
      </c>
      <c r="AB209" s="85">
        <f t="shared" ca="1" si="329"/>
        <v>1731.7282746976418</v>
      </c>
      <c r="AC209" s="85">
        <f t="shared" ca="1" si="330"/>
        <v>1575.8417227545644</v>
      </c>
      <c r="AD209" s="85">
        <f t="shared" ca="1" si="331"/>
        <v>1719.5735679714496</v>
      </c>
      <c r="AE209" s="85">
        <f t="shared" ca="1" si="332"/>
        <v>1892.9139928085092</v>
      </c>
      <c r="AF209" s="85">
        <f t="shared" ca="1" si="333"/>
        <v>1244.7809502056205</v>
      </c>
      <c r="AG209" s="85">
        <f t="shared" ca="1" si="334"/>
        <v>1728.2215185607047</v>
      </c>
      <c r="AH209" s="85">
        <f t="shared" ca="1" si="335"/>
        <v>1414.764363972256</v>
      </c>
      <c r="AI209" s="85">
        <f t="shared" ca="1" si="336"/>
        <v>1633.834470105731</v>
      </c>
      <c r="AJ209" s="85">
        <f t="shared" ca="1" si="337"/>
        <v>1763.1530555751237</v>
      </c>
      <c r="AK209" s="85">
        <f t="shared" ca="1" si="338"/>
        <v>1556.8625562824086</v>
      </c>
      <c r="AL209" s="85">
        <f t="shared" ca="1" si="339"/>
        <v>1510.6550810336344</v>
      </c>
      <c r="AM209" s="85">
        <f t="shared" ca="1" si="340"/>
        <v>1453.6697782882106</v>
      </c>
      <c r="AN209" s="85">
        <f t="shared" ca="1" si="341"/>
        <v>1576.8190071505912</v>
      </c>
      <c r="AO209" s="85">
        <f t="shared" ca="1" si="342"/>
        <v>1925.4906432245441</v>
      </c>
      <c r="AP209" s="85">
        <f t="shared" ca="1" si="343"/>
        <v>1730.7719838036714</v>
      </c>
      <c r="AQ209" s="85">
        <f t="shared" ca="1" si="344"/>
        <v>1382.5437249760394</v>
      </c>
      <c r="AR209" s="85">
        <f t="shared" ca="1" si="345"/>
        <v>1594.7701355069853</v>
      </c>
      <c r="AS209" s="85">
        <f t="shared" ca="1" si="346"/>
        <v>1447.0788588727016</v>
      </c>
      <c r="AT209" s="85">
        <f t="shared" ca="1" si="347"/>
        <v>1532.5175029985362</v>
      </c>
      <c r="AU209" s="85">
        <f t="shared" ca="1" si="348"/>
        <v>1533.0045791315285</v>
      </c>
      <c r="AV209" s="85">
        <f t="shared" ca="1" si="349"/>
        <v>1606.1549921346466</v>
      </c>
      <c r="AW209" s="85">
        <f t="shared" ca="1" si="350"/>
        <v>1543.4535667671337</v>
      </c>
      <c r="AX209" s="85">
        <f t="shared" ca="1" si="351"/>
        <v>1851.5468873627278</v>
      </c>
      <c r="AY209" s="85">
        <f t="shared" ca="1" si="352"/>
        <v>1754.8921065678037</v>
      </c>
      <c r="AZ209" s="85">
        <f t="shared" ca="1" si="353"/>
        <v>1689.9729347851437</v>
      </c>
      <c r="BA209" s="85">
        <f t="shared" ca="1" si="354"/>
        <v>1776.9587162451255</v>
      </c>
      <c r="BB209" s="85">
        <f t="shared" ca="1" si="355"/>
        <v>1421.4913938275095</v>
      </c>
      <c r="BC209" s="85">
        <f t="shared" ca="1" si="356"/>
        <v>1703.3720677227245</v>
      </c>
      <c r="BD209" s="85">
        <f t="shared" ca="1" si="357"/>
        <v>1581.9281702682317</v>
      </c>
      <c r="BE209" s="85">
        <f t="shared" ca="1" si="358"/>
        <v>1406.6200862304031</v>
      </c>
      <c r="BF209" s="85">
        <f t="shared" ca="1" si="359"/>
        <v>1345.4926965097834</v>
      </c>
      <c r="BG209" s="85">
        <f t="shared" ca="1" si="360"/>
        <v>1328.5996891468928</v>
      </c>
      <c r="BH209" s="85">
        <f t="shared" ca="1" si="361"/>
        <v>1659.2350426272603</v>
      </c>
      <c r="BI209" s="85">
        <f t="shared" ca="1" si="362"/>
        <v>1398.2521950672012</v>
      </c>
      <c r="BJ209" s="85">
        <f t="shared" ca="1" si="363"/>
        <v>1571.4872980435055</v>
      </c>
      <c r="BK209" s="85">
        <f t="shared" ca="1" si="364"/>
        <v>1474.3996532066928</v>
      </c>
      <c r="BL209" s="85">
        <f t="shared" ca="1" si="365"/>
        <v>1362.2069188367977</v>
      </c>
      <c r="BM209" s="85">
        <f t="shared" ca="1" si="366"/>
        <v>1477.1907704322516</v>
      </c>
      <c r="BN209" s="85">
        <f t="shared" ca="1" si="303"/>
        <v>1607.9259054830191</v>
      </c>
      <c r="BO209" s="85">
        <f t="shared" ca="1" si="392"/>
        <v>1875.5720235040183</v>
      </c>
      <c r="BP209" s="85">
        <f t="shared" ca="1" si="393"/>
        <v>1429.7593772803436</v>
      </c>
      <c r="BQ209" s="85">
        <f t="shared" ca="1" si="394"/>
        <v>1565.3424363344141</v>
      </c>
      <c r="BR209" s="85">
        <f t="shared" ca="1" si="395"/>
        <v>1334.6126894489466</v>
      </c>
      <c r="BS209" s="85">
        <f t="shared" ca="1" si="396"/>
        <v>1577.3465138923302</v>
      </c>
      <c r="BT209" s="85">
        <f t="shared" ca="1" si="397"/>
        <v>1799.2965864967794</v>
      </c>
      <c r="BU209" s="85">
        <f t="shared" ca="1" si="398"/>
        <v>1424.6723950172193</v>
      </c>
      <c r="BV209" s="85">
        <f t="shared" ca="1" si="399"/>
        <v>1472.3066339726213</v>
      </c>
      <c r="BW209" s="85">
        <f t="shared" ca="1" si="400"/>
        <v>1691.3667552822869</v>
      </c>
      <c r="BX209" s="85">
        <f t="shared" ca="1" si="401"/>
        <v>1616.8323377068427</v>
      </c>
      <c r="BY209" s="85">
        <f t="shared" ca="1" si="367"/>
        <v>1426.8905769629871</v>
      </c>
      <c r="BZ209" s="85">
        <f t="shared" ca="1" si="368"/>
        <v>1467.7467720808852</v>
      </c>
      <c r="CA209" s="85">
        <f t="shared" ca="1" si="369"/>
        <v>1504.7642210062056</v>
      </c>
      <c r="CB209" s="85">
        <f t="shared" ca="1" si="370"/>
        <v>1377.8262170631142</v>
      </c>
      <c r="CC209" s="85">
        <f t="shared" ca="1" si="371"/>
        <v>1644.2936067344808</v>
      </c>
      <c r="CD209" s="85">
        <f t="shared" ca="1" si="372"/>
        <v>1740.663596791557</v>
      </c>
      <c r="CE209" s="85">
        <f t="shared" ca="1" si="373"/>
        <v>1460.233608217668</v>
      </c>
      <c r="CF209" s="85">
        <f t="shared" ca="1" si="374"/>
        <v>1719.9476842129004</v>
      </c>
      <c r="CG209" s="85">
        <f t="shared" ca="1" si="375"/>
        <v>1251.1198871407685</v>
      </c>
      <c r="CH209" s="85">
        <f t="shared" ca="1" si="376"/>
        <v>1548.8007113096692</v>
      </c>
      <c r="CI209" s="85">
        <f t="shared" ca="1" si="377"/>
        <v>1381.4420129039122</v>
      </c>
      <c r="CJ209" s="85">
        <f t="shared" ca="1" si="378"/>
        <v>1385.050399365824</v>
      </c>
      <c r="CK209" s="85">
        <f t="shared" ca="1" si="379"/>
        <v>1506.3813667652462</v>
      </c>
      <c r="CL209" s="85">
        <f t="shared" ca="1" si="380"/>
        <v>1379.3096571933197</v>
      </c>
      <c r="CM209" s="85">
        <f t="shared" ca="1" si="381"/>
        <v>1718.6175354553695</v>
      </c>
      <c r="CN209" s="85">
        <f t="shared" ca="1" si="382"/>
        <v>1239.7081633300552</v>
      </c>
      <c r="CO209" s="85">
        <f t="shared" ca="1" si="383"/>
        <v>1398.9997735505992</v>
      </c>
      <c r="CP209" s="85">
        <f t="shared" ca="1" si="384"/>
        <v>1623.8913099844394</v>
      </c>
      <c r="CQ209" s="85">
        <f t="shared" ca="1" si="385"/>
        <v>1548.1974909807036</v>
      </c>
      <c r="CR209" s="85">
        <f t="shared" ca="1" si="386"/>
        <v>1623.6493714970632</v>
      </c>
      <c r="CS209" s="85">
        <f t="shared" ca="1" si="387"/>
        <v>1215.1771843552087</v>
      </c>
      <c r="CT209" s="85">
        <f t="shared" ca="1" si="388"/>
        <v>1356.1095868959421</v>
      </c>
      <c r="CU209" s="85">
        <f t="shared" ca="1" si="389"/>
        <v>1919.7477260001237</v>
      </c>
      <c r="CV209" s="85">
        <f t="shared" ca="1" si="390"/>
        <v>1390.1278949546386</v>
      </c>
      <c r="CW209" s="85">
        <f t="shared" ca="1" si="391"/>
        <v>1451.7905891046237</v>
      </c>
    </row>
    <row r="210" spans="1:101" x14ac:dyDescent="0.2">
      <c r="A210" s="115">
        <v>207</v>
      </c>
      <c r="B210" s="85">
        <f t="shared" ca="1" si="302"/>
        <v>1211.2715879080329</v>
      </c>
      <c r="C210" s="85">
        <f t="shared" ca="1" si="304"/>
        <v>1588.6140073383065</v>
      </c>
      <c r="D210" s="85">
        <f t="shared" ca="1" si="305"/>
        <v>1472.3881518839094</v>
      </c>
      <c r="E210" s="85">
        <f t="shared" ca="1" si="306"/>
        <v>1346.1564271166665</v>
      </c>
      <c r="F210" s="85">
        <f t="shared" ca="1" si="307"/>
        <v>1437.7760169811099</v>
      </c>
      <c r="G210" s="85">
        <f t="shared" ca="1" si="308"/>
        <v>1514.3121594218273</v>
      </c>
      <c r="H210" s="85">
        <f t="shared" ca="1" si="309"/>
        <v>1504.7372278576561</v>
      </c>
      <c r="I210" s="85">
        <f t="shared" ca="1" si="310"/>
        <v>1697.8624963304578</v>
      </c>
      <c r="J210" s="85">
        <f t="shared" ca="1" si="311"/>
        <v>1410.2057544214699</v>
      </c>
      <c r="K210" s="85">
        <f t="shared" ca="1" si="312"/>
        <v>1641.2607221553924</v>
      </c>
      <c r="L210" s="85">
        <f t="shared" ca="1" si="313"/>
        <v>1774.6715283870999</v>
      </c>
      <c r="M210" s="85">
        <f t="shared" ca="1" si="314"/>
        <v>1319.1910178456842</v>
      </c>
      <c r="N210" s="85">
        <f t="shared" ca="1" si="315"/>
        <v>1462.4379677273498</v>
      </c>
      <c r="O210" s="85">
        <f t="shared" ca="1" si="316"/>
        <v>1491.4081134351904</v>
      </c>
      <c r="P210" s="85">
        <f t="shared" ca="1" si="317"/>
        <v>1626.1631989637253</v>
      </c>
      <c r="Q210" s="85">
        <f t="shared" ca="1" si="318"/>
        <v>1595.2147609069523</v>
      </c>
      <c r="R210" s="85">
        <f t="shared" ca="1" si="319"/>
        <v>1397.1403466700824</v>
      </c>
      <c r="S210" s="85">
        <f t="shared" ca="1" si="320"/>
        <v>1560.7317650219368</v>
      </c>
      <c r="T210" s="85">
        <f t="shared" ca="1" si="321"/>
        <v>1518.905996535608</v>
      </c>
      <c r="U210" s="85">
        <f t="shared" ca="1" si="322"/>
        <v>1397.1699075205627</v>
      </c>
      <c r="V210" s="85">
        <f t="shared" ca="1" si="323"/>
        <v>1762.6865423942997</v>
      </c>
      <c r="W210" s="85">
        <f t="shared" ca="1" si="324"/>
        <v>1407.3684559557078</v>
      </c>
      <c r="X210" s="85">
        <f t="shared" ca="1" si="325"/>
        <v>1597.7920097383335</v>
      </c>
      <c r="Y210" s="85">
        <f t="shared" ca="1" si="326"/>
        <v>1412.8717525457182</v>
      </c>
      <c r="Z210" s="85">
        <f t="shared" ca="1" si="327"/>
        <v>1556.2055872865437</v>
      </c>
      <c r="AA210" s="85">
        <f t="shared" ca="1" si="328"/>
        <v>1359.7416556630765</v>
      </c>
      <c r="AB210" s="85">
        <f t="shared" ca="1" si="329"/>
        <v>1764.9249910402887</v>
      </c>
      <c r="AC210" s="85">
        <f t="shared" ca="1" si="330"/>
        <v>1599.984750869409</v>
      </c>
      <c r="AD210" s="85">
        <f t="shared" ca="1" si="331"/>
        <v>1730.1992677134147</v>
      </c>
      <c r="AE210" s="85">
        <f t="shared" ca="1" si="332"/>
        <v>1935.9346551397432</v>
      </c>
      <c r="AF210" s="85">
        <f t="shared" ca="1" si="333"/>
        <v>1253.0216154865782</v>
      </c>
      <c r="AG210" s="85">
        <f t="shared" ca="1" si="334"/>
        <v>1757.4480563003772</v>
      </c>
      <c r="AH210" s="85">
        <f t="shared" ca="1" si="335"/>
        <v>1436.6591954165676</v>
      </c>
      <c r="AI210" s="85">
        <f t="shared" ca="1" si="336"/>
        <v>1649.8287856413303</v>
      </c>
      <c r="AJ210" s="85">
        <f t="shared" ca="1" si="337"/>
        <v>1765.8587277155802</v>
      </c>
      <c r="AK210" s="85">
        <f t="shared" ca="1" si="338"/>
        <v>1578.9037144322181</v>
      </c>
      <c r="AL210" s="85">
        <f t="shared" ca="1" si="339"/>
        <v>1533.1186065375414</v>
      </c>
      <c r="AM210" s="85">
        <f t="shared" ca="1" si="340"/>
        <v>1509.037905896512</v>
      </c>
      <c r="AN210" s="85">
        <f t="shared" ca="1" si="341"/>
        <v>1597.8276131369789</v>
      </c>
      <c r="AO210" s="85">
        <f t="shared" ca="1" si="342"/>
        <v>1943.3040996443217</v>
      </c>
      <c r="AP210" s="85">
        <f t="shared" ca="1" si="343"/>
        <v>1749.4930405954417</v>
      </c>
      <c r="AQ210" s="85">
        <f t="shared" ca="1" si="344"/>
        <v>1388.8162112868299</v>
      </c>
      <c r="AR210" s="85">
        <f t="shared" ca="1" si="345"/>
        <v>1632.3547700742195</v>
      </c>
      <c r="AS210" s="85">
        <f t="shared" ca="1" si="346"/>
        <v>1467.9839478042466</v>
      </c>
      <c r="AT210" s="85">
        <f t="shared" ca="1" si="347"/>
        <v>1543.1266933108188</v>
      </c>
      <c r="AU210" s="85">
        <f t="shared" ca="1" si="348"/>
        <v>1549.5530906312388</v>
      </c>
      <c r="AV210" s="85">
        <f t="shared" ca="1" si="349"/>
        <v>1635.402128039975</v>
      </c>
      <c r="AW210" s="85">
        <f t="shared" ca="1" si="350"/>
        <v>1582.5548464467004</v>
      </c>
      <c r="AX210" s="85">
        <f t="shared" ca="1" si="351"/>
        <v>1871.0850120032951</v>
      </c>
      <c r="AY210" s="85">
        <f t="shared" ca="1" si="352"/>
        <v>1810.3553479163199</v>
      </c>
      <c r="AZ210" s="85">
        <f t="shared" ca="1" si="353"/>
        <v>1695.8243645698849</v>
      </c>
      <c r="BA210" s="85">
        <f t="shared" ca="1" si="354"/>
        <v>1800.1236037744329</v>
      </c>
      <c r="BB210" s="85">
        <f t="shared" ca="1" si="355"/>
        <v>1431.6182308886084</v>
      </c>
      <c r="BC210" s="85">
        <f t="shared" ca="1" si="356"/>
        <v>1729.2192871957334</v>
      </c>
      <c r="BD210" s="85">
        <f t="shared" ca="1" si="357"/>
        <v>1605.8775727340699</v>
      </c>
      <c r="BE210" s="85">
        <f t="shared" ca="1" si="358"/>
        <v>1427.5330188627217</v>
      </c>
      <c r="BF210" s="85">
        <f t="shared" ca="1" si="359"/>
        <v>1362.5742906747764</v>
      </c>
      <c r="BG210" s="85">
        <f t="shared" ca="1" si="360"/>
        <v>1342.6617962079367</v>
      </c>
      <c r="BH210" s="85">
        <f t="shared" ca="1" si="361"/>
        <v>1673.7388756496262</v>
      </c>
      <c r="BI210" s="85">
        <f t="shared" ca="1" si="362"/>
        <v>1405.3968707196295</v>
      </c>
      <c r="BJ210" s="85">
        <f t="shared" ca="1" si="363"/>
        <v>1580.6554124137708</v>
      </c>
      <c r="BK210" s="85">
        <f t="shared" ca="1" si="364"/>
        <v>1501.3746221877286</v>
      </c>
      <c r="BL210" s="85">
        <f t="shared" ca="1" si="365"/>
        <v>1377.1973377250783</v>
      </c>
      <c r="BM210" s="85">
        <f t="shared" ca="1" si="366"/>
        <v>1482.6618337018972</v>
      </c>
      <c r="BN210" s="85">
        <f t="shared" ca="1" si="303"/>
        <v>1649.2026015732479</v>
      </c>
      <c r="BO210" s="85">
        <f t="shared" ca="1" si="392"/>
        <v>1919.1405914850759</v>
      </c>
      <c r="BP210" s="85">
        <f t="shared" ca="1" si="393"/>
        <v>1452.6286495911877</v>
      </c>
      <c r="BQ210" s="85">
        <f t="shared" ca="1" si="394"/>
        <v>1594.6271019492419</v>
      </c>
      <c r="BR210" s="85">
        <f t="shared" ca="1" si="395"/>
        <v>1349.5356235514989</v>
      </c>
      <c r="BS210" s="85">
        <f t="shared" ca="1" si="396"/>
        <v>1580.7342010445711</v>
      </c>
      <c r="BT210" s="85">
        <f t="shared" ca="1" si="397"/>
        <v>1811.9930355138372</v>
      </c>
      <c r="BU210" s="85">
        <f t="shared" ca="1" si="398"/>
        <v>1421.9231904965789</v>
      </c>
      <c r="BV210" s="85">
        <f t="shared" ca="1" si="399"/>
        <v>1511.6771409847013</v>
      </c>
      <c r="BW210" s="85">
        <f t="shared" ca="1" si="400"/>
        <v>1718.425235211834</v>
      </c>
      <c r="BX210" s="85">
        <f t="shared" ca="1" si="401"/>
        <v>1622.6053824452729</v>
      </c>
      <c r="BY210" s="85">
        <f t="shared" ca="1" si="367"/>
        <v>1440.3837944603297</v>
      </c>
      <c r="BZ210" s="85">
        <f t="shared" ca="1" si="368"/>
        <v>1488.3188556651485</v>
      </c>
      <c r="CA210" s="85">
        <f t="shared" ca="1" si="369"/>
        <v>1521.2375128364147</v>
      </c>
      <c r="CB210" s="85">
        <f t="shared" ca="1" si="370"/>
        <v>1410.5571425162618</v>
      </c>
      <c r="CC210" s="85">
        <f t="shared" ca="1" si="371"/>
        <v>1632.2517281055973</v>
      </c>
      <c r="CD210" s="85">
        <f t="shared" ca="1" si="372"/>
        <v>1760.3758606322231</v>
      </c>
      <c r="CE210" s="85">
        <f t="shared" ca="1" si="373"/>
        <v>1471.4097818821099</v>
      </c>
      <c r="CF210" s="85">
        <f t="shared" ca="1" si="374"/>
        <v>1741.7241090421612</v>
      </c>
      <c r="CG210" s="85">
        <f t="shared" ca="1" si="375"/>
        <v>1258.2217773638142</v>
      </c>
      <c r="CH210" s="85">
        <f t="shared" ca="1" si="376"/>
        <v>1574.3579795305013</v>
      </c>
      <c r="CI210" s="85">
        <f t="shared" ca="1" si="377"/>
        <v>1400.8355827872115</v>
      </c>
      <c r="CJ210" s="85">
        <f t="shared" ca="1" si="378"/>
        <v>1400.0997471742423</v>
      </c>
      <c r="CK210" s="85">
        <f t="shared" ca="1" si="379"/>
        <v>1513.9366564186703</v>
      </c>
      <c r="CL210" s="85">
        <f t="shared" ca="1" si="380"/>
        <v>1386.0340811371543</v>
      </c>
      <c r="CM210" s="85">
        <f t="shared" ca="1" si="381"/>
        <v>1732.8654495798214</v>
      </c>
      <c r="CN210" s="85">
        <f t="shared" ca="1" si="382"/>
        <v>1266.2585530767842</v>
      </c>
      <c r="CO210" s="85">
        <f t="shared" ca="1" si="383"/>
        <v>1424.5877822908269</v>
      </c>
      <c r="CP210" s="85">
        <f t="shared" ca="1" si="384"/>
        <v>1643.4634061946426</v>
      </c>
      <c r="CQ210" s="85">
        <f t="shared" ca="1" si="385"/>
        <v>1559.7628032923226</v>
      </c>
      <c r="CR210" s="85">
        <f t="shared" ca="1" si="386"/>
        <v>1661.3481215021866</v>
      </c>
      <c r="CS210" s="85">
        <f t="shared" ca="1" si="387"/>
        <v>1227.5728461740359</v>
      </c>
      <c r="CT210" s="85">
        <f t="shared" ca="1" si="388"/>
        <v>1379.3269543701097</v>
      </c>
      <c r="CU210" s="85">
        <f t="shared" ca="1" si="389"/>
        <v>1961.9212647943505</v>
      </c>
      <c r="CV210" s="85">
        <f t="shared" ca="1" si="390"/>
        <v>1414.9338588654271</v>
      </c>
      <c r="CW210" s="85">
        <f t="shared" ca="1" si="391"/>
        <v>1463.6797926774236</v>
      </c>
    </row>
    <row r="211" spans="1:101" x14ac:dyDescent="0.2">
      <c r="A211" s="115">
        <v>208</v>
      </c>
      <c r="B211" s="85">
        <f t="shared" ca="1" si="302"/>
        <v>1232.9083736095445</v>
      </c>
      <c r="C211" s="85">
        <f t="shared" ca="1" si="304"/>
        <v>1585.3496279758444</v>
      </c>
      <c r="D211" s="85">
        <f t="shared" ca="1" si="305"/>
        <v>1500.5824128019894</v>
      </c>
      <c r="E211" s="85">
        <f t="shared" ca="1" si="306"/>
        <v>1355.2035183712301</v>
      </c>
      <c r="F211" s="85">
        <f t="shared" ca="1" si="307"/>
        <v>1458.4620076265965</v>
      </c>
      <c r="G211" s="85">
        <f t="shared" ca="1" si="308"/>
        <v>1552.4237741140016</v>
      </c>
      <c r="H211" s="85">
        <f t="shared" ca="1" si="309"/>
        <v>1531.5138674986381</v>
      </c>
      <c r="I211" s="85">
        <f t="shared" ca="1" si="310"/>
        <v>1708.1845991202051</v>
      </c>
      <c r="J211" s="85">
        <f t="shared" ca="1" si="311"/>
        <v>1432.0500252964223</v>
      </c>
      <c r="K211" s="85">
        <f t="shared" ca="1" si="312"/>
        <v>1660.8531631584412</v>
      </c>
      <c r="L211" s="85">
        <f t="shared" ca="1" si="313"/>
        <v>1785.6002937342473</v>
      </c>
      <c r="M211" s="85">
        <f t="shared" ca="1" si="314"/>
        <v>1331.9699514626716</v>
      </c>
      <c r="N211" s="85">
        <f t="shared" ca="1" si="315"/>
        <v>1479.6697893112239</v>
      </c>
      <c r="O211" s="85">
        <f t="shared" ca="1" si="316"/>
        <v>1525.5483444747417</v>
      </c>
      <c r="P211" s="85">
        <f t="shared" ca="1" si="317"/>
        <v>1653.57851535942</v>
      </c>
      <c r="Q211" s="85">
        <f t="shared" ca="1" si="318"/>
        <v>1631.6988092515578</v>
      </c>
      <c r="R211" s="85">
        <f t="shared" ca="1" si="319"/>
        <v>1413.8685984223387</v>
      </c>
      <c r="S211" s="85">
        <f t="shared" ca="1" si="320"/>
        <v>1580.5817891503257</v>
      </c>
      <c r="T211" s="85">
        <f t="shared" ca="1" si="321"/>
        <v>1547.3324510365162</v>
      </c>
      <c r="U211" s="85">
        <f t="shared" ca="1" si="322"/>
        <v>1411.2859223375351</v>
      </c>
      <c r="V211" s="85">
        <f t="shared" ca="1" si="323"/>
        <v>1777.1780321698338</v>
      </c>
      <c r="W211" s="85">
        <f t="shared" ca="1" si="324"/>
        <v>1422.431973511375</v>
      </c>
      <c r="X211" s="85">
        <f t="shared" ca="1" si="325"/>
        <v>1613.6745735969703</v>
      </c>
      <c r="Y211" s="85">
        <f t="shared" ca="1" si="326"/>
        <v>1427.7745262712956</v>
      </c>
      <c r="Z211" s="85">
        <f t="shared" ca="1" si="327"/>
        <v>1586.7418459797229</v>
      </c>
      <c r="AA211" s="85">
        <f t="shared" ca="1" si="328"/>
        <v>1374.9118685575975</v>
      </c>
      <c r="AB211" s="85">
        <f t="shared" ca="1" si="329"/>
        <v>1816.3441414076417</v>
      </c>
      <c r="AC211" s="85">
        <f t="shared" ca="1" si="330"/>
        <v>1622.0684454166628</v>
      </c>
      <c r="AD211" s="85">
        <f t="shared" ca="1" si="331"/>
        <v>1741.1851702717659</v>
      </c>
      <c r="AE211" s="85">
        <f t="shared" ca="1" si="332"/>
        <v>1986.6247891798353</v>
      </c>
      <c r="AF211" s="85">
        <f t="shared" ca="1" si="333"/>
        <v>1270.8049687497091</v>
      </c>
      <c r="AG211" s="85">
        <f t="shared" ca="1" si="334"/>
        <v>1795.2648220079793</v>
      </c>
      <c r="AH211" s="85">
        <f t="shared" ca="1" si="335"/>
        <v>1446.7766163653446</v>
      </c>
      <c r="AI211" s="85">
        <f t="shared" ca="1" si="336"/>
        <v>1653.4962502158223</v>
      </c>
      <c r="AJ211" s="85">
        <f t="shared" ca="1" si="337"/>
        <v>1782.4533326612996</v>
      </c>
      <c r="AK211" s="85">
        <f t="shared" ca="1" si="338"/>
        <v>1598.7616780149046</v>
      </c>
      <c r="AL211" s="85">
        <f t="shared" ca="1" si="339"/>
        <v>1569.0091291311805</v>
      </c>
      <c r="AM211" s="85">
        <f t="shared" ca="1" si="340"/>
        <v>1510.6262814916113</v>
      </c>
      <c r="AN211" s="85">
        <f t="shared" ca="1" si="341"/>
        <v>1649.7411896754802</v>
      </c>
      <c r="AO211" s="85">
        <f t="shared" ca="1" si="342"/>
        <v>1975.8665453581866</v>
      </c>
      <c r="AP211" s="85">
        <f t="shared" ca="1" si="343"/>
        <v>1779.7975648813913</v>
      </c>
      <c r="AQ211" s="85">
        <f t="shared" ca="1" si="344"/>
        <v>1404.5892752558952</v>
      </c>
      <c r="AR211" s="85">
        <f t="shared" ca="1" si="345"/>
        <v>1654.8542302123747</v>
      </c>
      <c r="AS211" s="85">
        <f t="shared" ca="1" si="346"/>
        <v>1506.3570032435732</v>
      </c>
      <c r="AT211" s="85">
        <f t="shared" ca="1" si="347"/>
        <v>1581.3359428368865</v>
      </c>
      <c r="AU211" s="85">
        <f t="shared" ca="1" si="348"/>
        <v>1565.545815990869</v>
      </c>
      <c r="AV211" s="85">
        <f t="shared" ca="1" si="349"/>
        <v>1656.5286328704574</v>
      </c>
      <c r="AW211" s="85">
        <f t="shared" ca="1" si="350"/>
        <v>1596.3555935048116</v>
      </c>
      <c r="AX211" s="85">
        <f t="shared" ca="1" si="351"/>
        <v>1881.0457764852731</v>
      </c>
      <c r="AY211" s="85">
        <f t="shared" ca="1" si="352"/>
        <v>1855.6659308002809</v>
      </c>
      <c r="AZ211" s="85">
        <f t="shared" ca="1" si="353"/>
        <v>1715.080119972225</v>
      </c>
      <c r="BA211" s="85">
        <f t="shared" ca="1" si="354"/>
        <v>1825.7554615697429</v>
      </c>
      <c r="BB211" s="85">
        <f t="shared" ca="1" si="355"/>
        <v>1463.1197303000265</v>
      </c>
      <c r="BC211" s="85">
        <f t="shared" ca="1" si="356"/>
        <v>1745.5641149107446</v>
      </c>
      <c r="BD211" s="85">
        <f t="shared" ca="1" si="357"/>
        <v>1637.4115262745556</v>
      </c>
      <c r="BE211" s="85">
        <f t="shared" ca="1" si="358"/>
        <v>1439.6008751698455</v>
      </c>
      <c r="BF211" s="85">
        <f t="shared" ca="1" si="359"/>
        <v>1380.3828510540468</v>
      </c>
      <c r="BG211" s="85">
        <f t="shared" ca="1" si="360"/>
        <v>1366.8681899456919</v>
      </c>
      <c r="BH211" s="85">
        <f t="shared" ca="1" si="361"/>
        <v>1702.7713728085421</v>
      </c>
      <c r="BI211" s="85">
        <f t="shared" ca="1" si="362"/>
        <v>1412.8762866780912</v>
      </c>
      <c r="BJ211" s="85">
        <f t="shared" ca="1" si="363"/>
        <v>1612.9395407637867</v>
      </c>
      <c r="BK211" s="85">
        <f t="shared" ca="1" si="364"/>
        <v>1512.7744211928641</v>
      </c>
      <c r="BL211" s="85">
        <f t="shared" ca="1" si="365"/>
        <v>1391.8323974991379</v>
      </c>
      <c r="BM211" s="85">
        <f t="shared" ca="1" si="366"/>
        <v>1520.2745748045008</v>
      </c>
      <c r="BN211" s="85">
        <f t="shared" ca="1" si="303"/>
        <v>1687.38573807286</v>
      </c>
      <c r="BO211" s="85">
        <f t="shared" ca="1" si="392"/>
        <v>1914.5024622650687</v>
      </c>
      <c r="BP211" s="85">
        <f t="shared" ca="1" si="393"/>
        <v>1477.7379549352117</v>
      </c>
      <c r="BQ211" s="85">
        <f t="shared" ca="1" si="394"/>
        <v>1622.4077524804945</v>
      </c>
      <c r="BR211" s="85">
        <f t="shared" ca="1" si="395"/>
        <v>1363.1692553774699</v>
      </c>
      <c r="BS211" s="85">
        <f t="shared" ca="1" si="396"/>
        <v>1593.6693415508803</v>
      </c>
      <c r="BT211" s="85">
        <f t="shared" ca="1" si="397"/>
        <v>1822.5490764688548</v>
      </c>
      <c r="BU211" s="85">
        <f t="shared" ca="1" si="398"/>
        <v>1448.6616863384736</v>
      </c>
      <c r="BV211" s="85">
        <f t="shared" ca="1" si="399"/>
        <v>1528.03666063269</v>
      </c>
      <c r="BW211" s="85">
        <f t="shared" ca="1" si="400"/>
        <v>1751.2973303469703</v>
      </c>
      <c r="BX211" s="85">
        <f t="shared" ca="1" si="401"/>
        <v>1642.5393222614825</v>
      </c>
      <c r="BY211" s="85">
        <f t="shared" ca="1" si="367"/>
        <v>1455.2272871618702</v>
      </c>
      <c r="BZ211" s="85">
        <f t="shared" ca="1" si="368"/>
        <v>1506.431416010601</v>
      </c>
      <c r="CA211" s="85">
        <f t="shared" ca="1" si="369"/>
        <v>1550.9006526884302</v>
      </c>
      <c r="CB211" s="85">
        <f t="shared" ca="1" si="370"/>
        <v>1430.2623640335141</v>
      </c>
      <c r="CC211" s="85">
        <f t="shared" ca="1" si="371"/>
        <v>1649.0449303236132</v>
      </c>
      <c r="CD211" s="85">
        <f t="shared" ca="1" si="372"/>
        <v>1756.1232198169405</v>
      </c>
      <c r="CE211" s="85">
        <f t="shared" ca="1" si="373"/>
        <v>1497.5910258415011</v>
      </c>
      <c r="CF211" s="85">
        <f t="shared" ca="1" si="374"/>
        <v>1766.5768042505397</v>
      </c>
      <c r="CG211" s="85">
        <f t="shared" ca="1" si="375"/>
        <v>1258.3204885182993</v>
      </c>
      <c r="CH211" s="85">
        <f t="shared" ca="1" si="376"/>
        <v>1601.9214275756726</v>
      </c>
      <c r="CI211" s="85">
        <f t="shared" ca="1" si="377"/>
        <v>1409.3375662679321</v>
      </c>
      <c r="CJ211" s="85">
        <f t="shared" ca="1" si="378"/>
        <v>1409.7317824332224</v>
      </c>
      <c r="CK211" s="85">
        <f t="shared" ca="1" si="379"/>
        <v>1526.0355860644104</v>
      </c>
      <c r="CL211" s="85">
        <f t="shared" ca="1" si="380"/>
        <v>1399.1273628348627</v>
      </c>
      <c r="CM211" s="85">
        <f t="shared" ca="1" si="381"/>
        <v>1767.0632085395539</v>
      </c>
      <c r="CN211" s="85">
        <f t="shared" ca="1" si="382"/>
        <v>1273.4544340129473</v>
      </c>
      <c r="CO211" s="85">
        <f t="shared" ca="1" si="383"/>
        <v>1442.9931104744817</v>
      </c>
      <c r="CP211" s="85">
        <f t="shared" ca="1" si="384"/>
        <v>1643.7579464212113</v>
      </c>
      <c r="CQ211" s="85">
        <f t="shared" ca="1" si="385"/>
        <v>1594.0484361765657</v>
      </c>
      <c r="CR211" s="85">
        <f t="shared" ca="1" si="386"/>
        <v>1686.8140905505293</v>
      </c>
      <c r="CS211" s="85">
        <f t="shared" ca="1" si="387"/>
        <v>1234.2150905438943</v>
      </c>
      <c r="CT211" s="85">
        <f t="shared" ca="1" si="388"/>
        <v>1385.0793417058335</v>
      </c>
      <c r="CU211" s="85">
        <f t="shared" ca="1" si="389"/>
        <v>1981.3696009271639</v>
      </c>
      <c r="CV211" s="85">
        <f t="shared" ca="1" si="390"/>
        <v>1439.4534166104768</v>
      </c>
      <c r="CW211" s="85">
        <f t="shared" ca="1" si="391"/>
        <v>1489.8934615468495</v>
      </c>
    </row>
    <row r="212" spans="1:101" x14ac:dyDescent="0.2">
      <c r="A212" s="115">
        <v>209</v>
      </c>
      <c r="B212" s="85">
        <f t="shared" ca="1" si="302"/>
        <v>1247.8245388070675</v>
      </c>
      <c r="C212" s="85">
        <f t="shared" ca="1" si="304"/>
        <v>1616.4766556964164</v>
      </c>
      <c r="D212" s="85">
        <f t="shared" ca="1" si="305"/>
        <v>1515.7310385508069</v>
      </c>
      <c r="E212" s="85">
        <f t="shared" ca="1" si="306"/>
        <v>1377.3757258567732</v>
      </c>
      <c r="F212" s="85">
        <f t="shared" ca="1" si="307"/>
        <v>1483.6174128859252</v>
      </c>
      <c r="G212" s="85">
        <f t="shared" ca="1" si="308"/>
        <v>1575.8260599993469</v>
      </c>
      <c r="H212" s="85">
        <f t="shared" ca="1" si="309"/>
        <v>1571.630761015314</v>
      </c>
      <c r="I212" s="85">
        <f t="shared" ca="1" si="310"/>
        <v>1739.1542861721528</v>
      </c>
      <c r="J212" s="85">
        <f t="shared" ca="1" si="311"/>
        <v>1456.9236657737285</v>
      </c>
      <c r="K212" s="85">
        <f t="shared" ca="1" si="312"/>
        <v>1667.1122041845276</v>
      </c>
      <c r="L212" s="85">
        <f t="shared" ca="1" si="313"/>
        <v>1838.4971160729544</v>
      </c>
      <c r="M212" s="85">
        <f t="shared" ca="1" si="314"/>
        <v>1351.0631022817149</v>
      </c>
      <c r="N212" s="85">
        <f t="shared" ca="1" si="315"/>
        <v>1498.9328070261993</v>
      </c>
      <c r="O212" s="85">
        <f t="shared" ca="1" si="316"/>
        <v>1556.8174557698153</v>
      </c>
      <c r="P212" s="85">
        <f t="shared" ca="1" si="317"/>
        <v>1683.0627400780388</v>
      </c>
      <c r="Q212" s="85">
        <f t="shared" ca="1" si="318"/>
        <v>1670.0203257962783</v>
      </c>
      <c r="R212" s="85">
        <f t="shared" ca="1" si="319"/>
        <v>1443.4780735876213</v>
      </c>
      <c r="S212" s="85">
        <f t="shared" ca="1" si="320"/>
        <v>1610.1021618101508</v>
      </c>
      <c r="T212" s="85">
        <f t="shared" ca="1" si="321"/>
        <v>1565.9586687965598</v>
      </c>
      <c r="U212" s="85">
        <f t="shared" ca="1" si="322"/>
        <v>1425.2213440462967</v>
      </c>
      <c r="V212" s="85">
        <f t="shared" ca="1" si="323"/>
        <v>1818.4447005527893</v>
      </c>
      <c r="W212" s="85">
        <f t="shared" ca="1" si="324"/>
        <v>1443.0630142593618</v>
      </c>
      <c r="X212" s="85">
        <f t="shared" ca="1" si="325"/>
        <v>1636.5778792584294</v>
      </c>
      <c r="Y212" s="85">
        <f t="shared" ca="1" si="326"/>
        <v>1432.2238582544289</v>
      </c>
      <c r="Z212" s="85">
        <f t="shared" ca="1" si="327"/>
        <v>1610.9670778718539</v>
      </c>
      <c r="AA212" s="85">
        <f t="shared" ca="1" si="328"/>
        <v>1407.3420371344903</v>
      </c>
      <c r="AB212" s="85">
        <f t="shared" ca="1" si="329"/>
        <v>1836.134227901417</v>
      </c>
      <c r="AC212" s="85">
        <f t="shared" ca="1" si="330"/>
        <v>1651.9628698755287</v>
      </c>
      <c r="AD212" s="85">
        <f t="shared" ca="1" si="331"/>
        <v>1775.1099684691969</v>
      </c>
      <c r="AE212" s="85">
        <f t="shared" ca="1" si="332"/>
        <v>2003.1675645334569</v>
      </c>
      <c r="AF212" s="85">
        <f t="shared" ca="1" si="333"/>
        <v>1293.9506433566462</v>
      </c>
      <c r="AG212" s="85">
        <f t="shared" ca="1" si="334"/>
        <v>1825.4221790195718</v>
      </c>
      <c r="AH212" s="85">
        <f t="shared" ca="1" si="335"/>
        <v>1466.8042597433396</v>
      </c>
      <c r="AI212" s="85">
        <f t="shared" ca="1" si="336"/>
        <v>1682.8590314971132</v>
      </c>
      <c r="AJ212" s="85">
        <f t="shared" ca="1" si="337"/>
        <v>1809.5351987895499</v>
      </c>
      <c r="AK212" s="85">
        <f t="shared" ca="1" si="338"/>
        <v>1609.3769521210556</v>
      </c>
      <c r="AL212" s="85">
        <f t="shared" ca="1" si="339"/>
        <v>1599.2115719290916</v>
      </c>
      <c r="AM212" s="85">
        <f t="shared" ca="1" si="340"/>
        <v>1533.4315822746541</v>
      </c>
      <c r="AN212" s="85">
        <f t="shared" ca="1" si="341"/>
        <v>1678.6165285104191</v>
      </c>
      <c r="AO212" s="85">
        <f t="shared" ca="1" si="342"/>
        <v>1996.6622630399315</v>
      </c>
      <c r="AP212" s="85">
        <f t="shared" ca="1" si="343"/>
        <v>1803.7268031510869</v>
      </c>
      <c r="AQ212" s="85">
        <f t="shared" ca="1" si="344"/>
        <v>1408.3628502460651</v>
      </c>
      <c r="AR212" s="85">
        <f t="shared" ca="1" si="345"/>
        <v>1683.6524553788083</v>
      </c>
      <c r="AS212" s="85">
        <f t="shared" ca="1" si="346"/>
        <v>1508.6709775824897</v>
      </c>
      <c r="AT212" s="85">
        <f t="shared" ca="1" si="347"/>
        <v>1602.950847613514</v>
      </c>
      <c r="AU212" s="85">
        <f t="shared" ca="1" si="348"/>
        <v>1572.487591497189</v>
      </c>
      <c r="AV212" s="85">
        <f t="shared" ca="1" si="349"/>
        <v>1688.4783179630281</v>
      </c>
      <c r="AW212" s="85">
        <f t="shared" ca="1" si="350"/>
        <v>1617.131235084694</v>
      </c>
      <c r="AX212" s="85">
        <f t="shared" ca="1" si="351"/>
        <v>1927.011236066947</v>
      </c>
      <c r="AY212" s="85">
        <f t="shared" ca="1" si="352"/>
        <v>1859.6451201519521</v>
      </c>
      <c r="AZ212" s="85">
        <f t="shared" ca="1" si="353"/>
        <v>1722.7960230942258</v>
      </c>
      <c r="BA212" s="85">
        <f t="shared" ca="1" si="354"/>
        <v>1847.0571030851111</v>
      </c>
      <c r="BB212" s="85">
        <f t="shared" ca="1" si="355"/>
        <v>1498.7814120163193</v>
      </c>
      <c r="BC212" s="85">
        <f t="shared" ca="1" si="356"/>
        <v>1773.9239146890429</v>
      </c>
      <c r="BD212" s="85">
        <f t="shared" ca="1" si="357"/>
        <v>1663.1953072541503</v>
      </c>
      <c r="BE212" s="85">
        <f t="shared" ca="1" si="358"/>
        <v>1450.6554235353315</v>
      </c>
      <c r="BF212" s="85">
        <f t="shared" ca="1" si="359"/>
        <v>1395.9389708166634</v>
      </c>
      <c r="BG212" s="85">
        <f t="shared" ca="1" si="360"/>
        <v>1371.2910785166216</v>
      </c>
      <c r="BH212" s="85">
        <f t="shared" ca="1" si="361"/>
        <v>1738.6698350628124</v>
      </c>
      <c r="BI212" s="85">
        <f t="shared" ca="1" si="362"/>
        <v>1437.0641301109122</v>
      </c>
      <c r="BJ212" s="85">
        <f t="shared" ca="1" si="363"/>
        <v>1658.6508021223904</v>
      </c>
      <c r="BK212" s="85">
        <f t="shared" ca="1" si="364"/>
        <v>1523.1493875837284</v>
      </c>
      <c r="BL212" s="85">
        <f t="shared" ca="1" si="365"/>
        <v>1405.7340165803894</v>
      </c>
      <c r="BM212" s="85">
        <f t="shared" ca="1" si="366"/>
        <v>1532.2988404220439</v>
      </c>
      <c r="BN212" s="85">
        <f t="shared" ca="1" si="303"/>
        <v>1728.7665272011452</v>
      </c>
      <c r="BO212" s="85">
        <f t="shared" ca="1" si="392"/>
        <v>1926.426590149599</v>
      </c>
      <c r="BP212" s="85">
        <f t="shared" ca="1" si="393"/>
        <v>1475.6711734471266</v>
      </c>
      <c r="BQ212" s="85">
        <f t="shared" ca="1" si="394"/>
        <v>1640.7362461896653</v>
      </c>
      <c r="BR212" s="85">
        <f t="shared" ca="1" si="395"/>
        <v>1379.5264239260969</v>
      </c>
      <c r="BS212" s="85">
        <f t="shared" ca="1" si="396"/>
        <v>1616.6016751053569</v>
      </c>
      <c r="BT212" s="85">
        <f t="shared" ca="1" si="397"/>
        <v>1870.8265942233922</v>
      </c>
      <c r="BU212" s="85">
        <f t="shared" ca="1" si="398"/>
        <v>1482.5203325774751</v>
      </c>
      <c r="BV212" s="85">
        <f t="shared" ca="1" si="399"/>
        <v>1542.5428920760833</v>
      </c>
      <c r="BW212" s="85">
        <f t="shared" ca="1" si="400"/>
        <v>1775.9650733730525</v>
      </c>
      <c r="BX212" s="85">
        <f t="shared" ca="1" si="401"/>
        <v>1671.0521153768391</v>
      </c>
      <c r="BY212" s="85">
        <f t="shared" ca="1" si="367"/>
        <v>1472.9970373468948</v>
      </c>
      <c r="BZ212" s="85">
        <f t="shared" ca="1" si="368"/>
        <v>1510.011423981786</v>
      </c>
      <c r="CA212" s="85">
        <f t="shared" ca="1" si="369"/>
        <v>1577.8794799485222</v>
      </c>
      <c r="CB212" s="85">
        <f t="shared" ca="1" si="370"/>
        <v>1472.611744073281</v>
      </c>
      <c r="CC212" s="85">
        <f t="shared" ca="1" si="371"/>
        <v>1675.8135200107413</v>
      </c>
      <c r="CD212" s="85">
        <f t="shared" ca="1" si="372"/>
        <v>1772.872919298547</v>
      </c>
      <c r="CE212" s="85">
        <f t="shared" ca="1" si="373"/>
        <v>1536.7926743701628</v>
      </c>
      <c r="CF212" s="85">
        <f t="shared" ca="1" si="374"/>
        <v>1786.3201810102094</v>
      </c>
      <c r="CG212" s="85">
        <f t="shared" ca="1" si="375"/>
        <v>1269.4452855818686</v>
      </c>
      <c r="CH212" s="85">
        <f t="shared" ca="1" si="376"/>
        <v>1612.5901609432078</v>
      </c>
      <c r="CI212" s="85">
        <f t="shared" ca="1" si="377"/>
        <v>1427.3330458956473</v>
      </c>
      <c r="CJ212" s="85">
        <f t="shared" ca="1" si="378"/>
        <v>1414.2245293516553</v>
      </c>
      <c r="CK212" s="85">
        <f t="shared" ca="1" si="379"/>
        <v>1539.9964623674794</v>
      </c>
      <c r="CL212" s="85">
        <f t="shared" ca="1" si="380"/>
        <v>1422.0845049429158</v>
      </c>
      <c r="CM212" s="85">
        <f t="shared" ca="1" si="381"/>
        <v>1781.3407975564294</v>
      </c>
      <c r="CN212" s="85">
        <f t="shared" ca="1" si="382"/>
        <v>1289.4811978341161</v>
      </c>
      <c r="CO212" s="85">
        <f t="shared" ca="1" si="383"/>
        <v>1457.0324080922576</v>
      </c>
      <c r="CP212" s="85">
        <f t="shared" ca="1" si="384"/>
        <v>1675.0590415855802</v>
      </c>
      <c r="CQ212" s="85">
        <f t="shared" ca="1" si="385"/>
        <v>1603.3518010628934</v>
      </c>
      <c r="CR212" s="85">
        <f t="shared" ca="1" si="386"/>
        <v>1718.1199400095754</v>
      </c>
      <c r="CS212" s="85">
        <f t="shared" ca="1" si="387"/>
        <v>1251.5255499362229</v>
      </c>
      <c r="CT212" s="85">
        <f t="shared" ca="1" si="388"/>
        <v>1398.0536019394356</v>
      </c>
      <c r="CU212" s="85">
        <f t="shared" ca="1" si="389"/>
        <v>2012.305285711632</v>
      </c>
      <c r="CV212" s="85">
        <f t="shared" ca="1" si="390"/>
        <v>1451.7794139049493</v>
      </c>
      <c r="CW212" s="85">
        <f t="shared" ca="1" si="391"/>
        <v>1515.9177374016563</v>
      </c>
    </row>
    <row r="213" spans="1:101" x14ac:dyDescent="0.2">
      <c r="A213" s="115">
        <v>210</v>
      </c>
      <c r="B213" s="85">
        <f t="shared" ca="1" si="302"/>
        <v>1259.8651152358148</v>
      </c>
      <c r="C213" s="85">
        <f t="shared" ca="1" si="304"/>
        <v>1630.2306494127449</v>
      </c>
      <c r="D213" s="85">
        <f t="shared" ca="1" si="305"/>
        <v>1544.4347799272134</v>
      </c>
      <c r="E213" s="85">
        <f t="shared" ca="1" si="306"/>
        <v>1399.2225572221209</v>
      </c>
      <c r="F213" s="85">
        <f t="shared" ca="1" si="307"/>
        <v>1510.1932414862704</v>
      </c>
      <c r="G213" s="85">
        <f t="shared" ca="1" si="308"/>
        <v>1621.0882364679449</v>
      </c>
      <c r="H213" s="85">
        <f t="shared" ca="1" si="309"/>
        <v>1596.1645284910026</v>
      </c>
      <c r="I213" s="85">
        <f t="shared" ca="1" si="310"/>
        <v>1768.168805988774</v>
      </c>
      <c r="J213" s="85">
        <f t="shared" ca="1" si="311"/>
        <v>1474.2891478584734</v>
      </c>
      <c r="K213" s="85">
        <f t="shared" ca="1" si="312"/>
        <v>1698.1930256221974</v>
      </c>
      <c r="L213" s="85">
        <f t="shared" ca="1" si="313"/>
        <v>1868.6489953188129</v>
      </c>
      <c r="M213" s="85">
        <f t="shared" ca="1" si="314"/>
        <v>1382.0285854035121</v>
      </c>
      <c r="N213" s="85">
        <f t="shared" ca="1" si="315"/>
        <v>1522.4568957595959</v>
      </c>
      <c r="O213" s="85">
        <f t="shared" ca="1" si="316"/>
        <v>1585.1977167738903</v>
      </c>
      <c r="P213" s="85">
        <f t="shared" ca="1" si="317"/>
        <v>1702.5982792027473</v>
      </c>
      <c r="Q213" s="85">
        <f t="shared" ca="1" si="318"/>
        <v>1705.1261137024799</v>
      </c>
      <c r="R213" s="85">
        <f t="shared" ca="1" si="319"/>
        <v>1470.5388065379502</v>
      </c>
      <c r="S213" s="85">
        <f t="shared" ca="1" si="320"/>
        <v>1638.6097743784837</v>
      </c>
      <c r="T213" s="85">
        <f t="shared" ca="1" si="321"/>
        <v>1583.3899224260958</v>
      </c>
      <c r="U213" s="85">
        <f t="shared" ca="1" si="322"/>
        <v>1451.1451545927232</v>
      </c>
      <c r="V213" s="85">
        <f t="shared" ca="1" si="323"/>
        <v>1844.9333199074294</v>
      </c>
      <c r="W213" s="85">
        <f t="shared" ca="1" si="324"/>
        <v>1464.5953752901746</v>
      </c>
      <c r="X213" s="85">
        <f t="shared" ca="1" si="325"/>
        <v>1671.5702251601147</v>
      </c>
      <c r="Y213" s="85">
        <f t="shared" ca="1" si="326"/>
        <v>1460.1053499677114</v>
      </c>
      <c r="Z213" s="85">
        <f t="shared" ca="1" si="327"/>
        <v>1645.8918853669936</v>
      </c>
      <c r="AA213" s="85">
        <f t="shared" ca="1" si="328"/>
        <v>1424.3891827536775</v>
      </c>
      <c r="AB213" s="85">
        <f t="shared" ca="1" si="329"/>
        <v>1869.1336839568844</v>
      </c>
      <c r="AC213" s="85">
        <f t="shared" ca="1" si="330"/>
        <v>1673.3472183483032</v>
      </c>
      <c r="AD213" s="85">
        <f t="shared" ca="1" si="331"/>
        <v>1813.642204396639</v>
      </c>
      <c r="AE213" s="85">
        <f t="shared" ca="1" si="332"/>
        <v>2028.2503154257886</v>
      </c>
      <c r="AF213" s="85">
        <f t="shared" ca="1" si="333"/>
        <v>1312.4003601504107</v>
      </c>
      <c r="AG213" s="85">
        <f t="shared" ca="1" si="334"/>
        <v>1860.1854281427038</v>
      </c>
      <c r="AH213" s="85">
        <f t="shared" ca="1" si="335"/>
        <v>1469.8663963372687</v>
      </c>
      <c r="AI213" s="85">
        <f t="shared" ca="1" si="336"/>
        <v>1702.4993085224032</v>
      </c>
      <c r="AJ213" s="85">
        <f t="shared" ca="1" si="337"/>
        <v>1835.5601914175568</v>
      </c>
      <c r="AK213" s="85">
        <f t="shared" ca="1" si="338"/>
        <v>1622.544061360315</v>
      </c>
      <c r="AL213" s="85">
        <f t="shared" ca="1" si="339"/>
        <v>1616.751810578565</v>
      </c>
      <c r="AM213" s="85">
        <f t="shared" ca="1" si="340"/>
        <v>1553.36505776282</v>
      </c>
      <c r="AN213" s="85">
        <f t="shared" ca="1" si="341"/>
        <v>1700.3212757149531</v>
      </c>
      <c r="AO213" s="85">
        <f t="shared" ca="1" si="342"/>
        <v>2030.6136687676817</v>
      </c>
      <c r="AP213" s="85">
        <f t="shared" ca="1" si="343"/>
        <v>1838.1422554520357</v>
      </c>
      <c r="AQ213" s="85">
        <f t="shared" ca="1" si="344"/>
        <v>1434.6716239254354</v>
      </c>
      <c r="AR213" s="85">
        <f t="shared" ca="1" si="345"/>
        <v>1686.283605889334</v>
      </c>
      <c r="AS213" s="85">
        <f t="shared" ca="1" si="346"/>
        <v>1532.1719920064427</v>
      </c>
      <c r="AT213" s="85">
        <f t="shared" ca="1" si="347"/>
        <v>1618.9368431229577</v>
      </c>
      <c r="AU213" s="85">
        <f t="shared" ca="1" si="348"/>
        <v>1605.49872546957</v>
      </c>
      <c r="AV213" s="85">
        <f t="shared" ca="1" si="349"/>
        <v>1732.3438361797453</v>
      </c>
      <c r="AW213" s="85">
        <f t="shared" ca="1" si="350"/>
        <v>1628.7984609617522</v>
      </c>
      <c r="AX213" s="85">
        <f t="shared" ca="1" si="351"/>
        <v>1948.6041884856902</v>
      </c>
      <c r="AY213" s="85">
        <f t="shared" ca="1" si="352"/>
        <v>1902.564343306979</v>
      </c>
      <c r="AZ213" s="85">
        <f t="shared" ca="1" si="353"/>
        <v>1752.6909558763457</v>
      </c>
      <c r="BA213" s="85">
        <f t="shared" ca="1" si="354"/>
        <v>1867.7452244619733</v>
      </c>
      <c r="BB213" s="85">
        <f t="shared" ca="1" si="355"/>
        <v>1492.2157992778641</v>
      </c>
      <c r="BC213" s="85">
        <f t="shared" ca="1" si="356"/>
        <v>1795.2180355552787</v>
      </c>
      <c r="BD213" s="85">
        <f t="shared" ca="1" si="357"/>
        <v>1687.1125569247993</v>
      </c>
      <c r="BE213" s="85">
        <f t="shared" ca="1" si="358"/>
        <v>1469.3369983952084</v>
      </c>
      <c r="BF213" s="85">
        <f t="shared" ca="1" si="359"/>
        <v>1417.407053569171</v>
      </c>
      <c r="BG213" s="85">
        <f t="shared" ca="1" si="360"/>
        <v>1391.1037062460296</v>
      </c>
      <c r="BH213" s="85">
        <f t="shared" ca="1" si="361"/>
        <v>1773.6924631145698</v>
      </c>
      <c r="BI213" s="85">
        <f t="shared" ca="1" si="362"/>
        <v>1448.9913370177958</v>
      </c>
      <c r="BJ213" s="85">
        <f t="shared" ca="1" si="363"/>
        <v>1685.1989054064577</v>
      </c>
      <c r="BK213" s="85">
        <f t="shared" ca="1" si="364"/>
        <v>1540.4224291048827</v>
      </c>
      <c r="BL213" s="85">
        <f t="shared" ca="1" si="365"/>
        <v>1422.5988509894412</v>
      </c>
      <c r="BM213" s="85">
        <f t="shared" ca="1" si="366"/>
        <v>1557.6571640892678</v>
      </c>
      <c r="BN213" s="85">
        <f t="shared" ca="1" si="303"/>
        <v>1761.841981957265</v>
      </c>
      <c r="BO213" s="85">
        <f t="shared" ca="1" si="392"/>
        <v>1964.1445851613471</v>
      </c>
      <c r="BP213" s="85">
        <f t="shared" ca="1" si="393"/>
        <v>1491.2040079955418</v>
      </c>
      <c r="BQ213" s="85">
        <f t="shared" ca="1" si="394"/>
        <v>1680.161066524749</v>
      </c>
      <c r="BR213" s="85">
        <f t="shared" ca="1" si="395"/>
        <v>1386.8939404709865</v>
      </c>
      <c r="BS213" s="85">
        <f t="shared" ca="1" si="396"/>
        <v>1632.8661878127116</v>
      </c>
      <c r="BT213" s="85">
        <f t="shared" ca="1" si="397"/>
        <v>1904.3067464219173</v>
      </c>
      <c r="BU213" s="85">
        <f t="shared" ca="1" si="398"/>
        <v>1482.2641240628366</v>
      </c>
      <c r="BV213" s="85">
        <f t="shared" ca="1" si="399"/>
        <v>1571.7055878636484</v>
      </c>
      <c r="BW213" s="85">
        <f t="shared" ca="1" si="400"/>
        <v>1773.1024773786514</v>
      </c>
      <c r="BX213" s="85">
        <f t="shared" ca="1" si="401"/>
        <v>1676.1971684561584</v>
      </c>
      <c r="BY213" s="85">
        <f t="shared" ca="1" si="367"/>
        <v>1473.4416440480902</v>
      </c>
      <c r="BZ213" s="85">
        <f t="shared" ca="1" si="368"/>
        <v>1507.1679632064468</v>
      </c>
      <c r="CA213" s="85">
        <f t="shared" ca="1" si="369"/>
        <v>1583.7142423127193</v>
      </c>
      <c r="CB213" s="85">
        <f t="shared" ca="1" si="370"/>
        <v>1492.2889226271627</v>
      </c>
      <c r="CC213" s="85">
        <f t="shared" ca="1" si="371"/>
        <v>1717.9125936044977</v>
      </c>
      <c r="CD213" s="85">
        <f t="shared" ca="1" si="372"/>
        <v>1792.8931073394876</v>
      </c>
      <c r="CE213" s="85">
        <f t="shared" ca="1" si="373"/>
        <v>1562.7222836238236</v>
      </c>
      <c r="CF213" s="85">
        <f t="shared" ca="1" si="374"/>
        <v>1808.4943813754476</v>
      </c>
      <c r="CG213" s="85">
        <f t="shared" ca="1" si="375"/>
        <v>1298.788444828474</v>
      </c>
      <c r="CH213" s="85">
        <f t="shared" ca="1" si="376"/>
        <v>1617.8891016382383</v>
      </c>
      <c r="CI213" s="85">
        <f t="shared" ca="1" si="377"/>
        <v>1447.6292884650375</v>
      </c>
      <c r="CJ213" s="85">
        <f t="shared" ca="1" si="378"/>
        <v>1416.9518245546126</v>
      </c>
      <c r="CK213" s="85">
        <f t="shared" ca="1" si="379"/>
        <v>1562.644001088463</v>
      </c>
      <c r="CL213" s="85">
        <f t="shared" ca="1" si="380"/>
        <v>1453.5063865936656</v>
      </c>
      <c r="CM213" s="85">
        <f t="shared" ca="1" si="381"/>
        <v>1806.3836076993823</v>
      </c>
      <c r="CN213" s="85">
        <f t="shared" ca="1" si="382"/>
        <v>1298.318011269688</v>
      </c>
      <c r="CO213" s="85">
        <f t="shared" ca="1" si="383"/>
        <v>1473.6771383872219</v>
      </c>
      <c r="CP213" s="85">
        <f t="shared" ca="1" si="384"/>
        <v>1700.5038473013099</v>
      </c>
      <c r="CQ213" s="85">
        <f t="shared" ca="1" si="385"/>
        <v>1629.7984835667969</v>
      </c>
      <c r="CR213" s="85">
        <f t="shared" ca="1" si="386"/>
        <v>1749.0065371591475</v>
      </c>
      <c r="CS213" s="85">
        <f t="shared" ca="1" si="387"/>
        <v>1273.1073967298821</v>
      </c>
      <c r="CT213" s="85">
        <f t="shared" ca="1" si="388"/>
        <v>1433.6380129479235</v>
      </c>
      <c r="CU213" s="85">
        <f t="shared" ca="1" si="389"/>
        <v>2013.3557690522566</v>
      </c>
      <c r="CV213" s="85">
        <f t="shared" ca="1" si="390"/>
        <v>1455.8836868469282</v>
      </c>
      <c r="CW213" s="85">
        <f t="shared" ca="1" si="391"/>
        <v>1550.7215562903109</v>
      </c>
    </row>
    <row r="214" spans="1:101" x14ac:dyDescent="0.2">
      <c r="A214" s="115">
        <v>211</v>
      </c>
      <c r="B214" s="85">
        <f t="shared" ca="1" si="302"/>
        <v>1268.9531607148815</v>
      </c>
      <c r="C214" s="85">
        <f t="shared" ca="1" si="304"/>
        <v>1637.9014506647136</v>
      </c>
      <c r="D214" s="85">
        <f t="shared" ca="1" si="305"/>
        <v>1582.6597072318461</v>
      </c>
      <c r="E214" s="85">
        <f t="shared" ca="1" si="306"/>
        <v>1413.0069760033841</v>
      </c>
      <c r="F214" s="85">
        <f t="shared" ca="1" si="307"/>
        <v>1515.0137596980924</v>
      </c>
      <c r="G214" s="85">
        <f t="shared" ca="1" si="308"/>
        <v>1630.4768748827435</v>
      </c>
      <c r="H214" s="85">
        <f t="shared" ca="1" si="309"/>
        <v>1607.8455261848871</v>
      </c>
      <c r="I214" s="85">
        <f t="shared" ca="1" si="310"/>
        <v>1782.2100482021556</v>
      </c>
      <c r="J214" s="85">
        <f t="shared" ca="1" si="311"/>
        <v>1479.7049635384058</v>
      </c>
      <c r="K214" s="85">
        <f t="shared" ca="1" si="312"/>
        <v>1727.6030567108066</v>
      </c>
      <c r="L214" s="85">
        <f t="shared" ca="1" si="313"/>
        <v>1889.9006493514191</v>
      </c>
      <c r="M214" s="85">
        <f t="shared" ca="1" si="314"/>
        <v>1403.094269510505</v>
      </c>
      <c r="N214" s="85">
        <f t="shared" ca="1" si="315"/>
        <v>1541.0474576861927</v>
      </c>
      <c r="O214" s="85">
        <f t="shared" ca="1" si="316"/>
        <v>1610.636475444559</v>
      </c>
      <c r="P214" s="85">
        <f t="shared" ca="1" si="317"/>
        <v>1723.8281242186524</v>
      </c>
      <c r="Q214" s="85">
        <f t="shared" ca="1" si="318"/>
        <v>1722.0392200022279</v>
      </c>
      <c r="R214" s="85">
        <f t="shared" ca="1" si="319"/>
        <v>1485.8016746496653</v>
      </c>
      <c r="S214" s="85">
        <f t="shared" ca="1" si="320"/>
        <v>1664.4527997105979</v>
      </c>
      <c r="T214" s="85">
        <f t="shared" ca="1" si="321"/>
        <v>1587.3969883640766</v>
      </c>
      <c r="U214" s="85">
        <f t="shared" ca="1" si="322"/>
        <v>1476.9336746208778</v>
      </c>
      <c r="V214" s="85">
        <f t="shared" ca="1" si="323"/>
        <v>1875.3702057095509</v>
      </c>
      <c r="W214" s="85">
        <f t="shared" ca="1" si="324"/>
        <v>1481.1590915361419</v>
      </c>
      <c r="X214" s="85">
        <f t="shared" ca="1" si="325"/>
        <v>1699.4716054204309</v>
      </c>
      <c r="Y214" s="85">
        <f t="shared" ca="1" si="326"/>
        <v>1482.6873859246814</v>
      </c>
      <c r="Z214" s="85">
        <f t="shared" ca="1" si="327"/>
        <v>1671.5714079446511</v>
      </c>
      <c r="AA214" s="85">
        <f t="shared" ca="1" si="328"/>
        <v>1441.4985913089042</v>
      </c>
      <c r="AB214" s="85">
        <f t="shared" ca="1" si="329"/>
        <v>1883.9866390925258</v>
      </c>
      <c r="AC214" s="85">
        <f t="shared" ca="1" si="330"/>
        <v>1691.4293128521776</v>
      </c>
      <c r="AD214" s="85">
        <f t="shared" ca="1" si="331"/>
        <v>1831.6465014845558</v>
      </c>
      <c r="AE214" s="85">
        <f t="shared" ca="1" si="332"/>
        <v>2021.800394487678</v>
      </c>
      <c r="AF214" s="85">
        <f t="shared" ca="1" si="333"/>
        <v>1330.7239148374117</v>
      </c>
      <c r="AG214" s="85">
        <f t="shared" ca="1" si="334"/>
        <v>1868.7120538748418</v>
      </c>
      <c r="AH214" s="85">
        <f t="shared" ca="1" si="335"/>
        <v>1485.0431168734694</v>
      </c>
      <c r="AI214" s="85">
        <f t="shared" ca="1" si="336"/>
        <v>1729.6904419536525</v>
      </c>
      <c r="AJ214" s="85">
        <f t="shared" ca="1" si="337"/>
        <v>1881.2614273996001</v>
      </c>
      <c r="AK214" s="85">
        <f t="shared" ca="1" si="338"/>
        <v>1636.7887569739353</v>
      </c>
      <c r="AL214" s="85">
        <f t="shared" ca="1" si="339"/>
        <v>1606.5876500464158</v>
      </c>
      <c r="AM214" s="85">
        <f t="shared" ca="1" si="340"/>
        <v>1570.6501806952185</v>
      </c>
      <c r="AN214" s="85">
        <f t="shared" ca="1" si="341"/>
        <v>1708.3843118514399</v>
      </c>
      <c r="AO214" s="85">
        <f t="shared" ca="1" si="342"/>
        <v>2063.6256612734437</v>
      </c>
      <c r="AP214" s="85">
        <f t="shared" ca="1" si="343"/>
        <v>1862.3159299997158</v>
      </c>
      <c r="AQ214" s="85">
        <f t="shared" ca="1" si="344"/>
        <v>1458.3540559840906</v>
      </c>
      <c r="AR214" s="85">
        <f t="shared" ca="1" si="345"/>
        <v>1712.0687864920485</v>
      </c>
      <c r="AS214" s="85">
        <f t="shared" ca="1" si="346"/>
        <v>1560.1802617602366</v>
      </c>
      <c r="AT214" s="85">
        <f t="shared" ca="1" si="347"/>
        <v>1637.6073546732205</v>
      </c>
      <c r="AU214" s="85">
        <f t="shared" ca="1" si="348"/>
        <v>1622.5911797621482</v>
      </c>
      <c r="AV214" s="85">
        <f t="shared" ca="1" si="349"/>
        <v>1751.6483983442181</v>
      </c>
      <c r="AW214" s="85">
        <f t="shared" ca="1" si="350"/>
        <v>1653.2362062123007</v>
      </c>
      <c r="AX214" s="85">
        <f t="shared" ca="1" si="351"/>
        <v>2001.5834556510802</v>
      </c>
      <c r="AY214" s="85">
        <f t="shared" ca="1" si="352"/>
        <v>1941.3910751933495</v>
      </c>
      <c r="AZ214" s="85">
        <f t="shared" ca="1" si="353"/>
        <v>1770.5574049340839</v>
      </c>
      <c r="BA214" s="85">
        <f t="shared" ca="1" si="354"/>
        <v>1895.4270633634339</v>
      </c>
      <c r="BB214" s="85">
        <f t="shared" ca="1" si="355"/>
        <v>1509.4925904165657</v>
      </c>
      <c r="BC214" s="85">
        <f t="shared" ca="1" si="356"/>
        <v>1808.6271594785317</v>
      </c>
      <c r="BD214" s="85">
        <f t="shared" ca="1" si="357"/>
        <v>1722.9071951970195</v>
      </c>
      <c r="BE214" s="85">
        <f t="shared" ca="1" si="358"/>
        <v>1490.7076571639227</v>
      </c>
      <c r="BF214" s="85">
        <f t="shared" ca="1" si="359"/>
        <v>1444.9376662471689</v>
      </c>
      <c r="BG214" s="85">
        <f t="shared" ca="1" si="360"/>
        <v>1396.8001223374308</v>
      </c>
      <c r="BH214" s="85">
        <f t="shared" ca="1" si="361"/>
        <v>1794.0631064935078</v>
      </c>
      <c r="BI214" s="85">
        <f t="shared" ca="1" si="362"/>
        <v>1462.8938193721681</v>
      </c>
      <c r="BJ214" s="85">
        <f t="shared" ca="1" si="363"/>
        <v>1697.4923270682141</v>
      </c>
      <c r="BK214" s="85">
        <f t="shared" ca="1" si="364"/>
        <v>1559.4740978914729</v>
      </c>
      <c r="BL214" s="85">
        <f t="shared" ca="1" si="365"/>
        <v>1431.1673819132131</v>
      </c>
      <c r="BM214" s="85">
        <f t="shared" ca="1" si="366"/>
        <v>1571.0545102872372</v>
      </c>
      <c r="BN214" s="85">
        <f t="shared" ca="1" si="303"/>
        <v>1781.0397397333825</v>
      </c>
      <c r="BO214" s="85">
        <f t="shared" ca="1" si="392"/>
        <v>1991.2871395978484</v>
      </c>
      <c r="BP214" s="85">
        <f t="shared" ca="1" si="393"/>
        <v>1511.9161615023843</v>
      </c>
      <c r="BQ214" s="85">
        <f t="shared" ca="1" si="394"/>
        <v>1709.8320370158999</v>
      </c>
      <c r="BR214" s="85">
        <f t="shared" ca="1" si="395"/>
        <v>1392.4328140647403</v>
      </c>
      <c r="BS214" s="85">
        <f t="shared" ca="1" si="396"/>
        <v>1644.1603275693528</v>
      </c>
      <c r="BT214" s="85">
        <f t="shared" ca="1" si="397"/>
        <v>1914.1198436235848</v>
      </c>
      <c r="BU214" s="85">
        <f t="shared" ca="1" si="398"/>
        <v>1508.9040748463462</v>
      </c>
      <c r="BV214" s="85">
        <f t="shared" ca="1" si="399"/>
        <v>1590.1198053704384</v>
      </c>
      <c r="BW214" s="85">
        <f t="shared" ca="1" si="400"/>
        <v>1775.9795910138673</v>
      </c>
      <c r="BX214" s="85">
        <f t="shared" ca="1" si="401"/>
        <v>1693.2754257687886</v>
      </c>
      <c r="BY214" s="85">
        <f t="shared" ca="1" si="367"/>
        <v>1465.7476966246138</v>
      </c>
      <c r="BZ214" s="85">
        <f t="shared" ca="1" si="368"/>
        <v>1521.91912721523</v>
      </c>
      <c r="CA214" s="85">
        <f t="shared" ca="1" si="369"/>
        <v>1616.7804131448604</v>
      </c>
      <c r="CB214" s="85">
        <f t="shared" ca="1" si="370"/>
        <v>1506.4036831153292</v>
      </c>
      <c r="CC214" s="85">
        <f t="shared" ca="1" si="371"/>
        <v>1731.8160314234101</v>
      </c>
      <c r="CD214" s="85">
        <f t="shared" ca="1" si="372"/>
        <v>1842.9421341616826</v>
      </c>
      <c r="CE214" s="85">
        <f t="shared" ca="1" si="373"/>
        <v>1575.0606843075864</v>
      </c>
      <c r="CF214" s="85">
        <f t="shared" ca="1" si="374"/>
        <v>1826.8892239788318</v>
      </c>
      <c r="CG214" s="85">
        <f t="shared" ca="1" si="375"/>
        <v>1319.8040982941434</v>
      </c>
      <c r="CH214" s="85">
        <f t="shared" ca="1" si="376"/>
        <v>1644.7501626485775</v>
      </c>
      <c r="CI214" s="85">
        <f t="shared" ca="1" si="377"/>
        <v>1464.7194030458147</v>
      </c>
      <c r="CJ214" s="85">
        <f t="shared" ca="1" si="378"/>
        <v>1443.2889093597778</v>
      </c>
      <c r="CK214" s="85">
        <f t="shared" ca="1" si="379"/>
        <v>1576.5627318887994</v>
      </c>
      <c r="CL214" s="85">
        <f t="shared" ca="1" si="380"/>
        <v>1458.8708317650476</v>
      </c>
      <c r="CM214" s="85">
        <f t="shared" ca="1" si="381"/>
        <v>1842.2666724350133</v>
      </c>
      <c r="CN214" s="85">
        <f t="shared" ca="1" si="382"/>
        <v>1314.9760666344898</v>
      </c>
      <c r="CO214" s="85">
        <f t="shared" ca="1" si="383"/>
        <v>1498.491706080064</v>
      </c>
      <c r="CP214" s="85">
        <f t="shared" ca="1" si="384"/>
        <v>1739.143800613906</v>
      </c>
      <c r="CQ214" s="85">
        <f t="shared" ca="1" si="385"/>
        <v>1668.4654252209502</v>
      </c>
      <c r="CR214" s="85">
        <f t="shared" ca="1" si="386"/>
        <v>1740.5583404816105</v>
      </c>
      <c r="CS214" s="85">
        <f t="shared" ca="1" si="387"/>
        <v>1297.6667293082251</v>
      </c>
      <c r="CT214" s="85">
        <f t="shared" ca="1" si="388"/>
        <v>1460.1211560205081</v>
      </c>
      <c r="CU214" s="85">
        <f t="shared" ca="1" si="389"/>
        <v>2052.1591197976222</v>
      </c>
      <c r="CV214" s="85">
        <f t="shared" ca="1" si="390"/>
        <v>1474.9710585620546</v>
      </c>
      <c r="CW214" s="85">
        <f t="shared" ca="1" si="391"/>
        <v>1583.4637554622443</v>
      </c>
    </row>
    <row r="215" spans="1:101" x14ac:dyDescent="0.2">
      <c r="A215" s="115">
        <v>212</v>
      </c>
      <c r="B215" s="85">
        <f t="shared" ca="1" si="302"/>
        <v>1281.7950846334204</v>
      </c>
      <c r="C215" s="85">
        <f t="shared" ca="1" si="304"/>
        <v>1662.9440277310043</v>
      </c>
      <c r="D215" s="85">
        <f t="shared" ca="1" si="305"/>
        <v>1608.9270468457978</v>
      </c>
      <c r="E215" s="85">
        <f t="shared" ca="1" si="306"/>
        <v>1437.1256128106297</v>
      </c>
      <c r="F215" s="85">
        <f t="shared" ca="1" si="307"/>
        <v>1546.9818701916406</v>
      </c>
      <c r="G215" s="85">
        <f t="shared" ca="1" si="308"/>
        <v>1640.0455004966075</v>
      </c>
      <c r="H215" s="85">
        <f t="shared" ca="1" si="309"/>
        <v>1629.5005372266589</v>
      </c>
      <c r="I215" s="85">
        <f t="shared" ca="1" si="310"/>
        <v>1822.8443789367241</v>
      </c>
      <c r="J215" s="85">
        <f t="shared" ca="1" si="311"/>
        <v>1500.1322074264522</v>
      </c>
      <c r="K215" s="85">
        <f t="shared" ca="1" si="312"/>
        <v>1748.5486748849537</v>
      </c>
      <c r="L215" s="85">
        <f t="shared" ca="1" si="313"/>
        <v>1904.2948242753744</v>
      </c>
      <c r="M215" s="85">
        <f t="shared" ca="1" si="314"/>
        <v>1408.9943554811857</v>
      </c>
      <c r="N215" s="85">
        <f t="shared" ca="1" si="315"/>
        <v>1560.2341108026949</v>
      </c>
      <c r="O215" s="85">
        <f t="shared" ca="1" si="316"/>
        <v>1639.218412371629</v>
      </c>
      <c r="P215" s="85">
        <f t="shared" ca="1" si="317"/>
        <v>1736.6131442145552</v>
      </c>
      <c r="Q215" s="85">
        <f t="shared" ca="1" si="318"/>
        <v>1743.3758395873056</v>
      </c>
      <c r="R215" s="85">
        <f t="shared" ca="1" si="319"/>
        <v>1490.1694690288814</v>
      </c>
      <c r="S215" s="85">
        <f t="shared" ca="1" si="320"/>
        <v>1695.4040436736975</v>
      </c>
      <c r="T215" s="85">
        <f t="shared" ca="1" si="321"/>
        <v>1614.4565122288052</v>
      </c>
      <c r="U215" s="85">
        <f t="shared" ca="1" si="322"/>
        <v>1506.9720702252496</v>
      </c>
      <c r="V215" s="85">
        <f t="shared" ca="1" si="323"/>
        <v>1921.3524466552974</v>
      </c>
      <c r="W215" s="85">
        <f t="shared" ca="1" si="324"/>
        <v>1496.3820489148097</v>
      </c>
      <c r="X215" s="85">
        <f t="shared" ca="1" si="325"/>
        <v>1727.6926483954769</v>
      </c>
      <c r="Y215" s="85">
        <f t="shared" ca="1" si="326"/>
        <v>1500.6227468227064</v>
      </c>
      <c r="Z215" s="85">
        <f t="shared" ca="1" si="327"/>
        <v>1675.351333927495</v>
      </c>
      <c r="AA215" s="85">
        <f t="shared" ca="1" si="328"/>
        <v>1458.5307293467374</v>
      </c>
      <c r="AB215" s="85">
        <f t="shared" ca="1" si="329"/>
        <v>1926.5616257463171</v>
      </c>
      <c r="AC215" s="85">
        <f t="shared" ca="1" si="330"/>
        <v>1723.5725540025837</v>
      </c>
      <c r="AD215" s="85">
        <f t="shared" ca="1" si="331"/>
        <v>1834.9355375462319</v>
      </c>
      <c r="AE215" s="85">
        <f t="shared" ca="1" si="332"/>
        <v>2046.6006030090657</v>
      </c>
      <c r="AF215" s="85">
        <f t="shared" ca="1" si="333"/>
        <v>1352.2998475841059</v>
      </c>
      <c r="AG215" s="85">
        <f t="shared" ca="1" si="334"/>
        <v>1907.4648564025172</v>
      </c>
      <c r="AH215" s="85">
        <f t="shared" ca="1" si="335"/>
        <v>1497.9961292234366</v>
      </c>
      <c r="AI215" s="85">
        <f t="shared" ca="1" si="336"/>
        <v>1748.8752726447515</v>
      </c>
      <c r="AJ215" s="85">
        <f t="shared" ca="1" si="337"/>
        <v>1921.6904207917798</v>
      </c>
      <c r="AK215" s="85">
        <f t="shared" ca="1" si="338"/>
        <v>1643.4107942094231</v>
      </c>
      <c r="AL215" s="85">
        <f t="shared" ca="1" si="339"/>
        <v>1622.4206487255283</v>
      </c>
      <c r="AM215" s="85">
        <f t="shared" ca="1" si="340"/>
        <v>1604.5838880428325</v>
      </c>
      <c r="AN215" s="85">
        <f t="shared" ca="1" si="341"/>
        <v>1741.2768200881126</v>
      </c>
      <c r="AO215" s="85">
        <f t="shared" ca="1" si="342"/>
        <v>2110.5065937272484</v>
      </c>
      <c r="AP215" s="85">
        <f t="shared" ca="1" si="343"/>
        <v>1887.2312135481397</v>
      </c>
      <c r="AQ215" s="85">
        <f t="shared" ca="1" si="344"/>
        <v>1455.4914412060159</v>
      </c>
      <c r="AR215" s="85">
        <f t="shared" ca="1" si="345"/>
        <v>1733.8917759266626</v>
      </c>
      <c r="AS215" s="85">
        <f t="shared" ca="1" si="346"/>
        <v>1589.7798454649057</v>
      </c>
      <c r="AT215" s="85">
        <f t="shared" ca="1" si="347"/>
        <v>1668.1883839020222</v>
      </c>
      <c r="AU215" s="85">
        <f t="shared" ca="1" si="348"/>
        <v>1640.3519155815791</v>
      </c>
      <c r="AV215" s="85">
        <f t="shared" ca="1" si="349"/>
        <v>1771.2594512475241</v>
      </c>
      <c r="AW215" s="85">
        <f t="shared" ca="1" si="350"/>
        <v>1681.9658714382299</v>
      </c>
      <c r="AX215" s="85">
        <f t="shared" ca="1" si="351"/>
        <v>2052.3797405879677</v>
      </c>
      <c r="AY215" s="85">
        <f t="shared" ca="1" si="352"/>
        <v>1966.9944755322085</v>
      </c>
      <c r="AZ215" s="85">
        <f t="shared" ca="1" si="353"/>
        <v>1792.4048366735612</v>
      </c>
      <c r="BA215" s="85">
        <f t="shared" ca="1" si="354"/>
        <v>1915.0105880856574</v>
      </c>
      <c r="BB215" s="85">
        <f t="shared" ca="1" si="355"/>
        <v>1530.438166687225</v>
      </c>
      <c r="BC215" s="85">
        <f t="shared" ca="1" si="356"/>
        <v>1846.6771818664586</v>
      </c>
      <c r="BD215" s="85">
        <f t="shared" ca="1" si="357"/>
        <v>1758.37283485637</v>
      </c>
      <c r="BE215" s="85">
        <f t="shared" ca="1" si="358"/>
        <v>1508.3919268956165</v>
      </c>
      <c r="BF215" s="85">
        <f t="shared" ca="1" si="359"/>
        <v>1480.1784637448479</v>
      </c>
      <c r="BG215" s="85">
        <f t="shared" ca="1" si="360"/>
        <v>1418.9498314311763</v>
      </c>
      <c r="BH215" s="85">
        <f t="shared" ca="1" si="361"/>
        <v>1792.9269805614376</v>
      </c>
      <c r="BI215" s="85">
        <f t="shared" ca="1" si="362"/>
        <v>1468.8994007368221</v>
      </c>
      <c r="BJ215" s="85">
        <f t="shared" ca="1" si="363"/>
        <v>1724.9321676908737</v>
      </c>
      <c r="BK215" s="85">
        <f t="shared" ca="1" si="364"/>
        <v>1592.0221339549714</v>
      </c>
      <c r="BL215" s="85">
        <f t="shared" ca="1" si="365"/>
        <v>1445.9479299698662</v>
      </c>
      <c r="BM215" s="85">
        <f t="shared" ca="1" si="366"/>
        <v>1598.6545193110614</v>
      </c>
      <c r="BN215" s="85">
        <f t="shared" ca="1" si="303"/>
        <v>1812.0632797884716</v>
      </c>
      <c r="BO215" s="85">
        <f t="shared" ca="1" si="392"/>
        <v>2006.311399589129</v>
      </c>
      <c r="BP215" s="85">
        <f t="shared" ca="1" si="393"/>
        <v>1531.5647981228178</v>
      </c>
      <c r="BQ215" s="85">
        <f t="shared" ca="1" si="394"/>
        <v>1748.9478896265514</v>
      </c>
      <c r="BR215" s="85">
        <f t="shared" ca="1" si="395"/>
        <v>1416.1460033045914</v>
      </c>
      <c r="BS215" s="85">
        <f t="shared" ca="1" si="396"/>
        <v>1644.9122598168065</v>
      </c>
      <c r="BT215" s="85">
        <f t="shared" ca="1" si="397"/>
        <v>1922.83547151534</v>
      </c>
      <c r="BU215" s="85">
        <f t="shared" ca="1" si="398"/>
        <v>1525.0731017859889</v>
      </c>
      <c r="BV215" s="85">
        <f t="shared" ca="1" si="399"/>
        <v>1624.6518378231428</v>
      </c>
      <c r="BW215" s="85">
        <f t="shared" ca="1" si="400"/>
        <v>1806.0237545406867</v>
      </c>
      <c r="BX215" s="85">
        <f t="shared" ca="1" si="401"/>
        <v>1701.0442923726505</v>
      </c>
      <c r="BY215" s="85">
        <f t="shared" ca="1" si="367"/>
        <v>1482.2608859328834</v>
      </c>
      <c r="BZ215" s="85">
        <f t="shared" ca="1" si="368"/>
        <v>1555.0778846242788</v>
      </c>
      <c r="CA215" s="85">
        <f t="shared" ca="1" si="369"/>
        <v>1628.7613546767921</v>
      </c>
      <c r="CB215" s="85">
        <f t="shared" ca="1" si="370"/>
        <v>1508.791741363123</v>
      </c>
      <c r="CC215" s="85">
        <f t="shared" ca="1" si="371"/>
        <v>1741.4385215033954</v>
      </c>
      <c r="CD215" s="85">
        <f t="shared" ca="1" si="372"/>
        <v>1891.7907455917134</v>
      </c>
      <c r="CE215" s="85">
        <f t="shared" ca="1" si="373"/>
        <v>1589.7693479390016</v>
      </c>
      <c r="CF215" s="85">
        <f t="shared" ca="1" si="374"/>
        <v>1839.4168697308812</v>
      </c>
      <c r="CG215" s="85">
        <f t="shared" ca="1" si="375"/>
        <v>1352.6077609733636</v>
      </c>
      <c r="CH215" s="85">
        <f t="shared" ca="1" si="376"/>
        <v>1667.5358590326384</v>
      </c>
      <c r="CI215" s="85">
        <f t="shared" ca="1" si="377"/>
        <v>1469.9435374266041</v>
      </c>
      <c r="CJ215" s="85">
        <f t="shared" ca="1" si="378"/>
        <v>1464.9692495857116</v>
      </c>
      <c r="CK215" s="85">
        <f t="shared" ca="1" si="379"/>
        <v>1592.3614219911533</v>
      </c>
      <c r="CL215" s="85">
        <f t="shared" ca="1" si="380"/>
        <v>1460.659428090913</v>
      </c>
      <c r="CM215" s="85">
        <f t="shared" ca="1" si="381"/>
        <v>1833.1172824409794</v>
      </c>
      <c r="CN215" s="85">
        <f t="shared" ca="1" si="382"/>
        <v>1320.7321425879873</v>
      </c>
      <c r="CO215" s="85">
        <f t="shared" ca="1" si="383"/>
        <v>1530.5206329681591</v>
      </c>
      <c r="CP215" s="85">
        <f t="shared" ca="1" si="384"/>
        <v>1769.3116442400517</v>
      </c>
      <c r="CQ215" s="85">
        <f t="shared" ca="1" si="385"/>
        <v>1677.8840765981736</v>
      </c>
      <c r="CR215" s="85">
        <f t="shared" ca="1" si="386"/>
        <v>1758.4834193577824</v>
      </c>
      <c r="CS215" s="85">
        <f t="shared" ca="1" si="387"/>
        <v>1304.2547133036371</v>
      </c>
      <c r="CT215" s="85">
        <f t="shared" ca="1" si="388"/>
        <v>1482.9469389826334</v>
      </c>
      <c r="CU215" s="85">
        <f t="shared" ca="1" si="389"/>
        <v>2093.0346301662271</v>
      </c>
      <c r="CV215" s="85">
        <f t="shared" ca="1" si="390"/>
        <v>1490.5804109404687</v>
      </c>
      <c r="CW215" s="85">
        <f t="shared" ca="1" si="391"/>
        <v>1601.6487186665649</v>
      </c>
    </row>
    <row r="216" spans="1:101" x14ac:dyDescent="0.2">
      <c r="A216" s="115">
        <v>213</v>
      </c>
      <c r="B216" s="85">
        <f t="shared" ca="1" si="302"/>
        <v>1307.9379752212631</v>
      </c>
      <c r="C216" s="85">
        <f t="shared" ca="1" si="304"/>
        <v>1666.3954248344558</v>
      </c>
      <c r="D216" s="85">
        <f t="shared" ca="1" si="305"/>
        <v>1635.5369270435465</v>
      </c>
      <c r="E216" s="85">
        <f t="shared" ca="1" si="306"/>
        <v>1449.4930364655634</v>
      </c>
      <c r="F216" s="85">
        <f t="shared" ca="1" si="307"/>
        <v>1566.2997115226467</v>
      </c>
      <c r="G216" s="85">
        <f t="shared" ca="1" si="308"/>
        <v>1665.7200263309321</v>
      </c>
      <c r="H216" s="85">
        <f t="shared" ca="1" si="309"/>
        <v>1662.1392653645382</v>
      </c>
      <c r="I216" s="85">
        <f t="shared" ca="1" si="310"/>
        <v>1864.1494943070136</v>
      </c>
      <c r="J216" s="85">
        <f t="shared" ca="1" si="311"/>
        <v>1525.5607845909872</v>
      </c>
      <c r="K216" s="85">
        <f t="shared" ca="1" si="312"/>
        <v>1766.0583708948925</v>
      </c>
      <c r="L216" s="85">
        <f t="shared" ca="1" si="313"/>
        <v>1916.1295535854777</v>
      </c>
      <c r="M216" s="85">
        <f t="shared" ca="1" si="314"/>
        <v>1434.9955471249013</v>
      </c>
      <c r="N216" s="85">
        <f t="shared" ca="1" si="315"/>
        <v>1591.4432901315533</v>
      </c>
      <c r="O216" s="85">
        <f t="shared" ca="1" si="316"/>
        <v>1664.7277631300635</v>
      </c>
      <c r="P216" s="85">
        <f t="shared" ca="1" si="317"/>
        <v>1775.4944301348301</v>
      </c>
      <c r="Q216" s="85">
        <f t="shared" ca="1" si="318"/>
        <v>1769.9372549864568</v>
      </c>
      <c r="R216" s="85">
        <f t="shared" ca="1" si="319"/>
        <v>1526.4707643266311</v>
      </c>
      <c r="S216" s="85">
        <f t="shared" ca="1" si="320"/>
        <v>1726.3979072868335</v>
      </c>
      <c r="T216" s="85">
        <f t="shared" ca="1" si="321"/>
        <v>1635.1868817514289</v>
      </c>
      <c r="U216" s="85">
        <f t="shared" ca="1" si="322"/>
        <v>1541.0254821330229</v>
      </c>
      <c r="V216" s="85">
        <f t="shared" ca="1" si="323"/>
        <v>1955.9280624745961</v>
      </c>
      <c r="W216" s="85">
        <f t="shared" ca="1" si="324"/>
        <v>1517.7786852681297</v>
      </c>
      <c r="X216" s="85">
        <f t="shared" ca="1" si="325"/>
        <v>1756.2516515093841</v>
      </c>
      <c r="Y216" s="85">
        <f t="shared" ca="1" si="326"/>
        <v>1534.5332960643059</v>
      </c>
      <c r="Z216" s="85">
        <f t="shared" ca="1" si="327"/>
        <v>1676.4237710486225</v>
      </c>
      <c r="AA216" s="85">
        <f t="shared" ca="1" si="328"/>
        <v>1496.3709910586729</v>
      </c>
      <c r="AB216" s="85">
        <f t="shared" ca="1" si="329"/>
        <v>1952.1259250174617</v>
      </c>
      <c r="AC216" s="85">
        <f t="shared" ca="1" si="330"/>
        <v>1752.466511299953</v>
      </c>
      <c r="AD216" s="85">
        <f t="shared" ca="1" si="331"/>
        <v>1862.3197288672657</v>
      </c>
      <c r="AE216" s="85">
        <f t="shared" ca="1" si="332"/>
        <v>2058.2213171684266</v>
      </c>
      <c r="AF216" s="85">
        <f t="shared" ca="1" si="333"/>
        <v>1356.8501317669227</v>
      </c>
      <c r="AG216" s="85">
        <f t="shared" ca="1" si="334"/>
        <v>1928.4943965048965</v>
      </c>
      <c r="AH216" s="85">
        <f t="shared" ca="1" si="335"/>
        <v>1518.5325654120522</v>
      </c>
      <c r="AI216" s="85">
        <f t="shared" ca="1" si="336"/>
        <v>1765.9321315132352</v>
      </c>
      <c r="AJ216" s="85">
        <f t="shared" ca="1" si="337"/>
        <v>1952.6886675658391</v>
      </c>
      <c r="AK216" s="85">
        <f t="shared" ca="1" si="338"/>
        <v>1660.9736851505863</v>
      </c>
      <c r="AL216" s="85">
        <f t="shared" ca="1" si="339"/>
        <v>1646.97071734013</v>
      </c>
      <c r="AM216" s="85">
        <f t="shared" ca="1" si="340"/>
        <v>1627.2337792576875</v>
      </c>
      <c r="AN216" s="85">
        <f t="shared" ca="1" si="341"/>
        <v>1742.7550942643743</v>
      </c>
      <c r="AO216" s="85">
        <f t="shared" ca="1" si="342"/>
        <v>2166.1859814122968</v>
      </c>
      <c r="AP216" s="85">
        <f t="shared" ca="1" si="343"/>
        <v>1892.0260497463667</v>
      </c>
      <c r="AQ216" s="85">
        <f t="shared" ca="1" si="344"/>
        <v>1499.6801473779767</v>
      </c>
      <c r="AR216" s="85">
        <f t="shared" ca="1" si="345"/>
        <v>1753.9215762760646</v>
      </c>
      <c r="AS216" s="85">
        <f t="shared" ca="1" si="346"/>
        <v>1623.7313120532692</v>
      </c>
      <c r="AT216" s="85">
        <f t="shared" ca="1" si="347"/>
        <v>1688.0649302183967</v>
      </c>
      <c r="AU216" s="85">
        <f t="shared" ca="1" si="348"/>
        <v>1664.1371132774252</v>
      </c>
      <c r="AV216" s="85">
        <f t="shared" ca="1" si="349"/>
        <v>1799.4755620319893</v>
      </c>
      <c r="AW216" s="85">
        <f t="shared" ca="1" si="350"/>
        <v>1676.2736582796397</v>
      </c>
      <c r="AX216" s="85">
        <f t="shared" ca="1" si="351"/>
        <v>2079.7388832991364</v>
      </c>
      <c r="AY216" s="85">
        <f t="shared" ca="1" si="352"/>
        <v>1988.0044210554088</v>
      </c>
      <c r="AZ216" s="85">
        <f t="shared" ca="1" si="353"/>
        <v>1819.528959086344</v>
      </c>
      <c r="BA216" s="85">
        <f t="shared" ca="1" si="354"/>
        <v>1947.5709266798726</v>
      </c>
      <c r="BB216" s="85">
        <f t="shared" ca="1" si="355"/>
        <v>1543.2348587758506</v>
      </c>
      <c r="BC216" s="85">
        <f t="shared" ca="1" si="356"/>
        <v>1889.5627550272895</v>
      </c>
      <c r="BD216" s="85">
        <f t="shared" ca="1" si="357"/>
        <v>1795.4247683242379</v>
      </c>
      <c r="BE216" s="85">
        <f t="shared" ca="1" si="358"/>
        <v>1538.4797522987035</v>
      </c>
      <c r="BF216" s="85">
        <f t="shared" ca="1" si="359"/>
        <v>1523.2206170817287</v>
      </c>
      <c r="BG216" s="85">
        <f t="shared" ca="1" si="360"/>
        <v>1441.7522677495595</v>
      </c>
      <c r="BH216" s="85">
        <f t="shared" ca="1" si="361"/>
        <v>1822.2910756508788</v>
      </c>
      <c r="BI216" s="85">
        <f t="shared" ca="1" si="362"/>
        <v>1496.403291541829</v>
      </c>
      <c r="BJ216" s="85">
        <f t="shared" ca="1" si="363"/>
        <v>1730.6553492551027</v>
      </c>
      <c r="BK216" s="85">
        <f t="shared" ca="1" si="364"/>
        <v>1593.4728130600408</v>
      </c>
      <c r="BL216" s="85">
        <f t="shared" ca="1" si="365"/>
        <v>1489.6560093200942</v>
      </c>
      <c r="BM216" s="85">
        <f t="shared" ca="1" si="366"/>
        <v>1611.1915709430577</v>
      </c>
      <c r="BN216" s="85">
        <f t="shared" ca="1" si="303"/>
        <v>1864.423019576047</v>
      </c>
      <c r="BO216" s="85">
        <f t="shared" ca="1" si="392"/>
        <v>2026.7354500950123</v>
      </c>
      <c r="BP216" s="85">
        <f t="shared" ca="1" si="393"/>
        <v>1550.8410059207977</v>
      </c>
      <c r="BQ216" s="85">
        <f t="shared" ca="1" si="394"/>
        <v>1796.2380381459523</v>
      </c>
      <c r="BR216" s="85">
        <f t="shared" ca="1" si="395"/>
        <v>1437.1236066956387</v>
      </c>
      <c r="BS216" s="85">
        <f t="shared" ca="1" si="396"/>
        <v>1658.5451617477477</v>
      </c>
      <c r="BT216" s="85">
        <f t="shared" ca="1" si="397"/>
        <v>1943.8526108108319</v>
      </c>
      <c r="BU216" s="85">
        <f t="shared" ca="1" si="398"/>
        <v>1531.7247902436477</v>
      </c>
      <c r="BV216" s="85">
        <f t="shared" ca="1" si="399"/>
        <v>1640.4607011268229</v>
      </c>
      <c r="BW216" s="85">
        <f t="shared" ca="1" si="400"/>
        <v>1821.3324734758762</v>
      </c>
      <c r="BX216" s="85">
        <f t="shared" ca="1" si="401"/>
        <v>1722.1811420360195</v>
      </c>
      <c r="BY216" s="85">
        <f t="shared" ca="1" si="367"/>
        <v>1511.0115872657989</v>
      </c>
      <c r="BZ216" s="85">
        <f t="shared" ca="1" si="368"/>
        <v>1601.3569306606621</v>
      </c>
      <c r="CA216" s="85">
        <f t="shared" ca="1" si="369"/>
        <v>1650.8963590332219</v>
      </c>
      <c r="CB216" s="85">
        <f t="shared" ca="1" si="370"/>
        <v>1538.1764472002501</v>
      </c>
      <c r="CC216" s="85">
        <f t="shared" ca="1" si="371"/>
        <v>1780.7795897084036</v>
      </c>
      <c r="CD216" s="85">
        <f t="shared" ca="1" si="372"/>
        <v>1912.7311372417576</v>
      </c>
      <c r="CE216" s="85">
        <f t="shared" ca="1" si="373"/>
        <v>1625.0934713008705</v>
      </c>
      <c r="CF216" s="85">
        <f t="shared" ca="1" si="374"/>
        <v>1871.8328551930438</v>
      </c>
      <c r="CG216" s="85">
        <f t="shared" ca="1" si="375"/>
        <v>1364.3143552833697</v>
      </c>
      <c r="CH216" s="85">
        <f t="shared" ca="1" si="376"/>
        <v>1693.128396712184</v>
      </c>
      <c r="CI216" s="85">
        <f t="shared" ca="1" si="377"/>
        <v>1472.2171793169146</v>
      </c>
      <c r="CJ216" s="85">
        <f t="shared" ca="1" si="378"/>
        <v>1481.4853012915003</v>
      </c>
      <c r="CK216" s="85">
        <f t="shared" ca="1" si="379"/>
        <v>1632.7255058132689</v>
      </c>
      <c r="CL216" s="85">
        <f t="shared" ca="1" si="380"/>
        <v>1491.5997614129917</v>
      </c>
      <c r="CM216" s="85">
        <f t="shared" ca="1" si="381"/>
        <v>1858.6962334966836</v>
      </c>
      <c r="CN216" s="85">
        <f t="shared" ca="1" si="382"/>
        <v>1328.1228259596589</v>
      </c>
      <c r="CO216" s="85">
        <f t="shared" ca="1" si="383"/>
        <v>1543.7820309880769</v>
      </c>
      <c r="CP216" s="85">
        <f t="shared" ca="1" si="384"/>
        <v>1803.2078871984932</v>
      </c>
      <c r="CQ216" s="85">
        <f t="shared" ca="1" si="385"/>
        <v>1688.6810635260726</v>
      </c>
      <c r="CR216" s="85">
        <f t="shared" ca="1" si="386"/>
        <v>1760.888352664236</v>
      </c>
      <c r="CS216" s="85">
        <f t="shared" ca="1" si="387"/>
        <v>1322.9458132099246</v>
      </c>
      <c r="CT216" s="85">
        <f t="shared" ca="1" si="388"/>
        <v>1498.1006957558091</v>
      </c>
      <c r="CU216" s="85">
        <f t="shared" ca="1" si="389"/>
        <v>2140.8611657220863</v>
      </c>
      <c r="CV216" s="85">
        <f t="shared" ca="1" si="390"/>
        <v>1523.678731281929</v>
      </c>
      <c r="CW216" s="85">
        <f t="shared" ca="1" si="391"/>
        <v>1617.1849959039018</v>
      </c>
    </row>
    <row r="217" spans="1:101" x14ac:dyDescent="0.2">
      <c r="A217" s="115">
        <v>214</v>
      </c>
      <c r="B217" s="85">
        <f t="shared" ca="1" si="302"/>
        <v>1316.7367437357632</v>
      </c>
      <c r="C217" s="85">
        <f t="shared" ca="1" si="304"/>
        <v>1682.2663480182161</v>
      </c>
      <c r="D217" s="85">
        <f t="shared" ca="1" si="305"/>
        <v>1661.3648438743433</v>
      </c>
      <c r="E217" s="85">
        <f t="shared" ca="1" si="306"/>
        <v>1463.5056946576333</v>
      </c>
      <c r="F217" s="85">
        <f t="shared" ca="1" si="307"/>
        <v>1588.641806969631</v>
      </c>
      <c r="G217" s="85">
        <f t="shared" ca="1" si="308"/>
        <v>1703.7207275691358</v>
      </c>
      <c r="H217" s="85">
        <f t="shared" ca="1" si="309"/>
        <v>1674.4439888881163</v>
      </c>
      <c r="I217" s="85">
        <f t="shared" ca="1" si="310"/>
        <v>1898.2131443759333</v>
      </c>
      <c r="J217" s="85">
        <f t="shared" ca="1" si="311"/>
        <v>1549.3449533287605</v>
      </c>
      <c r="K217" s="85">
        <f t="shared" ca="1" si="312"/>
        <v>1800.1991512563873</v>
      </c>
      <c r="L217" s="85">
        <f t="shared" ca="1" si="313"/>
        <v>1923.477479933935</v>
      </c>
      <c r="M217" s="85">
        <f t="shared" ca="1" si="314"/>
        <v>1440.1769483782505</v>
      </c>
      <c r="N217" s="85">
        <f t="shared" ca="1" si="315"/>
        <v>1607.0594433850517</v>
      </c>
      <c r="O217" s="85">
        <f t="shared" ca="1" si="316"/>
        <v>1702.6917034161306</v>
      </c>
      <c r="P217" s="85">
        <f t="shared" ca="1" si="317"/>
        <v>1785.9294469642912</v>
      </c>
      <c r="Q217" s="85">
        <f t="shared" ca="1" si="318"/>
        <v>1784.7639246658518</v>
      </c>
      <c r="R217" s="85">
        <f t="shared" ca="1" si="319"/>
        <v>1544.035612968758</v>
      </c>
      <c r="S217" s="85">
        <f t="shared" ca="1" si="320"/>
        <v>1743.5056819658596</v>
      </c>
      <c r="T217" s="85">
        <f t="shared" ca="1" si="321"/>
        <v>1647.3980646034713</v>
      </c>
      <c r="U217" s="85">
        <f t="shared" ca="1" si="322"/>
        <v>1552.6396763746695</v>
      </c>
      <c r="V217" s="85">
        <f t="shared" ca="1" si="323"/>
        <v>1996.586684688875</v>
      </c>
      <c r="W217" s="85">
        <f t="shared" ca="1" si="324"/>
        <v>1553.1755126268224</v>
      </c>
      <c r="X217" s="85">
        <f t="shared" ca="1" si="325"/>
        <v>1784.8005072861004</v>
      </c>
      <c r="Y217" s="85">
        <f t="shared" ca="1" si="326"/>
        <v>1564.9822805404228</v>
      </c>
      <c r="Z217" s="85">
        <f t="shared" ca="1" si="327"/>
        <v>1701.490838035875</v>
      </c>
      <c r="AA217" s="85">
        <f t="shared" ca="1" si="328"/>
        <v>1531.6039454614545</v>
      </c>
      <c r="AB217" s="85">
        <f t="shared" ca="1" si="329"/>
        <v>1991.1497843555003</v>
      </c>
      <c r="AC217" s="85">
        <f t="shared" ca="1" si="330"/>
        <v>1758.4261605675315</v>
      </c>
      <c r="AD217" s="85">
        <f t="shared" ca="1" si="331"/>
        <v>1891.22756684349</v>
      </c>
      <c r="AE217" s="85">
        <f t="shared" ca="1" si="332"/>
        <v>2084.8107583166293</v>
      </c>
      <c r="AF217" s="85">
        <f t="shared" ca="1" si="333"/>
        <v>1375.1736852800748</v>
      </c>
      <c r="AG217" s="85">
        <f t="shared" ca="1" si="334"/>
        <v>1980.4852528719496</v>
      </c>
      <c r="AH217" s="85">
        <f t="shared" ca="1" si="335"/>
        <v>1532.1776487371008</v>
      </c>
      <c r="AI217" s="85">
        <f t="shared" ca="1" si="336"/>
        <v>1794.4569719127942</v>
      </c>
      <c r="AJ217" s="85">
        <f t="shared" ca="1" si="337"/>
        <v>1978.4185209486986</v>
      </c>
      <c r="AK217" s="85">
        <f t="shared" ca="1" si="338"/>
        <v>1674.0844626283156</v>
      </c>
      <c r="AL217" s="85">
        <f t="shared" ca="1" si="339"/>
        <v>1670.9886433168733</v>
      </c>
      <c r="AM217" s="85">
        <f t="shared" ca="1" si="340"/>
        <v>1644.3080458786608</v>
      </c>
      <c r="AN217" s="85">
        <f t="shared" ca="1" si="341"/>
        <v>1757.7812719991739</v>
      </c>
      <c r="AO217" s="85">
        <f t="shared" ca="1" si="342"/>
        <v>2218.1287501676356</v>
      </c>
      <c r="AP217" s="85">
        <f t="shared" ca="1" si="343"/>
        <v>1926.9979825292446</v>
      </c>
      <c r="AQ217" s="85">
        <f t="shared" ca="1" si="344"/>
        <v>1518.2348185936385</v>
      </c>
      <c r="AR217" s="85">
        <f t="shared" ca="1" si="345"/>
        <v>1788.806736725471</v>
      </c>
      <c r="AS217" s="85">
        <f t="shared" ca="1" si="346"/>
        <v>1648.7594298682982</v>
      </c>
      <c r="AT217" s="85">
        <f t="shared" ca="1" si="347"/>
        <v>1729.2625488799242</v>
      </c>
      <c r="AU217" s="85">
        <f t="shared" ca="1" si="348"/>
        <v>1675.77071789152</v>
      </c>
      <c r="AV217" s="85">
        <f t="shared" ca="1" si="349"/>
        <v>1833.6606466146229</v>
      </c>
      <c r="AW217" s="85">
        <f t="shared" ca="1" si="350"/>
        <v>1691.413266830175</v>
      </c>
      <c r="AX217" s="85">
        <f t="shared" ca="1" si="351"/>
        <v>2123.4479596648762</v>
      </c>
      <c r="AY217" s="85">
        <f t="shared" ca="1" si="352"/>
        <v>2011.2523054847188</v>
      </c>
      <c r="AZ217" s="85">
        <f t="shared" ca="1" si="353"/>
        <v>1828.2978270752023</v>
      </c>
      <c r="BA217" s="85">
        <f t="shared" ca="1" si="354"/>
        <v>1978.4139770732122</v>
      </c>
      <c r="BB217" s="85">
        <f t="shared" ca="1" si="355"/>
        <v>1573.6129885611308</v>
      </c>
      <c r="BC217" s="85">
        <f t="shared" ca="1" si="356"/>
        <v>1949.2038913751273</v>
      </c>
      <c r="BD217" s="85">
        <f t="shared" ca="1" si="357"/>
        <v>1819.0337106474856</v>
      </c>
      <c r="BE217" s="85">
        <f t="shared" ca="1" si="358"/>
        <v>1578.1038670955004</v>
      </c>
      <c r="BF217" s="85">
        <f t="shared" ca="1" si="359"/>
        <v>1527.8364002244871</v>
      </c>
      <c r="BG217" s="85">
        <f t="shared" ca="1" si="360"/>
        <v>1466.7647545028133</v>
      </c>
      <c r="BH217" s="85">
        <f t="shared" ca="1" si="361"/>
        <v>1822.6959258713634</v>
      </c>
      <c r="BI217" s="85">
        <f t="shared" ca="1" si="362"/>
        <v>1525.5379618670513</v>
      </c>
      <c r="BJ217" s="85">
        <f t="shared" ca="1" si="363"/>
        <v>1742.6654337516329</v>
      </c>
      <c r="BK217" s="85">
        <f t="shared" ca="1" si="364"/>
        <v>1611.9795820921311</v>
      </c>
      <c r="BL217" s="85">
        <f t="shared" ca="1" si="365"/>
        <v>1495.7096255647871</v>
      </c>
      <c r="BM217" s="85">
        <f t="shared" ca="1" si="366"/>
        <v>1628.1284465499691</v>
      </c>
      <c r="BN217" s="85">
        <f t="shared" ca="1" si="303"/>
        <v>1867.4156216221081</v>
      </c>
      <c r="BO217" s="85">
        <f t="shared" ca="1" si="392"/>
        <v>2059.444730883155</v>
      </c>
      <c r="BP217" s="85">
        <f t="shared" ca="1" si="393"/>
        <v>1565.5484840926269</v>
      </c>
      <c r="BQ217" s="85">
        <f t="shared" ca="1" si="394"/>
        <v>1841.912125261957</v>
      </c>
      <c r="BR217" s="85">
        <f t="shared" ca="1" si="395"/>
        <v>1441.2995831313542</v>
      </c>
      <c r="BS217" s="85">
        <f t="shared" ca="1" si="396"/>
        <v>1699.2721775472153</v>
      </c>
      <c r="BT217" s="85">
        <f t="shared" ca="1" si="397"/>
        <v>1980.9747100078637</v>
      </c>
      <c r="BU217" s="85">
        <f t="shared" ca="1" si="398"/>
        <v>1537.6269890828535</v>
      </c>
      <c r="BV217" s="85">
        <f t="shared" ca="1" si="399"/>
        <v>1666.7170691534809</v>
      </c>
      <c r="BW217" s="85">
        <f t="shared" ca="1" si="400"/>
        <v>1857.1942589048806</v>
      </c>
      <c r="BX217" s="85">
        <f t="shared" ca="1" si="401"/>
        <v>1763.3799167719383</v>
      </c>
      <c r="BY217" s="85">
        <f t="shared" ca="1" si="367"/>
        <v>1520.0017876139414</v>
      </c>
      <c r="BZ217" s="85">
        <f t="shared" ca="1" si="368"/>
        <v>1632.0346680905977</v>
      </c>
      <c r="CA217" s="85">
        <f t="shared" ca="1" si="369"/>
        <v>1683.0576157513412</v>
      </c>
      <c r="CB217" s="85">
        <f t="shared" ca="1" si="370"/>
        <v>1538.5961296052485</v>
      </c>
      <c r="CC217" s="85">
        <f t="shared" ca="1" si="371"/>
        <v>1802.4483382371698</v>
      </c>
      <c r="CD217" s="85">
        <f t="shared" ca="1" si="372"/>
        <v>1938.7584089782124</v>
      </c>
      <c r="CE217" s="85">
        <f t="shared" ca="1" si="373"/>
        <v>1646.0487794517512</v>
      </c>
      <c r="CF217" s="85">
        <f t="shared" ca="1" si="374"/>
        <v>1882.16211743385</v>
      </c>
      <c r="CG217" s="85">
        <f t="shared" ca="1" si="375"/>
        <v>1379.2551129970891</v>
      </c>
      <c r="CH217" s="85">
        <f t="shared" ca="1" si="376"/>
        <v>1714.0369102274071</v>
      </c>
      <c r="CI217" s="85">
        <f t="shared" ca="1" si="377"/>
        <v>1493.8456786651893</v>
      </c>
      <c r="CJ217" s="85">
        <f t="shared" ca="1" si="378"/>
        <v>1514.6962587513488</v>
      </c>
      <c r="CK217" s="85">
        <f t="shared" ca="1" si="379"/>
        <v>1651.0219732226899</v>
      </c>
      <c r="CL217" s="85">
        <f t="shared" ca="1" si="380"/>
        <v>1506.8375601303046</v>
      </c>
      <c r="CM217" s="85">
        <f t="shared" ca="1" si="381"/>
        <v>1888.3837440724822</v>
      </c>
      <c r="CN217" s="85">
        <f t="shared" ca="1" si="382"/>
        <v>1345.4902986899833</v>
      </c>
      <c r="CO217" s="85">
        <f t="shared" ca="1" si="383"/>
        <v>1558.1449529403922</v>
      </c>
      <c r="CP217" s="85">
        <f t="shared" ca="1" si="384"/>
        <v>1832.7501822813997</v>
      </c>
      <c r="CQ217" s="85">
        <f t="shared" ca="1" si="385"/>
        <v>1695.8800360882292</v>
      </c>
      <c r="CR217" s="85">
        <f t="shared" ca="1" si="386"/>
        <v>1763.5927175249612</v>
      </c>
      <c r="CS217" s="85">
        <f t="shared" ca="1" si="387"/>
        <v>1350.0831244542032</v>
      </c>
      <c r="CT217" s="85">
        <f t="shared" ca="1" si="388"/>
        <v>1529.8512836867337</v>
      </c>
      <c r="CU217" s="85">
        <f t="shared" ca="1" si="389"/>
        <v>2165.6802324686387</v>
      </c>
      <c r="CV217" s="85">
        <f t="shared" ca="1" si="390"/>
        <v>1539.249158547236</v>
      </c>
      <c r="CW217" s="85">
        <f t="shared" ca="1" si="391"/>
        <v>1639.1204876900572</v>
      </c>
    </row>
    <row r="218" spans="1:101" x14ac:dyDescent="0.2">
      <c r="A218" s="115">
        <v>215</v>
      </c>
      <c r="B218" s="85">
        <f t="shared" ca="1" si="302"/>
        <v>1320.3942482313898</v>
      </c>
      <c r="C218" s="85">
        <f t="shared" ca="1" si="304"/>
        <v>1710.364425801472</v>
      </c>
      <c r="D218" s="85">
        <f t="shared" ca="1" si="305"/>
        <v>1703.1019358249043</v>
      </c>
      <c r="E218" s="85">
        <f t="shared" ca="1" si="306"/>
        <v>1486.5819229538638</v>
      </c>
      <c r="F218" s="85">
        <f t="shared" ca="1" si="307"/>
        <v>1608.1359225289468</v>
      </c>
      <c r="G218" s="85">
        <f t="shared" ca="1" si="308"/>
        <v>1716.1865627467248</v>
      </c>
      <c r="H218" s="85">
        <f t="shared" ca="1" si="309"/>
        <v>1693.6278932449754</v>
      </c>
      <c r="I218" s="85">
        <f t="shared" ca="1" si="310"/>
        <v>1915.4482567934936</v>
      </c>
      <c r="J218" s="85">
        <f t="shared" ca="1" si="311"/>
        <v>1555.3157129269241</v>
      </c>
      <c r="K218" s="85">
        <f t="shared" ca="1" si="312"/>
        <v>1830.7115948617925</v>
      </c>
      <c r="L218" s="85">
        <f t="shared" ca="1" si="313"/>
        <v>1954.0301165480089</v>
      </c>
      <c r="M218" s="85">
        <f t="shared" ca="1" si="314"/>
        <v>1456.4398453871088</v>
      </c>
      <c r="N218" s="85">
        <f t="shared" ca="1" si="315"/>
        <v>1634.9045634456543</v>
      </c>
      <c r="O218" s="85">
        <f t="shared" ca="1" si="316"/>
        <v>1738.6711845053392</v>
      </c>
      <c r="P218" s="85">
        <f t="shared" ca="1" si="317"/>
        <v>1813.1069224549863</v>
      </c>
      <c r="Q218" s="85">
        <f t="shared" ca="1" si="318"/>
        <v>1809.2282068774623</v>
      </c>
      <c r="R218" s="85">
        <f t="shared" ca="1" si="319"/>
        <v>1551.261876339511</v>
      </c>
      <c r="S218" s="85">
        <f t="shared" ca="1" si="320"/>
        <v>1782.2802926674042</v>
      </c>
      <c r="T218" s="85">
        <f t="shared" ca="1" si="321"/>
        <v>1665.1171594981754</v>
      </c>
      <c r="U218" s="85">
        <f t="shared" ca="1" si="322"/>
        <v>1550.4201160279915</v>
      </c>
      <c r="V218" s="85">
        <f t="shared" ca="1" si="323"/>
        <v>2034.5281891856359</v>
      </c>
      <c r="W218" s="85">
        <f t="shared" ca="1" si="324"/>
        <v>1559.9032017704933</v>
      </c>
      <c r="X218" s="85">
        <f t="shared" ca="1" si="325"/>
        <v>1818.2016631149265</v>
      </c>
      <c r="Y218" s="85">
        <f t="shared" ca="1" si="326"/>
        <v>1572.8282617887864</v>
      </c>
      <c r="Z218" s="85">
        <f t="shared" ca="1" si="327"/>
        <v>1721.3911528704718</v>
      </c>
      <c r="AA218" s="85">
        <f t="shared" ca="1" si="328"/>
        <v>1547.7690948363256</v>
      </c>
      <c r="AB218" s="85">
        <f t="shared" ca="1" si="329"/>
        <v>2033.4007213215859</v>
      </c>
      <c r="AC218" s="85">
        <f t="shared" ca="1" si="330"/>
        <v>1799.5211895956086</v>
      </c>
      <c r="AD218" s="85">
        <f t="shared" ca="1" si="331"/>
        <v>1913.7304189018421</v>
      </c>
      <c r="AE218" s="85">
        <f t="shared" ca="1" si="332"/>
        <v>2101.1239268270665</v>
      </c>
      <c r="AF218" s="85">
        <f t="shared" ca="1" si="333"/>
        <v>1395.3043944593794</v>
      </c>
      <c r="AG218" s="85">
        <f t="shared" ca="1" si="334"/>
        <v>2015.6542952164216</v>
      </c>
      <c r="AH218" s="85">
        <f t="shared" ca="1" si="335"/>
        <v>1542.8673460874295</v>
      </c>
      <c r="AI218" s="85">
        <f t="shared" ca="1" si="336"/>
        <v>1794.2307434772836</v>
      </c>
      <c r="AJ218" s="85">
        <f t="shared" ca="1" si="337"/>
        <v>2002.3120770854989</v>
      </c>
      <c r="AK218" s="85">
        <f t="shared" ca="1" si="338"/>
        <v>1676.7406677890153</v>
      </c>
      <c r="AL218" s="85">
        <f t="shared" ca="1" si="339"/>
        <v>1677.0249259300476</v>
      </c>
      <c r="AM218" s="85">
        <f t="shared" ca="1" si="340"/>
        <v>1663.8055781016967</v>
      </c>
      <c r="AN218" s="85">
        <f t="shared" ca="1" si="341"/>
        <v>1790.1666819968384</v>
      </c>
      <c r="AO218" s="85">
        <f t="shared" ca="1" si="342"/>
        <v>2251.8874463463858</v>
      </c>
      <c r="AP218" s="85">
        <f t="shared" ca="1" si="343"/>
        <v>1967.4014565723182</v>
      </c>
      <c r="AQ218" s="85">
        <f t="shared" ca="1" si="344"/>
        <v>1552.2690875896876</v>
      </c>
      <c r="AR218" s="85">
        <f t="shared" ca="1" si="345"/>
        <v>1814.5288538238894</v>
      </c>
      <c r="AS218" s="85">
        <f t="shared" ca="1" si="346"/>
        <v>1676.6523501281588</v>
      </c>
      <c r="AT218" s="85">
        <f t="shared" ca="1" si="347"/>
        <v>1753.7999215155623</v>
      </c>
      <c r="AU218" s="85">
        <f t="shared" ca="1" si="348"/>
        <v>1687.2143452258579</v>
      </c>
      <c r="AV218" s="85">
        <f t="shared" ca="1" si="349"/>
        <v>1857.714294093078</v>
      </c>
      <c r="AW218" s="85">
        <f t="shared" ca="1" si="350"/>
        <v>1730.8588241675545</v>
      </c>
      <c r="AX218" s="85">
        <f t="shared" ca="1" si="351"/>
        <v>2140.5716402958715</v>
      </c>
      <c r="AY218" s="85">
        <f t="shared" ca="1" si="352"/>
        <v>2028.4368498793135</v>
      </c>
      <c r="AZ218" s="85">
        <f t="shared" ca="1" si="353"/>
        <v>1857.5092356651114</v>
      </c>
      <c r="BA218" s="85">
        <f t="shared" ca="1" si="354"/>
        <v>2030.21728159383</v>
      </c>
      <c r="BB218" s="85">
        <f t="shared" ca="1" si="355"/>
        <v>1581.259440166898</v>
      </c>
      <c r="BC218" s="85">
        <f t="shared" ca="1" si="356"/>
        <v>1979.1641520914543</v>
      </c>
      <c r="BD218" s="85">
        <f t="shared" ca="1" si="357"/>
        <v>1854.6893441493742</v>
      </c>
      <c r="BE218" s="85">
        <f t="shared" ca="1" si="358"/>
        <v>1606.7770645561898</v>
      </c>
      <c r="BF218" s="85">
        <f t="shared" ca="1" si="359"/>
        <v>1540.0886407075777</v>
      </c>
      <c r="BG218" s="85">
        <f t="shared" ca="1" si="360"/>
        <v>1468.6574064731856</v>
      </c>
      <c r="BH218" s="85">
        <f t="shared" ca="1" si="361"/>
        <v>1839.1117992089864</v>
      </c>
      <c r="BI218" s="85">
        <f t="shared" ca="1" si="362"/>
        <v>1544.3989343441483</v>
      </c>
      <c r="BJ218" s="85">
        <f t="shared" ca="1" si="363"/>
        <v>1758.7342834309893</v>
      </c>
      <c r="BK218" s="85">
        <f t="shared" ca="1" si="364"/>
        <v>1633.2955695487337</v>
      </c>
      <c r="BL218" s="85">
        <f t="shared" ca="1" si="365"/>
        <v>1520.3236623213731</v>
      </c>
      <c r="BM218" s="85">
        <f t="shared" ca="1" si="366"/>
        <v>1635.3044237133745</v>
      </c>
      <c r="BN218" s="85">
        <f t="shared" ca="1" si="303"/>
        <v>1895.7339504375468</v>
      </c>
      <c r="BO218" s="85">
        <f t="shared" ca="1" si="392"/>
        <v>2079.9478883595202</v>
      </c>
      <c r="BP218" s="85">
        <f t="shared" ca="1" si="393"/>
        <v>1582.1953589429772</v>
      </c>
      <c r="BQ218" s="85">
        <f t="shared" ca="1" si="394"/>
        <v>1882.9665034948725</v>
      </c>
      <c r="BR218" s="85">
        <f t="shared" ca="1" si="395"/>
        <v>1447.3700356186994</v>
      </c>
      <c r="BS218" s="85">
        <f t="shared" ca="1" si="396"/>
        <v>1733.4146263986358</v>
      </c>
      <c r="BT218" s="85">
        <f t="shared" ca="1" si="397"/>
        <v>2018.3837329627627</v>
      </c>
      <c r="BU218" s="85">
        <f t="shared" ca="1" si="398"/>
        <v>1567.3749643805518</v>
      </c>
      <c r="BV218" s="85">
        <f t="shared" ca="1" si="399"/>
        <v>1691.47472270507</v>
      </c>
      <c r="BW218" s="85">
        <f t="shared" ca="1" si="400"/>
        <v>1880.8718570301423</v>
      </c>
      <c r="BX218" s="85">
        <f t="shared" ca="1" si="401"/>
        <v>1796.8655249373726</v>
      </c>
      <c r="BY218" s="85">
        <f t="shared" ca="1" si="367"/>
        <v>1554.0268841900572</v>
      </c>
      <c r="BZ218" s="85">
        <f t="shared" ca="1" si="368"/>
        <v>1636.075982750933</v>
      </c>
      <c r="CA218" s="85">
        <f t="shared" ca="1" si="369"/>
        <v>1720.664753198957</v>
      </c>
      <c r="CB218" s="85">
        <f t="shared" ca="1" si="370"/>
        <v>1567.7946213530693</v>
      </c>
      <c r="CC218" s="85">
        <f t="shared" ca="1" si="371"/>
        <v>1818.6324876890751</v>
      </c>
      <c r="CD218" s="85">
        <f t="shared" ca="1" si="372"/>
        <v>1963.745063508283</v>
      </c>
      <c r="CE218" s="85">
        <f t="shared" ca="1" si="373"/>
        <v>1664.3944445915674</v>
      </c>
      <c r="CF218" s="85">
        <f t="shared" ca="1" si="374"/>
        <v>1901.8738996881457</v>
      </c>
      <c r="CG218" s="85">
        <f t="shared" ca="1" si="375"/>
        <v>1408.401107015241</v>
      </c>
      <c r="CH218" s="85">
        <f t="shared" ca="1" si="376"/>
        <v>1731.2519992598061</v>
      </c>
      <c r="CI218" s="85">
        <f t="shared" ca="1" si="377"/>
        <v>1510.4248981647065</v>
      </c>
      <c r="CJ218" s="85">
        <f t="shared" ca="1" si="378"/>
        <v>1531.8186747513705</v>
      </c>
      <c r="CK218" s="85">
        <f t="shared" ca="1" si="379"/>
        <v>1671.8138956973946</v>
      </c>
      <c r="CL218" s="85">
        <f t="shared" ca="1" si="380"/>
        <v>1514.4403435043573</v>
      </c>
      <c r="CM218" s="85">
        <f t="shared" ca="1" si="381"/>
        <v>1938.369203668354</v>
      </c>
      <c r="CN218" s="85">
        <f t="shared" ca="1" si="382"/>
        <v>1360.3642219399467</v>
      </c>
      <c r="CO218" s="85">
        <f t="shared" ca="1" si="383"/>
        <v>1590.7066398816612</v>
      </c>
      <c r="CP218" s="85">
        <f t="shared" ca="1" si="384"/>
        <v>1877.3933980855522</v>
      </c>
      <c r="CQ218" s="85">
        <f t="shared" ca="1" si="385"/>
        <v>1708.2492996097742</v>
      </c>
      <c r="CR218" s="85">
        <f t="shared" ca="1" si="386"/>
        <v>1812.670547067022</v>
      </c>
      <c r="CS218" s="85">
        <f t="shared" ca="1" si="387"/>
        <v>1354.0342656180601</v>
      </c>
      <c r="CT218" s="85">
        <f t="shared" ca="1" si="388"/>
        <v>1571.0268303294765</v>
      </c>
      <c r="CU218" s="85">
        <f t="shared" ca="1" si="389"/>
        <v>2166.6350605118</v>
      </c>
      <c r="CV218" s="85">
        <f t="shared" ca="1" si="390"/>
        <v>1553.2318040903319</v>
      </c>
      <c r="CW218" s="85">
        <f t="shared" ca="1" si="391"/>
        <v>1662.9822906180823</v>
      </c>
    </row>
    <row r="219" spans="1:101" x14ac:dyDescent="0.2">
      <c r="A219" s="115">
        <v>216</v>
      </c>
      <c r="B219" s="85">
        <f t="shared" ca="1" si="302"/>
        <v>1361.2445439234771</v>
      </c>
      <c r="C219" s="85">
        <f t="shared" ca="1" si="304"/>
        <v>1740.5958837807191</v>
      </c>
      <c r="D219" s="85">
        <f t="shared" ca="1" si="305"/>
        <v>1713.834321704222</v>
      </c>
      <c r="E219" s="85">
        <f t="shared" ca="1" si="306"/>
        <v>1516.1309882459982</v>
      </c>
      <c r="F219" s="85">
        <f t="shared" ca="1" si="307"/>
        <v>1641.2699803684286</v>
      </c>
      <c r="G219" s="85">
        <f t="shared" ca="1" si="308"/>
        <v>1761.411329870218</v>
      </c>
      <c r="H219" s="85">
        <f t="shared" ca="1" si="309"/>
        <v>1707.6514306370825</v>
      </c>
      <c r="I219" s="85">
        <f t="shared" ca="1" si="310"/>
        <v>1939.5817861158307</v>
      </c>
      <c r="J219" s="85">
        <f t="shared" ca="1" si="311"/>
        <v>1575.4157212385201</v>
      </c>
      <c r="K219" s="85">
        <f t="shared" ca="1" si="312"/>
        <v>1872.9277986867803</v>
      </c>
      <c r="L219" s="85">
        <f t="shared" ca="1" si="313"/>
        <v>1995.3820550183705</v>
      </c>
      <c r="M219" s="85">
        <f t="shared" ca="1" si="314"/>
        <v>1467.1123569751194</v>
      </c>
      <c r="N219" s="85">
        <f t="shared" ca="1" si="315"/>
        <v>1648.5996323954444</v>
      </c>
      <c r="O219" s="85">
        <f t="shared" ca="1" si="316"/>
        <v>1766.202075814125</v>
      </c>
      <c r="P219" s="85">
        <f t="shared" ca="1" si="317"/>
        <v>1828.8853602607633</v>
      </c>
      <c r="Q219" s="85">
        <f t="shared" ca="1" si="318"/>
        <v>1845.6810306892226</v>
      </c>
      <c r="R219" s="85">
        <f t="shared" ca="1" si="319"/>
        <v>1589.9628517273686</v>
      </c>
      <c r="S219" s="85">
        <f t="shared" ca="1" si="320"/>
        <v>1811.8994694953037</v>
      </c>
      <c r="T219" s="85">
        <f t="shared" ca="1" si="321"/>
        <v>1669.0863314046558</v>
      </c>
      <c r="U219" s="85">
        <f t="shared" ca="1" si="322"/>
        <v>1573.8472382076127</v>
      </c>
      <c r="V219" s="85">
        <f t="shared" ca="1" si="323"/>
        <v>2078.3045873456081</v>
      </c>
      <c r="W219" s="85">
        <f t="shared" ca="1" si="324"/>
        <v>1574.0286851620469</v>
      </c>
      <c r="X219" s="85">
        <f t="shared" ca="1" si="325"/>
        <v>1830.7169694646855</v>
      </c>
      <c r="Y219" s="85">
        <f t="shared" ca="1" si="326"/>
        <v>1596.8365586234925</v>
      </c>
      <c r="Z219" s="85">
        <f t="shared" ca="1" si="327"/>
        <v>1747.2185374999792</v>
      </c>
      <c r="AA219" s="85">
        <f t="shared" ca="1" si="328"/>
        <v>1551.6068562281923</v>
      </c>
      <c r="AB219" s="85">
        <f t="shared" ca="1" si="329"/>
        <v>2052.395621913201</v>
      </c>
      <c r="AC219" s="85">
        <f t="shared" ca="1" si="330"/>
        <v>1824.1755544694327</v>
      </c>
      <c r="AD219" s="85">
        <f t="shared" ca="1" si="331"/>
        <v>1953.5568325059128</v>
      </c>
      <c r="AE219" s="85">
        <f t="shared" ca="1" si="332"/>
        <v>2153.8657419845272</v>
      </c>
      <c r="AF219" s="85">
        <f t="shared" ca="1" si="333"/>
        <v>1409.9817025009199</v>
      </c>
      <c r="AG219" s="85">
        <f t="shared" ca="1" si="334"/>
        <v>2039.0298188209047</v>
      </c>
      <c r="AH219" s="85">
        <f t="shared" ca="1" si="335"/>
        <v>1569.7990170001324</v>
      </c>
      <c r="AI219" s="85">
        <f t="shared" ca="1" si="336"/>
        <v>1814.9761576197684</v>
      </c>
      <c r="AJ219" s="85">
        <f t="shared" ca="1" si="337"/>
        <v>2043.6184763954122</v>
      </c>
      <c r="AK219" s="85">
        <f t="shared" ca="1" si="338"/>
        <v>1720.9734892982597</v>
      </c>
      <c r="AL219" s="85">
        <f t="shared" ca="1" si="339"/>
        <v>1692.936594179843</v>
      </c>
      <c r="AM219" s="85">
        <f t="shared" ca="1" si="340"/>
        <v>1683.9766474687665</v>
      </c>
      <c r="AN219" s="85">
        <f t="shared" ca="1" si="341"/>
        <v>1813.4716792623349</v>
      </c>
      <c r="AO219" s="85">
        <f t="shared" ca="1" si="342"/>
        <v>2259.1943482608249</v>
      </c>
      <c r="AP219" s="85">
        <f t="shared" ca="1" si="343"/>
        <v>1987.3080832470703</v>
      </c>
      <c r="AQ219" s="85">
        <f t="shared" ca="1" si="344"/>
        <v>1563.0222209570322</v>
      </c>
      <c r="AR219" s="85">
        <f t="shared" ca="1" si="345"/>
        <v>1868.2787949593048</v>
      </c>
      <c r="AS219" s="85">
        <f t="shared" ca="1" si="346"/>
        <v>1701.5541267093133</v>
      </c>
      <c r="AT219" s="85">
        <f t="shared" ca="1" si="347"/>
        <v>1767.9587923660094</v>
      </c>
      <c r="AU219" s="85">
        <f t="shared" ca="1" si="348"/>
        <v>1724.736022419389</v>
      </c>
      <c r="AV219" s="85">
        <f t="shared" ca="1" si="349"/>
        <v>1866.8437916013729</v>
      </c>
      <c r="AW219" s="85">
        <f t="shared" ca="1" si="350"/>
        <v>1775.18839203072</v>
      </c>
      <c r="AX219" s="85">
        <f t="shared" ca="1" si="351"/>
        <v>2183.1417044767045</v>
      </c>
      <c r="AY219" s="85">
        <f t="shared" ca="1" si="352"/>
        <v>2070.43712847699</v>
      </c>
      <c r="AZ219" s="85">
        <f t="shared" ca="1" si="353"/>
        <v>1881.0618041954988</v>
      </c>
      <c r="BA219" s="85">
        <f t="shared" ca="1" si="354"/>
        <v>2049.1469512330978</v>
      </c>
      <c r="BB219" s="85">
        <f t="shared" ca="1" si="355"/>
        <v>1615.3205503228851</v>
      </c>
      <c r="BC219" s="85">
        <f t="shared" ca="1" si="356"/>
        <v>2017.1172406841513</v>
      </c>
      <c r="BD219" s="85">
        <f t="shared" ca="1" si="357"/>
        <v>1863.4960748890742</v>
      </c>
      <c r="BE219" s="85">
        <f t="shared" ca="1" si="358"/>
        <v>1622.6589598046346</v>
      </c>
      <c r="BF219" s="85">
        <f t="shared" ca="1" si="359"/>
        <v>1575.0906216201499</v>
      </c>
      <c r="BG219" s="85">
        <f t="shared" ca="1" si="360"/>
        <v>1476.9983451407295</v>
      </c>
      <c r="BH219" s="85">
        <f t="shared" ca="1" si="361"/>
        <v>1851.6620671636529</v>
      </c>
      <c r="BI219" s="85">
        <f t="shared" ca="1" si="362"/>
        <v>1554.8108857746372</v>
      </c>
      <c r="BJ219" s="85">
        <f t="shared" ca="1" si="363"/>
        <v>1747.7936195603888</v>
      </c>
      <c r="BK219" s="85">
        <f t="shared" ca="1" si="364"/>
        <v>1637.0973792987916</v>
      </c>
      <c r="BL219" s="85">
        <f t="shared" ca="1" si="365"/>
        <v>1557.6621366173797</v>
      </c>
      <c r="BM219" s="85">
        <f t="shared" ca="1" si="366"/>
        <v>1645.0619255633305</v>
      </c>
      <c r="BN219" s="85">
        <f t="shared" ca="1" si="303"/>
        <v>1933.4842779551898</v>
      </c>
      <c r="BO219" s="85">
        <f t="shared" ca="1" si="392"/>
        <v>2107.1956855041772</v>
      </c>
      <c r="BP219" s="85">
        <f t="shared" ca="1" si="393"/>
        <v>1616.8190628803902</v>
      </c>
      <c r="BQ219" s="85">
        <f t="shared" ca="1" si="394"/>
        <v>1910.6807369575261</v>
      </c>
      <c r="BR219" s="85">
        <f t="shared" ca="1" si="395"/>
        <v>1469.4097357842536</v>
      </c>
      <c r="BS219" s="85">
        <f t="shared" ca="1" si="396"/>
        <v>1783.5680062756558</v>
      </c>
      <c r="BT219" s="85">
        <f t="shared" ca="1" si="397"/>
        <v>2047.108119026946</v>
      </c>
      <c r="BU219" s="85">
        <f t="shared" ca="1" si="398"/>
        <v>1596.6355790508871</v>
      </c>
      <c r="BV219" s="85">
        <f t="shared" ca="1" si="399"/>
        <v>1735.0887111563632</v>
      </c>
      <c r="BW219" s="85">
        <f t="shared" ca="1" si="400"/>
        <v>1919.9997035973372</v>
      </c>
      <c r="BX219" s="85">
        <f t="shared" ca="1" si="401"/>
        <v>1817.3631270111985</v>
      </c>
      <c r="BY219" s="85">
        <f t="shared" ca="1" si="367"/>
        <v>1584.2944043125751</v>
      </c>
      <c r="BZ219" s="85">
        <f t="shared" ca="1" si="368"/>
        <v>1648.6122851277446</v>
      </c>
      <c r="CA219" s="85">
        <f t="shared" ca="1" si="369"/>
        <v>1740.4650559959259</v>
      </c>
      <c r="CB219" s="85">
        <f t="shared" ca="1" si="370"/>
        <v>1589.6859143022389</v>
      </c>
      <c r="CC219" s="85">
        <f t="shared" ca="1" si="371"/>
        <v>1835.3352625153241</v>
      </c>
      <c r="CD219" s="85">
        <f t="shared" ca="1" si="372"/>
        <v>1990.2358148656485</v>
      </c>
      <c r="CE219" s="85">
        <f t="shared" ca="1" si="373"/>
        <v>1686.7768606605773</v>
      </c>
      <c r="CF219" s="85">
        <f t="shared" ca="1" si="374"/>
        <v>1928.2555101242153</v>
      </c>
      <c r="CG219" s="85">
        <f t="shared" ca="1" si="375"/>
        <v>1432.7677771636336</v>
      </c>
      <c r="CH219" s="85">
        <f t="shared" ca="1" si="376"/>
        <v>1765.6999609220547</v>
      </c>
      <c r="CI219" s="85">
        <f t="shared" ca="1" si="377"/>
        <v>1536.3446767600608</v>
      </c>
      <c r="CJ219" s="85">
        <f t="shared" ca="1" si="378"/>
        <v>1537.4002364796329</v>
      </c>
      <c r="CK219" s="85">
        <f t="shared" ca="1" si="379"/>
        <v>1703.7452931944849</v>
      </c>
      <c r="CL219" s="85">
        <f t="shared" ca="1" si="380"/>
        <v>1557.398033934792</v>
      </c>
      <c r="CM219" s="85">
        <f t="shared" ca="1" si="381"/>
        <v>1936.6043981558735</v>
      </c>
      <c r="CN219" s="85">
        <f t="shared" ca="1" si="382"/>
        <v>1379.8292320690603</v>
      </c>
      <c r="CO219" s="85">
        <f t="shared" ca="1" si="383"/>
        <v>1608.2037968057266</v>
      </c>
      <c r="CP219" s="85">
        <f t="shared" ca="1" si="384"/>
        <v>1897.7911679829192</v>
      </c>
      <c r="CQ219" s="85">
        <f t="shared" ca="1" si="385"/>
        <v>1729.9311915037267</v>
      </c>
      <c r="CR219" s="85">
        <f t="shared" ca="1" si="386"/>
        <v>1851.2367656684592</v>
      </c>
      <c r="CS219" s="85">
        <f t="shared" ca="1" si="387"/>
        <v>1392.0072219326648</v>
      </c>
      <c r="CT219" s="85">
        <f t="shared" ca="1" si="388"/>
        <v>1574.714875789118</v>
      </c>
      <c r="CU219" s="85">
        <f t="shared" ca="1" si="389"/>
        <v>2170.4580115196381</v>
      </c>
      <c r="CV219" s="85">
        <f t="shared" ca="1" si="390"/>
        <v>1571.9313800888131</v>
      </c>
      <c r="CW219" s="85">
        <f t="shared" ca="1" si="391"/>
        <v>1680.2830166029476</v>
      </c>
    </row>
    <row r="220" spans="1:101" x14ac:dyDescent="0.2">
      <c r="A220" s="115">
        <v>217</v>
      </c>
      <c r="B220" s="85">
        <f t="shared" ca="1" si="302"/>
        <v>1374.8950212983148</v>
      </c>
      <c r="C220" s="85">
        <f t="shared" ca="1" si="304"/>
        <v>1750.9272928753242</v>
      </c>
      <c r="D220" s="85">
        <f t="shared" ca="1" si="305"/>
        <v>1742.0225338018188</v>
      </c>
      <c r="E220" s="85">
        <f t="shared" ca="1" si="306"/>
        <v>1533.0869747264862</v>
      </c>
      <c r="F220" s="85">
        <f t="shared" ca="1" si="307"/>
        <v>1685.2461234785389</v>
      </c>
      <c r="G220" s="85">
        <f t="shared" ca="1" si="308"/>
        <v>1792.2090693845735</v>
      </c>
      <c r="H220" s="85">
        <f t="shared" ca="1" si="309"/>
        <v>1725.3124456490912</v>
      </c>
      <c r="I220" s="85">
        <f t="shared" ca="1" si="310"/>
        <v>1938.1371325950206</v>
      </c>
      <c r="J220" s="85">
        <f t="shared" ca="1" si="311"/>
        <v>1586.786689164212</v>
      </c>
      <c r="K220" s="85">
        <f t="shared" ca="1" si="312"/>
        <v>1909.8661733173974</v>
      </c>
      <c r="L220" s="85">
        <f t="shared" ca="1" si="313"/>
        <v>1999.0343302681479</v>
      </c>
      <c r="M220" s="85">
        <f t="shared" ca="1" si="314"/>
        <v>1483.2922882484113</v>
      </c>
      <c r="N220" s="85">
        <f t="shared" ca="1" si="315"/>
        <v>1652.2115516201986</v>
      </c>
      <c r="O220" s="85">
        <f t="shared" ca="1" si="316"/>
        <v>1775.2856906842703</v>
      </c>
      <c r="P220" s="85">
        <f t="shared" ca="1" si="317"/>
        <v>1856.4789848024157</v>
      </c>
      <c r="Q220" s="85">
        <f t="shared" ca="1" si="318"/>
        <v>1873.9071459790014</v>
      </c>
      <c r="R220" s="85">
        <f t="shared" ca="1" si="319"/>
        <v>1628.7813901189545</v>
      </c>
      <c r="S220" s="85">
        <f t="shared" ca="1" si="320"/>
        <v>1868.0015024929669</v>
      </c>
      <c r="T220" s="85">
        <f t="shared" ca="1" si="321"/>
        <v>1707.681067402583</v>
      </c>
      <c r="U220" s="85">
        <f t="shared" ca="1" si="322"/>
        <v>1583.6597633571907</v>
      </c>
      <c r="V220" s="85">
        <f t="shared" ca="1" si="323"/>
        <v>2108.4744640016174</v>
      </c>
      <c r="W220" s="85">
        <f t="shared" ca="1" si="324"/>
        <v>1588.1380701721</v>
      </c>
      <c r="X220" s="85">
        <f t="shared" ca="1" si="325"/>
        <v>1873.9513897689303</v>
      </c>
      <c r="Y220" s="85">
        <f t="shared" ca="1" si="326"/>
        <v>1625.3582559069278</v>
      </c>
      <c r="Z220" s="85">
        <f t="shared" ca="1" si="327"/>
        <v>1762.7253664356331</v>
      </c>
      <c r="AA220" s="85">
        <f t="shared" ca="1" si="328"/>
        <v>1569.909338762772</v>
      </c>
      <c r="AB220" s="85">
        <f t="shared" ca="1" si="329"/>
        <v>2074.2009588246706</v>
      </c>
      <c r="AC220" s="85">
        <f t="shared" ca="1" si="330"/>
        <v>1874.5735528320465</v>
      </c>
      <c r="AD220" s="85">
        <f t="shared" ca="1" si="331"/>
        <v>1985.814932449583</v>
      </c>
      <c r="AE220" s="85">
        <f t="shared" ca="1" si="332"/>
        <v>2171.8620853411135</v>
      </c>
      <c r="AF220" s="85">
        <f t="shared" ca="1" si="333"/>
        <v>1435.4578423696803</v>
      </c>
      <c r="AG220" s="85">
        <f t="shared" ca="1" si="334"/>
        <v>2056.8039178568711</v>
      </c>
      <c r="AH220" s="85">
        <f t="shared" ca="1" si="335"/>
        <v>1606.3895932249775</v>
      </c>
      <c r="AI220" s="85">
        <f t="shared" ca="1" si="336"/>
        <v>1836.5205185116852</v>
      </c>
      <c r="AJ220" s="85">
        <f t="shared" ca="1" si="337"/>
        <v>2072.3117950517935</v>
      </c>
      <c r="AK220" s="85">
        <f t="shared" ca="1" si="338"/>
        <v>1735.2797105845352</v>
      </c>
      <c r="AL220" s="85">
        <f t="shared" ca="1" si="339"/>
        <v>1710.0249979121008</v>
      </c>
      <c r="AM220" s="85">
        <f t="shared" ca="1" si="340"/>
        <v>1703.9885527256349</v>
      </c>
      <c r="AN220" s="85">
        <f t="shared" ca="1" si="341"/>
        <v>1841.1880527654462</v>
      </c>
      <c r="AO220" s="85">
        <f t="shared" ca="1" si="342"/>
        <v>2300.8693965538228</v>
      </c>
      <c r="AP220" s="85">
        <f t="shared" ca="1" si="343"/>
        <v>1994.0957616197786</v>
      </c>
      <c r="AQ220" s="85">
        <f t="shared" ca="1" si="344"/>
        <v>1590.1510981680117</v>
      </c>
      <c r="AR220" s="85">
        <f t="shared" ca="1" si="345"/>
        <v>1889.2710976532599</v>
      </c>
      <c r="AS220" s="85">
        <f t="shared" ca="1" si="346"/>
        <v>1733.1787714847708</v>
      </c>
      <c r="AT220" s="85">
        <f t="shared" ca="1" si="347"/>
        <v>1785.2296507697029</v>
      </c>
      <c r="AU220" s="85">
        <f t="shared" ca="1" si="348"/>
        <v>1748.9530912558264</v>
      </c>
      <c r="AV220" s="85">
        <f t="shared" ca="1" si="349"/>
        <v>1882.2673141262667</v>
      </c>
      <c r="AW220" s="85">
        <f t="shared" ca="1" si="350"/>
        <v>1796.4479519137585</v>
      </c>
      <c r="AX220" s="85">
        <f t="shared" ca="1" si="351"/>
        <v>2235.892328351204</v>
      </c>
      <c r="AY220" s="85">
        <f t="shared" ca="1" si="352"/>
        <v>2098.7315105399234</v>
      </c>
      <c r="AZ220" s="85">
        <f t="shared" ca="1" si="353"/>
        <v>1896.0290869356713</v>
      </c>
      <c r="BA220" s="85">
        <f t="shared" ca="1" si="354"/>
        <v>2073.5370501742764</v>
      </c>
      <c r="BB220" s="85">
        <f t="shared" ca="1" si="355"/>
        <v>1629.1982688431021</v>
      </c>
      <c r="BC220" s="85">
        <f t="shared" ca="1" si="356"/>
        <v>2039.1318601118471</v>
      </c>
      <c r="BD220" s="85">
        <f t="shared" ca="1" si="357"/>
        <v>1900.7754644459549</v>
      </c>
      <c r="BE220" s="85">
        <f t="shared" ca="1" si="358"/>
        <v>1640.6280875632744</v>
      </c>
      <c r="BF220" s="85">
        <f t="shared" ca="1" si="359"/>
        <v>1598.031955066632</v>
      </c>
      <c r="BG220" s="85">
        <f t="shared" ca="1" si="360"/>
        <v>1477.5945064226332</v>
      </c>
      <c r="BH220" s="85">
        <f t="shared" ca="1" si="361"/>
        <v>1860.524673843013</v>
      </c>
      <c r="BI220" s="85">
        <f t="shared" ca="1" si="362"/>
        <v>1583.9231605965015</v>
      </c>
      <c r="BJ220" s="85">
        <f t="shared" ca="1" si="363"/>
        <v>1753.7457421964289</v>
      </c>
      <c r="BK220" s="85">
        <f t="shared" ca="1" si="364"/>
        <v>1664.938168478069</v>
      </c>
      <c r="BL220" s="85">
        <f t="shared" ca="1" si="365"/>
        <v>1569.7252856015318</v>
      </c>
      <c r="BM220" s="85">
        <f t="shared" ca="1" si="366"/>
        <v>1663.7696938618694</v>
      </c>
      <c r="BN220" s="85">
        <f t="shared" ca="1" si="303"/>
        <v>1963.291505208934</v>
      </c>
      <c r="BO220" s="85">
        <f t="shared" ca="1" si="392"/>
        <v>2137.5592285688053</v>
      </c>
      <c r="BP220" s="85">
        <f t="shared" ca="1" si="393"/>
        <v>1627.2624478954945</v>
      </c>
      <c r="BQ220" s="85">
        <f t="shared" ca="1" si="394"/>
        <v>1928.7733481716739</v>
      </c>
      <c r="BR220" s="85">
        <f t="shared" ca="1" si="395"/>
        <v>1496.3602777894789</v>
      </c>
      <c r="BS220" s="85">
        <f t="shared" ca="1" si="396"/>
        <v>1799.4762693783789</v>
      </c>
      <c r="BT220" s="85">
        <f t="shared" ca="1" si="397"/>
        <v>2062.9843517236372</v>
      </c>
      <c r="BU220" s="85">
        <f t="shared" ca="1" si="398"/>
        <v>1631.6465312541716</v>
      </c>
      <c r="BV220" s="85">
        <f t="shared" ca="1" si="399"/>
        <v>1748.4278506588557</v>
      </c>
      <c r="BW220" s="85">
        <f t="shared" ca="1" si="400"/>
        <v>1935.6440547087154</v>
      </c>
      <c r="BX220" s="85">
        <f t="shared" ca="1" si="401"/>
        <v>1870.1204706540975</v>
      </c>
      <c r="BY220" s="85">
        <f t="shared" ca="1" si="367"/>
        <v>1618.1542496464265</v>
      </c>
      <c r="BZ220" s="85">
        <f t="shared" ca="1" si="368"/>
        <v>1649.1807121024074</v>
      </c>
      <c r="CA220" s="85">
        <f t="shared" ca="1" si="369"/>
        <v>1754.2042036509981</v>
      </c>
      <c r="CB220" s="85">
        <f t="shared" ca="1" si="370"/>
        <v>1629.2451849219285</v>
      </c>
      <c r="CC220" s="85">
        <f t="shared" ca="1" si="371"/>
        <v>1869.6145741853263</v>
      </c>
      <c r="CD220" s="85">
        <f t="shared" ca="1" si="372"/>
        <v>2021.4194346596896</v>
      </c>
      <c r="CE220" s="85">
        <f t="shared" ca="1" si="373"/>
        <v>1701.8724571592154</v>
      </c>
      <c r="CF220" s="85">
        <f t="shared" ca="1" si="374"/>
        <v>1966.0696462349531</v>
      </c>
      <c r="CG220" s="85">
        <f t="shared" ca="1" si="375"/>
        <v>1465.0113921877435</v>
      </c>
      <c r="CH220" s="85">
        <f t="shared" ca="1" si="376"/>
        <v>1764.4495848336949</v>
      </c>
      <c r="CI220" s="85">
        <f t="shared" ca="1" si="377"/>
        <v>1547.8838496296737</v>
      </c>
      <c r="CJ220" s="85">
        <f t="shared" ca="1" si="378"/>
        <v>1555.8193016707412</v>
      </c>
      <c r="CK220" s="85">
        <f t="shared" ca="1" si="379"/>
        <v>1713.9708793452194</v>
      </c>
      <c r="CL220" s="85">
        <f t="shared" ca="1" si="380"/>
        <v>1569.7196643421935</v>
      </c>
      <c r="CM220" s="85">
        <f t="shared" ca="1" si="381"/>
        <v>1974.1780522867537</v>
      </c>
      <c r="CN220" s="85">
        <f t="shared" ca="1" si="382"/>
        <v>1392.438481291789</v>
      </c>
      <c r="CO220" s="85">
        <f t="shared" ca="1" si="383"/>
        <v>1642.0991580327598</v>
      </c>
      <c r="CP220" s="85">
        <f t="shared" ca="1" si="384"/>
        <v>1954.9459003137208</v>
      </c>
      <c r="CQ220" s="85">
        <f t="shared" ca="1" si="385"/>
        <v>1752.4328845828329</v>
      </c>
      <c r="CR220" s="85">
        <f t="shared" ca="1" si="386"/>
        <v>1850.0322548606509</v>
      </c>
      <c r="CS220" s="85">
        <f t="shared" ca="1" si="387"/>
        <v>1422.4356662422551</v>
      </c>
      <c r="CT220" s="85">
        <f t="shared" ca="1" si="388"/>
        <v>1608.5732436936842</v>
      </c>
      <c r="CU220" s="85">
        <f t="shared" ca="1" si="389"/>
        <v>2172.8669100435991</v>
      </c>
      <c r="CV220" s="85">
        <f t="shared" ca="1" si="390"/>
        <v>1586.5588896822742</v>
      </c>
      <c r="CW220" s="85">
        <f t="shared" ca="1" si="391"/>
        <v>1694.0459945797356</v>
      </c>
    </row>
    <row r="221" spans="1:101" x14ac:dyDescent="0.2">
      <c r="A221" s="115">
        <v>218</v>
      </c>
      <c r="B221" s="85">
        <f t="shared" ca="1" si="302"/>
        <v>1374.0566700120155</v>
      </c>
      <c r="C221" s="85">
        <f t="shared" ca="1" si="304"/>
        <v>1779.6422309699874</v>
      </c>
      <c r="D221" s="85">
        <f t="shared" ca="1" si="305"/>
        <v>1760.0561762130692</v>
      </c>
      <c r="E221" s="85">
        <f t="shared" ca="1" si="306"/>
        <v>1551.4824142538137</v>
      </c>
      <c r="F221" s="85">
        <f t="shared" ca="1" si="307"/>
        <v>1714.6081569543308</v>
      </c>
      <c r="G221" s="85">
        <f t="shared" ca="1" si="308"/>
        <v>1819.3944380583844</v>
      </c>
      <c r="H221" s="85">
        <f t="shared" ca="1" si="309"/>
        <v>1733.7964440860205</v>
      </c>
      <c r="I221" s="85">
        <f t="shared" ca="1" si="310"/>
        <v>1944.2586632158607</v>
      </c>
      <c r="J221" s="85">
        <f t="shared" ca="1" si="311"/>
        <v>1615.6648485712738</v>
      </c>
      <c r="K221" s="85">
        <f t="shared" ca="1" si="312"/>
        <v>1910.8744484525732</v>
      </c>
      <c r="L221" s="85">
        <f t="shared" ca="1" si="313"/>
        <v>2032.5586413423255</v>
      </c>
      <c r="M221" s="85">
        <f t="shared" ca="1" si="314"/>
        <v>1504.0753149070761</v>
      </c>
      <c r="N221" s="85">
        <f t="shared" ca="1" si="315"/>
        <v>1689.2026717159497</v>
      </c>
      <c r="O221" s="85">
        <f t="shared" ca="1" si="316"/>
        <v>1807.9094895261919</v>
      </c>
      <c r="P221" s="85">
        <f t="shared" ca="1" si="317"/>
        <v>1885.0512238070191</v>
      </c>
      <c r="Q221" s="85">
        <f t="shared" ca="1" si="318"/>
        <v>1912.6584966084945</v>
      </c>
      <c r="R221" s="85">
        <f t="shared" ca="1" si="319"/>
        <v>1639.1199860675165</v>
      </c>
      <c r="S221" s="85">
        <f t="shared" ca="1" si="320"/>
        <v>1905.0761737464904</v>
      </c>
      <c r="T221" s="85">
        <f t="shared" ca="1" si="321"/>
        <v>1740.2330724997564</v>
      </c>
      <c r="U221" s="85">
        <f t="shared" ca="1" si="322"/>
        <v>1587.4332110514947</v>
      </c>
      <c r="V221" s="85">
        <f t="shared" ca="1" si="323"/>
        <v>2165.8573596163824</v>
      </c>
      <c r="W221" s="85">
        <f t="shared" ca="1" si="324"/>
        <v>1611.0831640044303</v>
      </c>
      <c r="X221" s="85">
        <f t="shared" ca="1" si="325"/>
        <v>1896.4954432295367</v>
      </c>
      <c r="Y221" s="85">
        <f t="shared" ca="1" si="326"/>
        <v>1663.5631850904026</v>
      </c>
      <c r="Z221" s="85">
        <f t="shared" ca="1" si="327"/>
        <v>1782.3283926735437</v>
      </c>
      <c r="AA221" s="85">
        <f t="shared" ca="1" si="328"/>
        <v>1597.1586884219253</v>
      </c>
      <c r="AB221" s="85">
        <f t="shared" ca="1" si="329"/>
        <v>2075.5633920732998</v>
      </c>
      <c r="AC221" s="85">
        <f t="shared" ca="1" si="330"/>
        <v>1895.8325641617507</v>
      </c>
      <c r="AD221" s="85">
        <f t="shared" ca="1" si="331"/>
        <v>2053.5519932188963</v>
      </c>
      <c r="AE221" s="85">
        <f t="shared" ca="1" si="332"/>
        <v>2210.8221009138815</v>
      </c>
      <c r="AF221" s="85">
        <f t="shared" ca="1" si="333"/>
        <v>1450.5326617391579</v>
      </c>
      <c r="AG221" s="85">
        <f t="shared" ca="1" si="334"/>
        <v>2082.1606013472374</v>
      </c>
      <c r="AH221" s="85">
        <f t="shared" ca="1" si="335"/>
        <v>1622.4873026259922</v>
      </c>
      <c r="AI221" s="85">
        <f t="shared" ca="1" si="336"/>
        <v>1848.5436663497894</v>
      </c>
      <c r="AJ221" s="85">
        <f t="shared" ca="1" si="337"/>
        <v>2119.0024960724186</v>
      </c>
      <c r="AK221" s="85">
        <f t="shared" ca="1" si="338"/>
        <v>1738.3209244428592</v>
      </c>
      <c r="AL221" s="85">
        <f t="shared" ca="1" si="339"/>
        <v>1730.9057466971979</v>
      </c>
      <c r="AM221" s="85">
        <f t="shared" ca="1" si="340"/>
        <v>1736.3223339705005</v>
      </c>
      <c r="AN221" s="85">
        <f t="shared" ca="1" si="341"/>
        <v>1882.6405964513349</v>
      </c>
      <c r="AO221" s="85">
        <f t="shared" ca="1" si="342"/>
        <v>2325.7330095695734</v>
      </c>
      <c r="AP221" s="85">
        <f t="shared" ca="1" si="343"/>
        <v>2017.7807518287354</v>
      </c>
      <c r="AQ221" s="85">
        <f t="shared" ca="1" si="344"/>
        <v>1615.4871916291174</v>
      </c>
      <c r="AR221" s="85">
        <f t="shared" ca="1" si="345"/>
        <v>1953.0522229442679</v>
      </c>
      <c r="AS221" s="85">
        <f t="shared" ca="1" si="346"/>
        <v>1733.920516798647</v>
      </c>
      <c r="AT221" s="85">
        <f t="shared" ca="1" si="347"/>
        <v>1836.6051351666017</v>
      </c>
      <c r="AU221" s="85">
        <f t="shared" ca="1" si="348"/>
        <v>1763.5113370504275</v>
      </c>
      <c r="AV221" s="85">
        <f t="shared" ca="1" si="349"/>
        <v>1888.8045762750382</v>
      </c>
      <c r="AW221" s="85">
        <f t="shared" ca="1" si="350"/>
        <v>1813.9643323345288</v>
      </c>
      <c r="AX221" s="85">
        <f t="shared" ca="1" si="351"/>
        <v>2279.5476994543196</v>
      </c>
      <c r="AY221" s="85">
        <f t="shared" ca="1" si="352"/>
        <v>2143.6896450128447</v>
      </c>
      <c r="AZ221" s="85">
        <f t="shared" ca="1" si="353"/>
        <v>1914.5198576959169</v>
      </c>
      <c r="BA221" s="85">
        <f t="shared" ca="1" si="354"/>
        <v>2088.5539219566922</v>
      </c>
      <c r="BB221" s="85">
        <f t="shared" ca="1" si="355"/>
        <v>1662.1673533909147</v>
      </c>
      <c r="BC221" s="85">
        <f t="shared" ca="1" si="356"/>
        <v>2042.8028004380171</v>
      </c>
      <c r="BD221" s="85">
        <f t="shared" ca="1" si="357"/>
        <v>1937.4199567400756</v>
      </c>
      <c r="BE221" s="85">
        <f t="shared" ca="1" si="358"/>
        <v>1653.5995653547632</v>
      </c>
      <c r="BF221" s="85">
        <f t="shared" ca="1" si="359"/>
        <v>1609.6173909520433</v>
      </c>
      <c r="BG221" s="85">
        <f t="shared" ca="1" si="360"/>
        <v>1477.7385527626066</v>
      </c>
      <c r="BH221" s="85">
        <f t="shared" ca="1" si="361"/>
        <v>1889.587791520245</v>
      </c>
      <c r="BI221" s="85">
        <f t="shared" ca="1" si="362"/>
        <v>1604.9308158804797</v>
      </c>
      <c r="BJ221" s="85">
        <f t="shared" ca="1" si="363"/>
        <v>1765.300008366019</v>
      </c>
      <c r="BK221" s="85">
        <f t="shared" ca="1" si="364"/>
        <v>1676.7572847447816</v>
      </c>
      <c r="BL221" s="85">
        <f t="shared" ca="1" si="365"/>
        <v>1575.5850087759152</v>
      </c>
      <c r="BM221" s="85">
        <f t="shared" ca="1" si="366"/>
        <v>1689.8907620857442</v>
      </c>
      <c r="BN221" s="85">
        <f t="shared" ca="1" si="303"/>
        <v>1970.886436371243</v>
      </c>
      <c r="BO221" s="85">
        <f t="shared" ca="1" si="392"/>
        <v>2123.6121562241087</v>
      </c>
      <c r="BP221" s="85">
        <f t="shared" ca="1" si="393"/>
        <v>1640.4263411857382</v>
      </c>
      <c r="BQ221" s="85">
        <f t="shared" ca="1" si="394"/>
        <v>1953.4078629713049</v>
      </c>
      <c r="BR221" s="85">
        <f t="shared" ca="1" si="395"/>
        <v>1518.3242870160677</v>
      </c>
      <c r="BS221" s="85">
        <f t="shared" ca="1" si="396"/>
        <v>1807.8911869520427</v>
      </c>
      <c r="BT221" s="85">
        <f t="shared" ca="1" si="397"/>
        <v>2116.4706389202393</v>
      </c>
      <c r="BU221" s="85">
        <f t="shared" ca="1" si="398"/>
        <v>1646.8123590217961</v>
      </c>
      <c r="BV221" s="85">
        <f t="shared" ca="1" si="399"/>
        <v>1773.077056412711</v>
      </c>
      <c r="BW221" s="85">
        <f t="shared" ca="1" si="400"/>
        <v>1934.4849780813172</v>
      </c>
      <c r="BX221" s="85">
        <f t="shared" ca="1" si="401"/>
        <v>1899.6811614861442</v>
      </c>
      <c r="BY221" s="85">
        <f t="shared" ca="1" si="367"/>
        <v>1646.0416847437612</v>
      </c>
      <c r="BZ221" s="85">
        <f t="shared" ca="1" si="368"/>
        <v>1653.2372804480985</v>
      </c>
      <c r="CA221" s="85">
        <f t="shared" ca="1" si="369"/>
        <v>1796.487493362913</v>
      </c>
      <c r="CB221" s="85">
        <f t="shared" ca="1" si="370"/>
        <v>1659.9492951648913</v>
      </c>
      <c r="CC221" s="85">
        <f t="shared" ca="1" si="371"/>
        <v>1894.2046341626508</v>
      </c>
      <c r="CD221" s="85">
        <f t="shared" ca="1" si="372"/>
        <v>2016.7044845524063</v>
      </c>
      <c r="CE221" s="85">
        <f t="shared" ca="1" si="373"/>
        <v>1718.8109872967827</v>
      </c>
      <c r="CF221" s="85">
        <f t="shared" ca="1" si="374"/>
        <v>1987.0695334367053</v>
      </c>
      <c r="CG221" s="85">
        <f t="shared" ca="1" si="375"/>
        <v>1475.4974325652431</v>
      </c>
      <c r="CH221" s="85">
        <f t="shared" ca="1" si="376"/>
        <v>1765.831451317767</v>
      </c>
      <c r="CI221" s="85">
        <f t="shared" ca="1" si="377"/>
        <v>1567.3902666189629</v>
      </c>
      <c r="CJ221" s="85">
        <f t="shared" ca="1" si="378"/>
        <v>1574.8837653425167</v>
      </c>
      <c r="CK221" s="85">
        <f t="shared" ca="1" si="379"/>
        <v>1730.5313755002949</v>
      </c>
      <c r="CL221" s="85">
        <f t="shared" ca="1" si="380"/>
        <v>1593.1543532730075</v>
      </c>
      <c r="CM221" s="85">
        <f t="shared" ca="1" si="381"/>
        <v>2014.6334928569715</v>
      </c>
      <c r="CN221" s="85">
        <f t="shared" ca="1" si="382"/>
        <v>1420.0214514538927</v>
      </c>
      <c r="CO221" s="85">
        <f t="shared" ca="1" si="383"/>
        <v>1679.8001332832478</v>
      </c>
      <c r="CP221" s="85">
        <f t="shared" ca="1" si="384"/>
        <v>1986.6685330622061</v>
      </c>
      <c r="CQ221" s="85">
        <f t="shared" ca="1" si="385"/>
        <v>1757.7952073872118</v>
      </c>
      <c r="CR221" s="85">
        <f t="shared" ca="1" si="386"/>
        <v>1873.3560860368254</v>
      </c>
      <c r="CS221" s="85">
        <f t="shared" ca="1" si="387"/>
        <v>1431.8254961275873</v>
      </c>
      <c r="CT221" s="85">
        <f t="shared" ca="1" si="388"/>
        <v>1640.2781040117557</v>
      </c>
      <c r="CU221" s="85">
        <f t="shared" ca="1" si="389"/>
        <v>2182.8905971303416</v>
      </c>
      <c r="CV221" s="85">
        <f t="shared" ca="1" si="390"/>
        <v>1600.8960049602726</v>
      </c>
      <c r="CW221" s="85">
        <f t="shared" ca="1" si="391"/>
        <v>1738.8219013612304</v>
      </c>
    </row>
    <row r="222" spans="1:101" x14ac:dyDescent="0.2">
      <c r="A222" s="115">
        <v>219</v>
      </c>
      <c r="B222" s="85">
        <f t="shared" ca="1" si="302"/>
        <v>1394.5507453238872</v>
      </c>
      <c r="C222" s="85">
        <f t="shared" ca="1" si="304"/>
        <v>1795.9245633414439</v>
      </c>
      <c r="D222" s="85">
        <f t="shared" ca="1" si="305"/>
        <v>1778.1742563245919</v>
      </c>
      <c r="E222" s="85">
        <f t="shared" ca="1" si="306"/>
        <v>1567.1499818118605</v>
      </c>
      <c r="F222" s="85">
        <f t="shared" ca="1" si="307"/>
        <v>1735.2504793915473</v>
      </c>
      <c r="G222" s="85">
        <f t="shared" ca="1" si="308"/>
        <v>1830.8034022525292</v>
      </c>
      <c r="H222" s="85">
        <f t="shared" ca="1" si="309"/>
        <v>1781.1423380772258</v>
      </c>
      <c r="I222" s="85">
        <f t="shared" ca="1" si="310"/>
        <v>1978.8410969906649</v>
      </c>
      <c r="J222" s="85">
        <f t="shared" ca="1" si="311"/>
        <v>1641.2978117929836</v>
      </c>
      <c r="K222" s="85">
        <f t="shared" ca="1" si="312"/>
        <v>1933.0983606811915</v>
      </c>
      <c r="L222" s="85">
        <f t="shared" ca="1" si="313"/>
        <v>2069.7681726011569</v>
      </c>
      <c r="M222" s="85">
        <f t="shared" ca="1" si="314"/>
        <v>1530.0167403046898</v>
      </c>
      <c r="N222" s="85">
        <f t="shared" ca="1" si="315"/>
        <v>1723.6802004710044</v>
      </c>
      <c r="O222" s="85">
        <f t="shared" ca="1" si="316"/>
        <v>1841.0592459869401</v>
      </c>
      <c r="P222" s="85">
        <f t="shared" ca="1" si="317"/>
        <v>1902.3454860926281</v>
      </c>
      <c r="Q222" s="85">
        <f t="shared" ca="1" si="318"/>
        <v>1950.8854824633161</v>
      </c>
      <c r="R222" s="85">
        <f t="shared" ca="1" si="319"/>
        <v>1666.3494825897637</v>
      </c>
      <c r="S222" s="85">
        <f t="shared" ca="1" si="320"/>
        <v>1936.2594693181702</v>
      </c>
      <c r="T222" s="85">
        <f t="shared" ca="1" si="321"/>
        <v>1768.4073030921973</v>
      </c>
      <c r="U222" s="85">
        <f t="shared" ca="1" si="322"/>
        <v>1609.1111115323797</v>
      </c>
      <c r="V222" s="85">
        <f t="shared" ca="1" si="323"/>
        <v>2171.4544809672698</v>
      </c>
      <c r="W222" s="85">
        <f t="shared" ca="1" si="324"/>
        <v>1633.1345845947296</v>
      </c>
      <c r="X222" s="85">
        <f t="shared" ca="1" si="325"/>
        <v>1914.0332471263298</v>
      </c>
      <c r="Y222" s="85">
        <f t="shared" ca="1" si="326"/>
        <v>1675.9798589951993</v>
      </c>
      <c r="Z222" s="85">
        <f t="shared" ca="1" si="327"/>
        <v>1810.7079002530418</v>
      </c>
      <c r="AA222" s="85">
        <f t="shared" ca="1" si="328"/>
        <v>1643.0018644309389</v>
      </c>
      <c r="AB222" s="85">
        <f t="shared" ca="1" si="329"/>
        <v>2115.1297180714382</v>
      </c>
      <c r="AC222" s="85">
        <f t="shared" ca="1" si="330"/>
        <v>1916.5638988512906</v>
      </c>
      <c r="AD222" s="85">
        <f t="shared" ca="1" si="331"/>
        <v>2092.463429752499</v>
      </c>
      <c r="AE222" s="85">
        <f t="shared" ca="1" si="332"/>
        <v>2270.0945984798195</v>
      </c>
      <c r="AF222" s="85">
        <f t="shared" ca="1" si="333"/>
        <v>1472.2695133043537</v>
      </c>
      <c r="AG222" s="85">
        <f t="shared" ca="1" si="334"/>
        <v>2129.6077249385039</v>
      </c>
      <c r="AH222" s="85">
        <f t="shared" ca="1" si="335"/>
        <v>1635.214467157941</v>
      </c>
      <c r="AI222" s="85">
        <f t="shared" ca="1" si="336"/>
        <v>1867.7186234129335</v>
      </c>
      <c r="AJ222" s="85">
        <f t="shared" ca="1" si="337"/>
        <v>2143.8524367439977</v>
      </c>
      <c r="AK222" s="85">
        <f t="shared" ca="1" si="338"/>
        <v>1756.9418857555152</v>
      </c>
      <c r="AL222" s="85">
        <f t="shared" ca="1" si="339"/>
        <v>1756.5266543611369</v>
      </c>
      <c r="AM222" s="85">
        <f t="shared" ca="1" si="340"/>
        <v>1773.4552609080893</v>
      </c>
      <c r="AN222" s="85">
        <f t="shared" ca="1" si="341"/>
        <v>1893.3913085269223</v>
      </c>
      <c r="AO222" s="85">
        <f t="shared" ca="1" si="342"/>
        <v>2342.9578182431123</v>
      </c>
      <c r="AP222" s="85">
        <f t="shared" ca="1" si="343"/>
        <v>2042.7446300982581</v>
      </c>
      <c r="AQ222" s="85">
        <f t="shared" ca="1" si="344"/>
        <v>1647.8131913299412</v>
      </c>
      <c r="AR222" s="85">
        <f t="shared" ca="1" si="345"/>
        <v>1972.43227963698</v>
      </c>
      <c r="AS222" s="85">
        <f t="shared" ca="1" si="346"/>
        <v>1748.6366097564292</v>
      </c>
      <c r="AT222" s="85">
        <f t="shared" ca="1" si="347"/>
        <v>1848.5067560539326</v>
      </c>
      <c r="AU222" s="85">
        <f t="shared" ca="1" si="348"/>
        <v>1790.7074844046358</v>
      </c>
      <c r="AV222" s="85">
        <f t="shared" ca="1" si="349"/>
        <v>1906.111575614769</v>
      </c>
      <c r="AW222" s="85">
        <f t="shared" ca="1" si="350"/>
        <v>1823.0937793235194</v>
      </c>
      <c r="AX222" s="85">
        <f t="shared" ca="1" si="351"/>
        <v>2324.079432187551</v>
      </c>
      <c r="AY222" s="85">
        <f t="shared" ca="1" si="352"/>
        <v>2187.0065801430437</v>
      </c>
      <c r="AZ222" s="85">
        <f t="shared" ca="1" si="353"/>
        <v>1954.2137817889825</v>
      </c>
      <c r="BA222" s="85">
        <f t="shared" ca="1" si="354"/>
        <v>2136.8917168980283</v>
      </c>
      <c r="BB222" s="85">
        <f t="shared" ca="1" si="355"/>
        <v>1661.7171026441636</v>
      </c>
      <c r="BC222" s="85">
        <f t="shared" ca="1" si="356"/>
        <v>2058.8854613741396</v>
      </c>
      <c r="BD222" s="85">
        <f t="shared" ca="1" si="357"/>
        <v>1949.4070718514151</v>
      </c>
      <c r="BE222" s="85">
        <f t="shared" ca="1" si="358"/>
        <v>1683.4973524719426</v>
      </c>
      <c r="BF222" s="85">
        <f t="shared" ca="1" si="359"/>
        <v>1620.4996194964358</v>
      </c>
      <c r="BG222" s="85">
        <f t="shared" ca="1" si="360"/>
        <v>1491.2979799930501</v>
      </c>
      <c r="BH222" s="85">
        <f t="shared" ca="1" si="361"/>
        <v>1898.5280606547431</v>
      </c>
      <c r="BI222" s="85">
        <f t="shared" ca="1" si="362"/>
        <v>1634.6380667429385</v>
      </c>
      <c r="BJ222" s="85">
        <f t="shared" ca="1" si="363"/>
        <v>1791.9434931770131</v>
      </c>
      <c r="BK222" s="85">
        <f t="shared" ca="1" si="364"/>
        <v>1706.8187015883875</v>
      </c>
      <c r="BL222" s="85">
        <f t="shared" ca="1" si="365"/>
        <v>1612.0487295005337</v>
      </c>
      <c r="BM222" s="85">
        <f t="shared" ca="1" si="366"/>
        <v>1709.2401567661268</v>
      </c>
      <c r="BN222" s="85">
        <f t="shared" ca="1" si="303"/>
        <v>2016.7047171941108</v>
      </c>
      <c r="BO222" s="85">
        <f t="shared" ca="1" si="392"/>
        <v>2120.6926244735055</v>
      </c>
      <c r="BP222" s="85">
        <f t="shared" ca="1" si="393"/>
        <v>1646.9795554938783</v>
      </c>
      <c r="BQ222" s="85">
        <f t="shared" ca="1" si="394"/>
        <v>1978.0542600181889</v>
      </c>
      <c r="BR222" s="85">
        <f t="shared" ca="1" si="395"/>
        <v>1537.9579710669539</v>
      </c>
      <c r="BS222" s="85">
        <f t="shared" ca="1" si="396"/>
        <v>1828.9444172360577</v>
      </c>
      <c r="BT222" s="85">
        <f t="shared" ca="1" si="397"/>
        <v>2146.756122843874</v>
      </c>
      <c r="BU222" s="85">
        <f t="shared" ca="1" si="398"/>
        <v>1656.041118480807</v>
      </c>
      <c r="BV222" s="85">
        <f t="shared" ca="1" si="399"/>
        <v>1824.1218046225254</v>
      </c>
      <c r="BW222" s="85">
        <f t="shared" ca="1" si="400"/>
        <v>1969.0190537681406</v>
      </c>
      <c r="BX222" s="85">
        <f t="shared" ca="1" si="401"/>
        <v>1934.7118444059834</v>
      </c>
      <c r="BY222" s="85">
        <f t="shared" ca="1" si="367"/>
        <v>1675.5003728596873</v>
      </c>
      <c r="BZ222" s="85">
        <f t="shared" ca="1" si="368"/>
        <v>1686.9222551588118</v>
      </c>
      <c r="CA222" s="85">
        <f t="shared" ca="1" si="369"/>
        <v>1836.6409249825927</v>
      </c>
      <c r="CB222" s="85">
        <f t="shared" ca="1" si="370"/>
        <v>1681.4166793083382</v>
      </c>
      <c r="CC222" s="85">
        <f t="shared" ca="1" si="371"/>
        <v>1909.0927833974442</v>
      </c>
      <c r="CD222" s="85">
        <f t="shared" ca="1" si="372"/>
        <v>2019.4852066835488</v>
      </c>
      <c r="CE222" s="85">
        <f t="shared" ca="1" si="373"/>
        <v>1744.1676808229183</v>
      </c>
      <c r="CF222" s="85">
        <f t="shared" ca="1" si="374"/>
        <v>2018.8071933594833</v>
      </c>
      <c r="CG222" s="85">
        <f t="shared" ca="1" si="375"/>
        <v>1496.1765710897002</v>
      </c>
      <c r="CH222" s="85">
        <f t="shared" ca="1" si="376"/>
        <v>1776.1195057187699</v>
      </c>
      <c r="CI222" s="85">
        <f t="shared" ca="1" si="377"/>
        <v>1593.6740274095871</v>
      </c>
      <c r="CJ222" s="85">
        <f t="shared" ca="1" si="378"/>
        <v>1602.1404279898918</v>
      </c>
      <c r="CK222" s="85">
        <f t="shared" ca="1" si="379"/>
        <v>1736.9154279244892</v>
      </c>
      <c r="CL222" s="85">
        <f t="shared" ca="1" si="380"/>
        <v>1624.956581598391</v>
      </c>
      <c r="CM222" s="85">
        <f t="shared" ca="1" si="381"/>
        <v>2035.0034906327771</v>
      </c>
      <c r="CN222" s="85">
        <f t="shared" ca="1" si="382"/>
        <v>1440.3746383526964</v>
      </c>
      <c r="CO222" s="85">
        <f t="shared" ca="1" si="383"/>
        <v>1722.6647083564376</v>
      </c>
      <c r="CP222" s="85">
        <f t="shared" ca="1" si="384"/>
        <v>2017.9469349411381</v>
      </c>
      <c r="CQ222" s="85">
        <f t="shared" ca="1" si="385"/>
        <v>1778.2573993523856</v>
      </c>
      <c r="CR222" s="85">
        <f t="shared" ca="1" si="386"/>
        <v>1877.3964762190858</v>
      </c>
      <c r="CS222" s="85">
        <f t="shared" ca="1" si="387"/>
        <v>1441.3818209088699</v>
      </c>
      <c r="CT222" s="85">
        <f t="shared" ca="1" si="388"/>
        <v>1675.1723432265019</v>
      </c>
      <c r="CU222" s="85">
        <f t="shared" ca="1" si="389"/>
        <v>2214.0250901530185</v>
      </c>
      <c r="CV222" s="85">
        <f t="shared" ca="1" si="390"/>
        <v>1612.5679577393535</v>
      </c>
      <c r="CW222" s="85">
        <f t="shared" ca="1" si="391"/>
        <v>1758.3293023319129</v>
      </c>
    </row>
    <row r="223" spans="1:101" x14ac:dyDescent="0.2">
      <c r="A223" s="115">
        <v>220</v>
      </c>
      <c r="B223" s="85">
        <f t="shared" ca="1" si="302"/>
        <v>1414.6973323544598</v>
      </c>
      <c r="C223" s="85">
        <f t="shared" ca="1" si="304"/>
        <v>1832.3455749103446</v>
      </c>
      <c r="D223" s="85">
        <f t="shared" ca="1" si="305"/>
        <v>1803.0520867681432</v>
      </c>
      <c r="E223" s="85">
        <f t="shared" ca="1" si="306"/>
        <v>1568.9734020249489</v>
      </c>
      <c r="F223" s="85">
        <f t="shared" ca="1" si="307"/>
        <v>1742.8596612142783</v>
      </c>
      <c r="G223" s="85">
        <f t="shared" ca="1" si="308"/>
        <v>1860.2757166626709</v>
      </c>
      <c r="H223" s="85">
        <f t="shared" ca="1" si="309"/>
        <v>1808.1446280450546</v>
      </c>
      <c r="I223" s="85">
        <f t="shared" ca="1" si="310"/>
        <v>2009.7631006993879</v>
      </c>
      <c r="J223" s="85">
        <f t="shared" ca="1" si="311"/>
        <v>1660.5771916071683</v>
      </c>
      <c r="K223" s="85">
        <f t="shared" ca="1" si="312"/>
        <v>1951.6735106901822</v>
      </c>
      <c r="L223" s="85">
        <f t="shared" ca="1" si="313"/>
        <v>2106.6238766039678</v>
      </c>
      <c r="M223" s="85">
        <f t="shared" ca="1" si="314"/>
        <v>1558.9901293403975</v>
      </c>
      <c r="N223" s="85">
        <f t="shared" ca="1" si="315"/>
        <v>1722.7520178256289</v>
      </c>
      <c r="O223" s="85">
        <f t="shared" ca="1" si="316"/>
        <v>1867.7337312685145</v>
      </c>
      <c r="P223" s="85">
        <f t="shared" ca="1" si="317"/>
        <v>1923.3246373449122</v>
      </c>
      <c r="Q223" s="85">
        <f t="shared" ca="1" si="318"/>
        <v>1994.9178522732489</v>
      </c>
      <c r="R223" s="85">
        <f t="shared" ca="1" si="319"/>
        <v>1688.4696587990982</v>
      </c>
      <c r="S223" s="85">
        <f t="shared" ca="1" si="320"/>
        <v>1973.6011960862418</v>
      </c>
      <c r="T223" s="85">
        <f t="shared" ca="1" si="321"/>
        <v>1797.8611319658562</v>
      </c>
      <c r="U223" s="85">
        <f t="shared" ca="1" si="322"/>
        <v>1623.1206882833487</v>
      </c>
      <c r="V223" s="85">
        <f t="shared" ca="1" si="323"/>
        <v>2201.8864321905116</v>
      </c>
      <c r="W223" s="85">
        <f t="shared" ca="1" si="324"/>
        <v>1652.7555919214055</v>
      </c>
      <c r="X223" s="85">
        <f t="shared" ca="1" si="325"/>
        <v>1933.2650190071024</v>
      </c>
      <c r="Y223" s="85">
        <f t="shared" ca="1" si="326"/>
        <v>1694.377237746203</v>
      </c>
      <c r="Z223" s="85">
        <f t="shared" ca="1" si="327"/>
        <v>1841.8918219926929</v>
      </c>
      <c r="AA223" s="85">
        <f t="shared" ca="1" si="328"/>
        <v>1651.2101100370221</v>
      </c>
      <c r="AB223" s="85">
        <f t="shared" ca="1" si="329"/>
        <v>2129.5890685776926</v>
      </c>
      <c r="AC223" s="85">
        <f t="shared" ca="1" si="330"/>
        <v>1928.6194932518431</v>
      </c>
      <c r="AD223" s="85">
        <f t="shared" ca="1" si="331"/>
        <v>2113.6623701485019</v>
      </c>
      <c r="AE223" s="85">
        <f t="shared" ca="1" si="332"/>
        <v>2279.8886562662665</v>
      </c>
      <c r="AF223" s="85">
        <f t="shared" ca="1" si="333"/>
        <v>1494.1939517892636</v>
      </c>
      <c r="AG223" s="85">
        <f t="shared" ca="1" si="334"/>
        <v>2150.2688040833054</v>
      </c>
      <c r="AH223" s="85">
        <f t="shared" ca="1" si="335"/>
        <v>1671.4451507409578</v>
      </c>
      <c r="AI223" s="85">
        <f t="shared" ca="1" si="336"/>
        <v>1883.213601599891</v>
      </c>
      <c r="AJ223" s="85">
        <f t="shared" ca="1" si="337"/>
        <v>2177.9631362455034</v>
      </c>
      <c r="AK223" s="85">
        <f t="shared" ca="1" si="338"/>
        <v>1786.8137112039742</v>
      </c>
      <c r="AL223" s="85">
        <f t="shared" ca="1" si="339"/>
        <v>1773.4740165055321</v>
      </c>
      <c r="AM223" s="85">
        <f t="shared" ca="1" si="340"/>
        <v>1810.9070384703932</v>
      </c>
      <c r="AN223" s="85">
        <f t="shared" ca="1" si="341"/>
        <v>1912.0789650232809</v>
      </c>
      <c r="AO223" s="85">
        <f t="shared" ca="1" si="342"/>
        <v>2354.2282756062896</v>
      </c>
      <c r="AP223" s="85">
        <f t="shared" ca="1" si="343"/>
        <v>2068.6585028717955</v>
      </c>
      <c r="AQ223" s="85">
        <f t="shared" ca="1" si="344"/>
        <v>1689.4932391338025</v>
      </c>
      <c r="AR223" s="85">
        <f t="shared" ca="1" si="345"/>
        <v>2001.95162969335</v>
      </c>
      <c r="AS223" s="85">
        <f t="shared" ca="1" si="346"/>
        <v>1775.025194582425</v>
      </c>
      <c r="AT223" s="85">
        <f t="shared" ca="1" si="347"/>
        <v>1883.7736153399608</v>
      </c>
      <c r="AU223" s="85">
        <f t="shared" ca="1" si="348"/>
        <v>1790.0051070690279</v>
      </c>
      <c r="AV223" s="85">
        <f t="shared" ca="1" si="349"/>
        <v>1931.7796382777703</v>
      </c>
      <c r="AW223" s="85">
        <f t="shared" ca="1" si="350"/>
        <v>1848.0117801070548</v>
      </c>
      <c r="AX223" s="85">
        <f t="shared" ca="1" si="351"/>
        <v>2317.8484485776112</v>
      </c>
      <c r="AY223" s="85">
        <f t="shared" ca="1" si="352"/>
        <v>2186.7940520674351</v>
      </c>
      <c r="AZ223" s="85">
        <f t="shared" ca="1" si="353"/>
        <v>1962.5705140952348</v>
      </c>
      <c r="BA223" s="85">
        <f t="shared" ca="1" si="354"/>
        <v>2153.6756726606095</v>
      </c>
      <c r="BB223" s="85">
        <f t="shared" ca="1" si="355"/>
        <v>1695.2819548562641</v>
      </c>
      <c r="BC223" s="85">
        <f t="shared" ca="1" si="356"/>
        <v>2113.8219284553602</v>
      </c>
      <c r="BD223" s="85">
        <f t="shared" ca="1" si="357"/>
        <v>1951.8594782733844</v>
      </c>
      <c r="BE223" s="85">
        <f t="shared" ca="1" si="358"/>
        <v>1730.4716425731024</v>
      </c>
      <c r="BF223" s="85">
        <f t="shared" ca="1" si="359"/>
        <v>1653.4043810745504</v>
      </c>
      <c r="BG223" s="85">
        <f t="shared" ca="1" si="360"/>
        <v>1493.7221889580458</v>
      </c>
      <c r="BH223" s="85">
        <f t="shared" ca="1" si="361"/>
        <v>1932.2061340009368</v>
      </c>
      <c r="BI223" s="85">
        <f t="shared" ca="1" si="362"/>
        <v>1670.2931038583704</v>
      </c>
      <c r="BJ223" s="85">
        <f t="shared" ca="1" si="363"/>
        <v>1811.7438250647781</v>
      </c>
      <c r="BK223" s="85">
        <f t="shared" ca="1" si="364"/>
        <v>1712.7755908140052</v>
      </c>
      <c r="BL223" s="85">
        <f t="shared" ca="1" si="365"/>
        <v>1645.0747294313223</v>
      </c>
      <c r="BM223" s="85">
        <f t="shared" ca="1" si="366"/>
        <v>1741.5840833835477</v>
      </c>
      <c r="BN223" s="85">
        <f t="shared" ca="1" si="303"/>
        <v>2035.2723726457584</v>
      </c>
      <c r="BO223" s="85">
        <f t="shared" ca="1" si="392"/>
        <v>2149.1027578026551</v>
      </c>
      <c r="BP223" s="85">
        <f t="shared" ca="1" si="393"/>
        <v>1660.3534243173124</v>
      </c>
      <c r="BQ223" s="85">
        <f t="shared" ca="1" si="394"/>
        <v>2001.5450798279705</v>
      </c>
      <c r="BR223" s="85">
        <f t="shared" ca="1" si="395"/>
        <v>1543.2031477384401</v>
      </c>
      <c r="BS223" s="85">
        <f t="shared" ca="1" si="396"/>
        <v>1867.9556072992084</v>
      </c>
      <c r="BT223" s="85">
        <f t="shared" ca="1" si="397"/>
        <v>2198.2834503581007</v>
      </c>
      <c r="BU223" s="85">
        <f t="shared" ca="1" si="398"/>
        <v>1669.720478379292</v>
      </c>
      <c r="BV223" s="85">
        <f t="shared" ca="1" si="399"/>
        <v>1835.1289200757083</v>
      </c>
      <c r="BW223" s="85">
        <f t="shared" ca="1" si="400"/>
        <v>2014.8182408315467</v>
      </c>
      <c r="BX223" s="85">
        <f t="shared" ca="1" si="401"/>
        <v>1991.7238657818862</v>
      </c>
      <c r="BY223" s="85">
        <f t="shared" ca="1" si="367"/>
        <v>1711.0707750520792</v>
      </c>
      <c r="BZ223" s="85">
        <f t="shared" ca="1" si="368"/>
        <v>1728.584691627063</v>
      </c>
      <c r="CA223" s="85">
        <f t="shared" ca="1" si="369"/>
        <v>1883.3429787270509</v>
      </c>
      <c r="CB223" s="85">
        <f t="shared" ca="1" si="370"/>
        <v>1712.9966815068315</v>
      </c>
      <c r="CC223" s="85">
        <f t="shared" ca="1" si="371"/>
        <v>1925.0225222624658</v>
      </c>
      <c r="CD223" s="85">
        <f t="shared" ca="1" si="372"/>
        <v>2073.2929164788397</v>
      </c>
      <c r="CE223" s="85">
        <f t="shared" ca="1" si="373"/>
        <v>1768.3603918571509</v>
      </c>
      <c r="CF223" s="85">
        <f t="shared" ca="1" si="374"/>
        <v>2067.8945039939217</v>
      </c>
      <c r="CG223" s="85">
        <f t="shared" ca="1" si="375"/>
        <v>1502.086512935362</v>
      </c>
      <c r="CH223" s="85">
        <f t="shared" ca="1" si="376"/>
        <v>1797.2288482776958</v>
      </c>
      <c r="CI223" s="85">
        <f t="shared" ca="1" si="377"/>
        <v>1633.2693526579894</v>
      </c>
      <c r="CJ223" s="85">
        <f t="shared" ca="1" si="378"/>
        <v>1599.3300370368727</v>
      </c>
      <c r="CK223" s="85">
        <f t="shared" ca="1" si="379"/>
        <v>1732.0419268089938</v>
      </c>
      <c r="CL223" s="85">
        <f t="shared" ca="1" si="380"/>
        <v>1651.677023666186</v>
      </c>
      <c r="CM223" s="85">
        <f t="shared" ca="1" si="381"/>
        <v>2042.5203555471801</v>
      </c>
      <c r="CN223" s="85">
        <f t="shared" ca="1" si="382"/>
        <v>1470.2234508888971</v>
      </c>
      <c r="CO223" s="85">
        <f t="shared" ca="1" si="383"/>
        <v>1764.6430658895545</v>
      </c>
      <c r="CP223" s="85">
        <f t="shared" ca="1" si="384"/>
        <v>2034.1652851149477</v>
      </c>
      <c r="CQ223" s="85">
        <f t="shared" ca="1" si="385"/>
        <v>1814.0938077296978</v>
      </c>
      <c r="CR223" s="85">
        <f t="shared" ca="1" si="386"/>
        <v>1899.9764109817754</v>
      </c>
      <c r="CS223" s="85">
        <f t="shared" ca="1" si="387"/>
        <v>1471.3181421385746</v>
      </c>
      <c r="CT223" s="85">
        <f t="shared" ca="1" si="388"/>
        <v>1707.0208953955052</v>
      </c>
      <c r="CU223" s="85">
        <f t="shared" ca="1" si="389"/>
        <v>2269.5773341953354</v>
      </c>
      <c r="CV223" s="85">
        <f t="shared" ca="1" si="390"/>
        <v>1636.2925786227859</v>
      </c>
      <c r="CW223" s="85">
        <f t="shared" ca="1" si="391"/>
        <v>1801.2229486028687</v>
      </c>
    </row>
    <row r="224" spans="1:101" x14ac:dyDescent="0.2">
      <c r="A224" s="115">
        <v>221</v>
      </c>
      <c r="B224" s="85">
        <f t="shared" ca="1" si="302"/>
        <v>1449.2127237266709</v>
      </c>
      <c r="C224" s="85">
        <f t="shared" ca="1" si="304"/>
        <v>1865.1787722769459</v>
      </c>
      <c r="D224" s="85">
        <f t="shared" ca="1" si="305"/>
        <v>1808.1886330020072</v>
      </c>
      <c r="E224" s="85">
        <f t="shared" ca="1" si="306"/>
        <v>1599.7394100719744</v>
      </c>
      <c r="F224" s="85">
        <f t="shared" ca="1" si="307"/>
        <v>1766.6192836083903</v>
      </c>
      <c r="G224" s="85">
        <f t="shared" ca="1" si="308"/>
        <v>1876.0207313203387</v>
      </c>
      <c r="H224" s="85">
        <f t="shared" ca="1" si="309"/>
        <v>1821.522619495076</v>
      </c>
      <c r="I224" s="85">
        <f t="shared" ca="1" si="310"/>
        <v>2034.5494310951167</v>
      </c>
      <c r="J224" s="85">
        <f t="shared" ca="1" si="311"/>
        <v>1688.1502414649615</v>
      </c>
      <c r="K224" s="85">
        <f t="shared" ca="1" si="312"/>
        <v>1972.7880425035212</v>
      </c>
      <c r="L224" s="85">
        <f t="shared" ca="1" si="313"/>
        <v>2165.0362505321805</v>
      </c>
      <c r="M224" s="85">
        <f t="shared" ca="1" si="314"/>
        <v>1582.387729441336</v>
      </c>
      <c r="N224" s="85">
        <f t="shared" ca="1" si="315"/>
        <v>1754.8096495874129</v>
      </c>
      <c r="O224" s="85">
        <f t="shared" ca="1" si="316"/>
        <v>1893.0002233611688</v>
      </c>
      <c r="P224" s="85">
        <f t="shared" ca="1" si="317"/>
        <v>1935.7550863668823</v>
      </c>
      <c r="Q224" s="85">
        <f t="shared" ca="1" si="318"/>
        <v>2027.2575266387412</v>
      </c>
      <c r="R224" s="85">
        <f t="shared" ca="1" si="319"/>
        <v>1705.4068401366701</v>
      </c>
      <c r="S224" s="85">
        <f t="shared" ca="1" si="320"/>
        <v>1991.0868193100225</v>
      </c>
      <c r="T224" s="85">
        <f t="shared" ca="1" si="321"/>
        <v>1818.7802500518228</v>
      </c>
      <c r="U224" s="85">
        <f t="shared" ca="1" si="322"/>
        <v>1637.6977303481178</v>
      </c>
      <c r="V224" s="85">
        <f t="shared" ca="1" si="323"/>
        <v>2221.8842799768649</v>
      </c>
      <c r="W224" s="85">
        <f t="shared" ca="1" si="324"/>
        <v>1673.366401484963</v>
      </c>
      <c r="X224" s="85">
        <f t="shared" ca="1" si="325"/>
        <v>1970.5597538219522</v>
      </c>
      <c r="Y224" s="85">
        <f t="shared" ca="1" si="326"/>
        <v>1734.1788009648806</v>
      </c>
      <c r="Z224" s="85">
        <f t="shared" ca="1" si="327"/>
        <v>1854.0059574245913</v>
      </c>
      <c r="AA224" s="85">
        <f t="shared" ca="1" si="328"/>
        <v>1651.3003344425131</v>
      </c>
      <c r="AB224" s="85">
        <f t="shared" ca="1" si="329"/>
        <v>2160.976567597846</v>
      </c>
      <c r="AC224" s="85">
        <f t="shared" ca="1" si="330"/>
        <v>1967.6971834397057</v>
      </c>
      <c r="AD224" s="85">
        <f t="shared" ca="1" si="331"/>
        <v>2135.7236650224918</v>
      </c>
      <c r="AE224" s="85">
        <f t="shared" ca="1" si="332"/>
        <v>2338.2871015554861</v>
      </c>
      <c r="AF224" s="85">
        <f t="shared" ca="1" si="333"/>
        <v>1556.2383558681536</v>
      </c>
      <c r="AG224" s="85">
        <f t="shared" ca="1" si="334"/>
        <v>2169.2389212863359</v>
      </c>
      <c r="AH224" s="85">
        <f t="shared" ca="1" si="335"/>
        <v>1710.8408129223455</v>
      </c>
      <c r="AI224" s="85">
        <f t="shared" ca="1" si="336"/>
        <v>1914.3543222815451</v>
      </c>
      <c r="AJ224" s="85">
        <f t="shared" ca="1" si="337"/>
        <v>2211.795647154916</v>
      </c>
      <c r="AK224" s="85">
        <f t="shared" ca="1" si="338"/>
        <v>1810.6954156271652</v>
      </c>
      <c r="AL224" s="85">
        <f t="shared" ca="1" si="339"/>
        <v>1805.5084392564779</v>
      </c>
      <c r="AM224" s="85">
        <f t="shared" ca="1" si="340"/>
        <v>1861.005921972828</v>
      </c>
      <c r="AN224" s="85">
        <f t="shared" ca="1" si="341"/>
        <v>1925.6850641131018</v>
      </c>
      <c r="AO224" s="85">
        <f t="shared" ca="1" si="342"/>
        <v>2403.0039571515349</v>
      </c>
      <c r="AP224" s="85">
        <f t="shared" ca="1" si="343"/>
        <v>2097.1215001802761</v>
      </c>
      <c r="AQ224" s="85">
        <f t="shared" ca="1" si="344"/>
        <v>1704.3099010586354</v>
      </c>
      <c r="AR224" s="85">
        <f t="shared" ca="1" si="345"/>
        <v>2031.700511476392</v>
      </c>
      <c r="AS224" s="85">
        <f t="shared" ca="1" si="346"/>
        <v>1798.5693044303521</v>
      </c>
      <c r="AT224" s="85">
        <f t="shared" ca="1" si="347"/>
        <v>1878.9216967363329</v>
      </c>
      <c r="AU224" s="85">
        <f t="shared" ca="1" si="348"/>
        <v>1811.9184499022924</v>
      </c>
      <c r="AV224" s="85">
        <f t="shared" ca="1" si="349"/>
        <v>1946.7218584920086</v>
      </c>
      <c r="AW224" s="85">
        <f t="shared" ca="1" si="350"/>
        <v>1886.9009534695319</v>
      </c>
      <c r="AX224" s="85">
        <f t="shared" ca="1" si="351"/>
        <v>2339.18955481698</v>
      </c>
      <c r="AY224" s="85">
        <f t="shared" ca="1" si="352"/>
        <v>2211.3167386694454</v>
      </c>
      <c r="AZ224" s="85">
        <f t="shared" ca="1" si="353"/>
        <v>1986.369053782968</v>
      </c>
      <c r="BA224" s="85">
        <f t="shared" ca="1" si="354"/>
        <v>2177.6896562821057</v>
      </c>
      <c r="BB224" s="85">
        <f t="shared" ca="1" si="355"/>
        <v>1726.3668706099347</v>
      </c>
      <c r="BC224" s="85">
        <f t="shared" ca="1" si="356"/>
        <v>2154.9783085692652</v>
      </c>
      <c r="BD224" s="85">
        <f t="shared" ca="1" si="357"/>
        <v>1984.065250531168</v>
      </c>
      <c r="BE224" s="85">
        <f t="shared" ca="1" si="358"/>
        <v>1774.8513989639837</v>
      </c>
      <c r="BF224" s="85">
        <f t="shared" ca="1" si="359"/>
        <v>1668.1864242105098</v>
      </c>
      <c r="BG224" s="85">
        <f t="shared" ca="1" si="360"/>
        <v>1523.0362223606355</v>
      </c>
      <c r="BH224" s="85">
        <f t="shared" ca="1" si="361"/>
        <v>1958.3128358804179</v>
      </c>
      <c r="BI224" s="85">
        <f t="shared" ca="1" si="362"/>
        <v>1670.2612568024374</v>
      </c>
      <c r="BJ224" s="85">
        <f t="shared" ca="1" si="363"/>
        <v>1820.3238657532356</v>
      </c>
      <c r="BK224" s="85">
        <f t="shared" ca="1" si="364"/>
        <v>1740.4618684635739</v>
      </c>
      <c r="BL224" s="85">
        <f t="shared" ca="1" si="365"/>
        <v>1668.0642063492655</v>
      </c>
      <c r="BM224" s="85">
        <f t="shared" ca="1" si="366"/>
        <v>1757.1055944577379</v>
      </c>
      <c r="BN224" s="85">
        <f t="shared" ca="1" si="303"/>
        <v>2054.3460239101291</v>
      </c>
      <c r="BO224" s="85">
        <f t="shared" ca="1" si="392"/>
        <v>2188.9071192193419</v>
      </c>
      <c r="BP224" s="85">
        <f t="shared" ca="1" si="393"/>
        <v>1666.8330889564493</v>
      </c>
      <c r="BQ224" s="85">
        <f t="shared" ca="1" si="394"/>
        <v>2024.4652907835368</v>
      </c>
      <c r="BR224" s="85">
        <f t="shared" ca="1" si="395"/>
        <v>1585.6860964266939</v>
      </c>
      <c r="BS224" s="85">
        <f t="shared" ca="1" si="396"/>
        <v>1900.1159511184212</v>
      </c>
      <c r="BT224" s="85">
        <f t="shared" ca="1" si="397"/>
        <v>2218.6062070448984</v>
      </c>
      <c r="BU224" s="85">
        <f t="shared" ca="1" si="398"/>
        <v>1687.378308327106</v>
      </c>
      <c r="BV224" s="85">
        <f t="shared" ca="1" si="399"/>
        <v>1852.0564879061244</v>
      </c>
      <c r="BW224" s="85">
        <f t="shared" ca="1" si="400"/>
        <v>2034.3737400204086</v>
      </c>
      <c r="BX224" s="85">
        <f t="shared" ca="1" si="401"/>
        <v>2051.4391005062407</v>
      </c>
      <c r="BY224" s="85">
        <f t="shared" ca="1" si="367"/>
        <v>1740.9118626847899</v>
      </c>
      <c r="BZ224" s="85">
        <f t="shared" ca="1" si="368"/>
        <v>1747.5396404489766</v>
      </c>
      <c r="CA224" s="85">
        <f t="shared" ca="1" si="369"/>
        <v>1930.6980773049784</v>
      </c>
      <c r="CB224" s="85">
        <f t="shared" ca="1" si="370"/>
        <v>1710.6729187133108</v>
      </c>
      <c r="CC224" s="85">
        <f t="shared" ca="1" si="371"/>
        <v>1961.8358762485373</v>
      </c>
      <c r="CD224" s="85">
        <f t="shared" ca="1" si="372"/>
        <v>2100.9371370222893</v>
      </c>
      <c r="CE224" s="85">
        <f t="shared" ca="1" si="373"/>
        <v>1789.4342252288855</v>
      </c>
      <c r="CF224" s="85">
        <f t="shared" ca="1" si="374"/>
        <v>2107.2349097404499</v>
      </c>
      <c r="CG224" s="85">
        <f t="shared" ca="1" si="375"/>
        <v>1521.5057188256503</v>
      </c>
      <c r="CH224" s="85">
        <f t="shared" ca="1" si="376"/>
        <v>1802.2046278315179</v>
      </c>
      <c r="CI224" s="85">
        <f t="shared" ca="1" si="377"/>
        <v>1634.252141084283</v>
      </c>
      <c r="CJ224" s="85">
        <f t="shared" ca="1" si="378"/>
        <v>1628.4092498896905</v>
      </c>
      <c r="CK224" s="85">
        <f t="shared" ca="1" si="379"/>
        <v>1781.3547592468728</v>
      </c>
      <c r="CL224" s="85">
        <f t="shared" ca="1" si="380"/>
        <v>1673.3418316049651</v>
      </c>
      <c r="CM224" s="85">
        <f t="shared" ca="1" si="381"/>
        <v>2087.2211555271147</v>
      </c>
      <c r="CN224" s="85">
        <f t="shared" ca="1" si="382"/>
        <v>1478.7536257480688</v>
      </c>
      <c r="CO224" s="85">
        <f t="shared" ca="1" si="383"/>
        <v>1767.5993970481154</v>
      </c>
      <c r="CP224" s="85">
        <f t="shared" ca="1" si="384"/>
        <v>2019.7657221978459</v>
      </c>
      <c r="CQ224" s="85">
        <f t="shared" ca="1" si="385"/>
        <v>1837.1255894114331</v>
      </c>
      <c r="CR224" s="85">
        <f t="shared" ca="1" si="386"/>
        <v>1924.7068223140616</v>
      </c>
      <c r="CS224" s="85">
        <f t="shared" ca="1" si="387"/>
        <v>1489.0296075937856</v>
      </c>
      <c r="CT224" s="85">
        <f t="shared" ca="1" si="388"/>
        <v>1719.8353087813719</v>
      </c>
      <c r="CU224" s="85">
        <f t="shared" ca="1" si="389"/>
        <v>2300.8120170754419</v>
      </c>
      <c r="CV224" s="85">
        <f t="shared" ca="1" si="390"/>
        <v>1654.6614698007527</v>
      </c>
      <c r="CW224" s="85">
        <f t="shared" ca="1" si="391"/>
        <v>1835.1102553901428</v>
      </c>
    </row>
    <row r="225" spans="1:101" x14ac:dyDescent="0.2">
      <c r="A225" s="115">
        <v>222</v>
      </c>
      <c r="B225" s="85">
        <f t="shared" ca="1" si="302"/>
        <v>1480.5147202131184</v>
      </c>
      <c r="C225" s="85">
        <f t="shared" ca="1" si="304"/>
        <v>1882.7998890995807</v>
      </c>
      <c r="D225" s="85">
        <f t="shared" ca="1" si="305"/>
        <v>1840.9684564857109</v>
      </c>
      <c r="E225" s="85">
        <f t="shared" ca="1" si="306"/>
        <v>1602.9119715535226</v>
      </c>
      <c r="F225" s="85">
        <f t="shared" ca="1" si="307"/>
        <v>1788.503011666731</v>
      </c>
      <c r="G225" s="85">
        <f t="shared" ca="1" si="308"/>
        <v>1897.5053733331224</v>
      </c>
      <c r="H225" s="85">
        <f t="shared" ca="1" si="309"/>
        <v>1840.3521651524475</v>
      </c>
      <c r="I225" s="85">
        <f t="shared" ca="1" si="310"/>
        <v>2067.1347590218961</v>
      </c>
      <c r="J225" s="85">
        <f t="shared" ca="1" si="311"/>
        <v>1690.9318572675254</v>
      </c>
      <c r="K225" s="85">
        <f t="shared" ca="1" si="312"/>
        <v>2006.1565216558904</v>
      </c>
      <c r="L225" s="85">
        <f t="shared" ca="1" si="313"/>
        <v>2209.298476734537</v>
      </c>
      <c r="M225" s="85">
        <f t="shared" ca="1" si="314"/>
        <v>1617.079637818242</v>
      </c>
      <c r="N225" s="85">
        <f t="shared" ca="1" si="315"/>
        <v>1776.0529303515173</v>
      </c>
      <c r="O225" s="85">
        <f t="shared" ca="1" si="316"/>
        <v>1911.1640749804005</v>
      </c>
      <c r="P225" s="85">
        <f t="shared" ca="1" si="317"/>
        <v>1951.7834260418554</v>
      </c>
      <c r="Q225" s="85">
        <f t="shared" ca="1" si="318"/>
        <v>2067.576814521909</v>
      </c>
      <c r="R225" s="85">
        <f t="shared" ca="1" si="319"/>
        <v>1721.448262904622</v>
      </c>
      <c r="S225" s="85">
        <f t="shared" ca="1" si="320"/>
        <v>2025.1353454436301</v>
      </c>
      <c r="T225" s="85">
        <f t="shared" ca="1" si="321"/>
        <v>1847.7060396553632</v>
      </c>
      <c r="U225" s="85">
        <f t="shared" ca="1" si="322"/>
        <v>1656.2224332292496</v>
      </c>
      <c r="V225" s="85">
        <f t="shared" ca="1" si="323"/>
        <v>2241.4201100085743</v>
      </c>
      <c r="W225" s="85">
        <f t="shared" ca="1" si="324"/>
        <v>1699.0844432791291</v>
      </c>
      <c r="X225" s="85">
        <f t="shared" ca="1" si="325"/>
        <v>1995.0508527343702</v>
      </c>
      <c r="Y225" s="85">
        <f t="shared" ca="1" si="326"/>
        <v>1766.2001737565897</v>
      </c>
      <c r="Z225" s="85">
        <f t="shared" ca="1" si="327"/>
        <v>1888.4375469714041</v>
      </c>
      <c r="AA225" s="85">
        <f t="shared" ca="1" si="328"/>
        <v>1654.743708403945</v>
      </c>
      <c r="AB225" s="85">
        <f t="shared" ca="1" si="329"/>
        <v>2165.2029798790068</v>
      </c>
      <c r="AC225" s="85">
        <f t="shared" ca="1" si="330"/>
        <v>1997.7256464467509</v>
      </c>
      <c r="AD225" s="85">
        <f t="shared" ca="1" si="331"/>
        <v>2173.6976726629423</v>
      </c>
      <c r="AE225" s="85">
        <f t="shared" ca="1" si="332"/>
        <v>2374.3759312435177</v>
      </c>
      <c r="AF225" s="85">
        <f t="shared" ca="1" si="333"/>
        <v>1576.8507384311927</v>
      </c>
      <c r="AG225" s="85">
        <f t="shared" ca="1" si="334"/>
        <v>2190.5574373741824</v>
      </c>
      <c r="AH225" s="85">
        <f t="shared" ca="1" si="335"/>
        <v>1730.0104412234011</v>
      </c>
      <c r="AI225" s="85">
        <f t="shared" ca="1" si="336"/>
        <v>1952.2106723062627</v>
      </c>
      <c r="AJ225" s="85">
        <f t="shared" ca="1" si="337"/>
        <v>2242.1898769900981</v>
      </c>
      <c r="AK225" s="85">
        <f t="shared" ca="1" si="338"/>
        <v>1811.1719757899793</v>
      </c>
      <c r="AL225" s="85">
        <f t="shared" ca="1" si="339"/>
        <v>1821.3048463566554</v>
      </c>
      <c r="AM225" s="85">
        <f t="shared" ca="1" si="340"/>
        <v>1865.9504882154222</v>
      </c>
      <c r="AN225" s="85">
        <f t="shared" ca="1" si="341"/>
        <v>1941.1939968500669</v>
      </c>
      <c r="AO225" s="85">
        <f t="shared" ca="1" si="342"/>
        <v>2452.8321215916826</v>
      </c>
      <c r="AP225" s="85">
        <f t="shared" ca="1" si="343"/>
        <v>2117.8041667710581</v>
      </c>
      <c r="AQ225" s="85">
        <f t="shared" ca="1" si="344"/>
        <v>1728.6523252227039</v>
      </c>
      <c r="AR225" s="85">
        <f t="shared" ca="1" si="345"/>
        <v>2090.1340367747721</v>
      </c>
      <c r="AS225" s="85">
        <f t="shared" ca="1" si="346"/>
        <v>1817.9339388493847</v>
      </c>
      <c r="AT225" s="85">
        <f t="shared" ca="1" si="347"/>
        <v>1896.0842671850357</v>
      </c>
      <c r="AU225" s="85">
        <f t="shared" ca="1" si="348"/>
        <v>1824.5563136847754</v>
      </c>
      <c r="AV225" s="85">
        <f t="shared" ca="1" si="349"/>
        <v>1988.7365354501283</v>
      </c>
      <c r="AW225" s="85">
        <f t="shared" ca="1" si="350"/>
        <v>1893.0650235502183</v>
      </c>
      <c r="AX225" s="85">
        <f t="shared" ca="1" si="351"/>
        <v>2392.1435935523036</v>
      </c>
      <c r="AY225" s="85">
        <f t="shared" ca="1" si="352"/>
        <v>2242.018245926959</v>
      </c>
      <c r="AZ225" s="85">
        <f t="shared" ca="1" si="353"/>
        <v>2006.9352541370029</v>
      </c>
      <c r="BA225" s="85">
        <f t="shared" ca="1" si="354"/>
        <v>2186.236578271325</v>
      </c>
      <c r="BB225" s="85">
        <f t="shared" ca="1" si="355"/>
        <v>1751.7335548674071</v>
      </c>
      <c r="BC225" s="85">
        <f t="shared" ca="1" si="356"/>
        <v>2188.342585239252</v>
      </c>
      <c r="BD225" s="85">
        <f t="shared" ca="1" si="357"/>
        <v>2026.6611702582952</v>
      </c>
      <c r="BE225" s="85">
        <f t="shared" ca="1" si="358"/>
        <v>1775.4702890510334</v>
      </c>
      <c r="BF225" s="85">
        <f t="shared" ca="1" si="359"/>
        <v>1683.6467595877921</v>
      </c>
      <c r="BG225" s="85">
        <f t="shared" ca="1" si="360"/>
        <v>1545.5806737587939</v>
      </c>
      <c r="BH225" s="85">
        <f t="shared" ca="1" si="361"/>
        <v>1983.6769698492956</v>
      </c>
      <c r="BI225" s="85">
        <f t="shared" ca="1" si="362"/>
        <v>1692.4681571178519</v>
      </c>
      <c r="BJ225" s="85">
        <f t="shared" ca="1" si="363"/>
        <v>1815.400955986217</v>
      </c>
      <c r="BK225" s="85">
        <f t="shared" ca="1" si="364"/>
        <v>1763.4547425630453</v>
      </c>
      <c r="BL225" s="85">
        <f t="shared" ca="1" si="365"/>
        <v>1697.9836982928816</v>
      </c>
      <c r="BM225" s="85">
        <f t="shared" ca="1" si="366"/>
        <v>1763.7856944043447</v>
      </c>
      <c r="BN225" s="85">
        <f t="shared" ca="1" si="303"/>
        <v>2065.2701666448625</v>
      </c>
      <c r="BO225" s="85">
        <f t="shared" ca="1" si="392"/>
        <v>2221.9030844091071</v>
      </c>
      <c r="BP225" s="85">
        <f t="shared" ca="1" si="393"/>
        <v>1709.7532177772814</v>
      </c>
      <c r="BQ225" s="85">
        <f t="shared" ca="1" si="394"/>
        <v>2065.1942816605074</v>
      </c>
      <c r="BR225" s="85">
        <f t="shared" ca="1" si="395"/>
        <v>1615.6911558438794</v>
      </c>
      <c r="BS225" s="85">
        <f t="shared" ca="1" si="396"/>
        <v>1941.8581873347591</v>
      </c>
      <c r="BT225" s="85">
        <f t="shared" ca="1" si="397"/>
        <v>2266.509276648243</v>
      </c>
      <c r="BU225" s="85">
        <f t="shared" ca="1" si="398"/>
        <v>1718.8920098957219</v>
      </c>
      <c r="BV225" s="85">
        <f t="shared" ca="1" si="399"/>
        <v>1881.2498947293445</v>
      </c>
      <c r="BW225" s="85">
        <f t="shared" ca="1" si="400"/>
        <v>2041.4430149433622</v>
      </c>
      <c r="BX225" s="85">
        <f t="shared" ca="1" si="401"/>
        <v>2083.0693875629227</v>
      </c>
      <c r="BY225" s="85">
        <f t="shared" ca="1" si="367"/>
        <v>1758.8825775511154</v>
      </c>
      <c r="BZ225" s="85">
        <f t="shared" ca="1" si="368"/>
        <v>1759.5346528380003</v>
      </c>
      <c r="CA225" s="85">
        <f t="shared" ca="1" si="369"/>
        <v>1956.4183067502399</v>
      </c>
      <c r="CB225" s="85">
        <f t="shared" ca="1" si="370"/>
        <v>1756.1322720605767</v>
      </c>
      <c r="CC225" s="85">
        <f t="shared" ca="1" si="371"/>
        <v>1993.6423205072133</v>
      </c>
      <c r="CD225" s="85">
        <f t="shared" ca="1" si="372"/>
        <v>2140.8322631432989</v>
      </c>
      <c r="CE225" s="85">
        <f t="shared" ca="1" si="373"/>
        <v>1817.7403707358903</v>
      </c>
      <c r="CF225" s="85">
        <f t="shared" ca="1" si="374"/>
        <v>2126.8977778688541</v>
      </c>
      <c r="CG225" s="85">
        <f t="shared" ca="1" si="375"/>
        <v>1540.211792573655</v>
      </c>
      <c r="CH225" s="85">
        <f t="shared" ca="1" si="376"/>
        <v>1810.8988377709748</v>
      </c>
      <c r="CI225" s="85">
        <f t="shared" ca="1" si="377"/>
        <v>1660.2690439795522</v>
      </c>
      <c r="CJ225" s="85">
        <f t="shared" ca="1" si="378"/>
        <v>1673.9067389628312</v>
      </c>
      <c r="CK225" s="85">
        <f t="shared" ca="1" si="379"/>
        <v>1786.5413347719286</v>
      </c>
      <c r="CL225" s="85">
        <f t="shared" ca="1" si="380"/>
        <v>1695.3836657118998</v>
      </c>
      <c r="CM225" s="85">
        <f t="shared" ca="1" si="381"/>
        <v>2115.0654029329867</v>
      </c>
      <c r="CN225" s="85">
        <f t="shared" ca="1" si="382"/>
        <v>1510.5550076887871</v>
      </c>
      <c r="CO225" s="85">
        <f t="shared" ca="1" si="383"/>
        <v>1790.8510116717846</v>
      </c>
      <c r="CP225" s="85">
        <f t="shared" ca="1" si="384"/>
        <v>2042.734006887561</v>
      </c>
      <c r="CQ225" s="85">
        <f t="shared" ca="1" si="385"/>
        <v>1865.9374894584284</v>
      </c>
      <c r="CR225" s="85">
        <f t="shared" ca="1" si="386"/>
        <v>1945.2203823868272</v>
      </c>
      <c r="CS225" s="85">
        <f t="shared" ca="1" si="387"/>
        <v>1504.8761429407675</v>
      </c>
      <c r="CT225" s="85">
        <f t="shared" ca="1" si="388"/>
        <v>1757.2121367861369</v>
      </c>
      <c r="CU225" s="85">
        <f t="shared" ca="1" si="389"/>
        <v>2339.9461160779106</v>
      </c>
      <c r="CV225" s="85">
        <f t="shared" ca="1" si="390"/>
        <v>1677.8512091067801</v>
      </c>
      <c r="CW225" s="85">
        <f t="shared" ca="1" si="391"/>
        <v>1844.3702603352406</v>
      </c>
    </row>
    <row r="226" spans="1:101" x14ac:dyDescent="0.2">
      <c r="A226" s="115">
        <v>223</v>
      </c>
      <c r="B226" s="85">
        <f t="shared" ca="1" si="302"/>
        <v>1504.0199114294076</v>
      </c>
      <c r="C226" s="85">
        <f t="shared" ca="1" si="304"/>
        <v>1913.0640677459508</v>
      </c>
      <c r="D226" s="85">
        <f t="shared" ca="1" si="305"/>
        <v>1881.9592550532072</v>
      </c>
      <c r="E226" s="85">
        <f t="shared" ca="1" si="306"/>
        <v>1628.0529711190111</v>
      </c>
      <c r="F226" s="85">
        <f t="shared" ca="1" si="307"/>
        <v>1830.2390564847285</v>
      </c>
      <c r="G226" s="85">
        <f t="shared" ca="1" si="308"/>
        <v>1909.7209588837638</v>
      </c>
      <c r="H226" s="85">
        <f t="shared" ca="1" si="309"/>
        <v>1902.7950404721769</v>
      </c>
      <c r="I226" s="85">
        <f t="shared" ca="1" si="310"/>
        <v>2090.8248476079116</v>
      </c>
      <c r="J226" s="85">
        <f t="shared" ca="1" si="311"/>
        <v>1708.6988438244543</v>
      </c>
      <c r="K226" s="85">
        <f t="shared" ca="1" si="312"/>
        <v>2039.0848796348387</v>
      </c>
      <c r="L226" s="85">
        <f t="shared" ca="1" si="313"/>
        <v>2231.810377749357</v>
      </c>
      <c r="M226" s="85">
        <f t="shared" ca="1" si="314"/>
        <v>1639.300677314696</v>
      </c>
      <c r="N226" s="85">
        <f t="shared" ca="1" si="315"/>
        <v>1809.8856339483534</v>
      </c>
      <c r="O226" s="85">
        <f t="shared" ca="1" si="316"/>
        <v>1939.3683251120208</v>
      </c>
      <c r="P226" s="85">
        <f t="shared" ca="1" si="317"/>
        <v>1976.4656461965606</v>
      </c>
      <c r="Q226" s="85">
        <f t="shared" ca="1" si="318"/>
        <v>2087.660243243904</v>
      </c>
      <c r="R226" s="85">
        <f t="shared" ca="1" si="319"/>
        <v>1759.3719232304143</v>
      </c>
      <c r="S226" s="85">
        <f t="shared" ca="1" si="320"/>
        <v>2046.2463399023857</v>
      </c>
      <c r="T226" s="85">
        <f t="shared" ca="1" si="321"/>
        <v>1892.7806952994561</v>
      </c>
      <c r="U226" s="85">
        <f t="shared" ca="1" si="322"/>
        <v>1664.6469746517321</v>
      </c>
      <c r="V226" s="85">
        <f t="shared" ca="1" si="323"/>
        <v>2281.8683814103492</v>
      </c>
      <c r="W226" s="85">
        <f t="shared" ca="1" si="324"/>
        <v>1725.2053591488045</v>
      </c>
      <c r="X226" s="85">
        <f t="shared" ca="1" si="325"/>
        <v>2020.70904416704</v>
      </c>
      <c r="Y226" s="85">
        <f t="shared" ca="1" si="326"/>
        <v>1801.2247695399494</v>
      </c>
      <c r="Z226" s="85">
        <f t="shared" ca="1" si="327"/>
        <v>1923.8730253542935</v>
      </c>
      <c r="AA226" s="85">
        <f t="shared" ca="1" si="328"/>
        <v>1690.5821611580027</v>
      </c>
      <c r="AB226" s="85">
        <f t="shared" ca="1" si="329"/>
        <v>2187.5501671624738</v>
      </c>
      <c r="AC226" s="85">
        <f t="shared" ca="1" si="330"/>
        <v>2004.071396445458</v>
      </c>
      <c r="AD226" s="85">
        <f t="shared" ca="1" si="331"/>
        <v>2183.4762968051205</v>
      </c>
      <c r="AE226" s="85">
        <f t="shared" ca="1" si="332"/>
        <v>2400.3465674508307</v>
      </c>
      <c r="AF226" s="85">
        <f t="shared" ca="1" si="333"/>
        <v>1587.843384135876</v>
      </c>
      <c r="AG226" s="85">
        <f t="shared" ca="1" si="334"/>
        <v>2224.3783056568182</v>
      </c>
      <c r="AH226" s="85">
        <f t="shared" ca="1" si="335"/>
        <v>1738.0327663719765</v>
      </c>
      <c r="AI226" s="85">
        <f t="shared" ca="1" si="336"/>
        <v>1983.0017253868805</v>
      </c>
      <c r="AJ226" s="85">
        <f t="shared" ca="1" si="337"/>
        <v>2243.8396427080302</v>
      </c>
      <c r="AK226" s="85">
        <f t="shared" ca="1" si="338"/>
        <v>1819.0778983010935</v>
      </c>
      <c r="AL226" s="85">
        <f t="shared" ca="1" si="339"/>
        <v>1829.1195128480465</v>
      </c>
      <c r="AM226" s="85">
        <f t="shared" ca="1" si="340"/>
        <v>1888.9572189412945</v>
      </c>
      <c r="AN226" s="85">
        <f t="shared" ca="1" si="341"/>
        <v>1971.5214748429296</v>
      </c>
      <c r="AO226" s="85">
        <f t="shared" ca="1" si="342"/>
        <v>2498.6510487823252</v>
      </c>
      <c r="AP226" s="85">
        <f t="shared" ca="1" si="343"/>
        <v>2150.5360818872109</v>
      </c>
      <c r="AQ226" s="85">
        <f t="shared" ca="1" si="344"/>
        <v>1752.017814882646</v>
      </c>
      <c r="AR226" s="85">
        <f t="shared" ca="1" si="345"/>
        <v>2116.7706733866517</v>
      </c>
      <c r="AS226" s="85">
        <f t="shared" ca="1" si="346"/>
        <v>1839.7630904778521</v>
      </c>
      <c r="AT226" s="85">
        <f t="shared" ca="1" si="347"/>
        <v>1942.6976664142367</v>
      </c>
      <c r="AU226" s="85">
        <f t="shared" ca="1" si="348"/>
        <v>1859.7609844011699</v>
      </c>
      <c r="AV226" s="85">
        <f t="shared" ca="1" si="349"/>
        <v>2013.5805048221423</v>
      </c>
      <c r="AW226" s="85">
        <f t="shared" ca="1" si="350"/>
        <v>1925.4564561417103</v>
      </c>
      <c r="AX226" s="85">
        <f t="shared" ca="1" si="351"/>
        <v>2430.8429168856455</v>
      </c>
      <c r="AY226" s="85">
        <f t="shared" ca="1" si="352"/>
        <v>2269.6364867190418</v>
      </c>
      <c r="AZ226" s="85">
        <f t="shared" ca="1" si="353"/>
        <v>2026.5245689575713</v>
      </c>
      <c r="BA226" s="85">
        <f t="shared" ca="1" si="354"/>
        <v>2190.702375636632</v>
      </c>
      <c r="BB226" s="85">
        <f t="shared" ca="1" si="355"/>
        <v>1764.1194758022161</v>
      </c>
      <c r="BC226" s="85">
        <f t="shared" ca="1" si="356"/>
        <v>2212.455149573088</v>
      </c>
      <c r="BD226" s="85">
        <f t="shared" ca="1" si="357"/>
        <v>2060.4105904811454</v>
      </c>
      <c r="BE226" s="85">
        <f t="shared" ca="1" si="358"/>
        <v>1794.4128615918744</v>
      </c>
      <c r="BF226" s="85">
        <f t="shared" ca="1" si="359"/>
        <v>1711.1216819317151</v>
      </c>
      <c r="BG226" s="85">
        <f t="shared" ca="1" si="360"/>
        <v>1566.8613241421513</v>
      </c>
      <c r="BH226" s="85">
        <f t="shared" ca="1" si="361"/>
        <v>1999.5847829092538</v>
      </c>
      <c r="BI226" s="85">
        <f t="shared" ca="1" si="362"/>
        <v>1721.8702478818016</v>
      </c>
      <c r="BJ226" s="85">
        <f t="shared" ca="1" si="363"/>
        <v>1852.6289521658605</v>
      </c>
      <c r="BK226" s="85">
        <f t="shared" ca="1" si="364"/>
        <v>1800.326519734029</v>
      </c>
      <c r="BL226" s="85">
        <f t="shared" ca="1" si="365"/>
        <v>1714.946121457059</v>
      </c>
      <c r="BM226" s="85">
        <f t="shared" ca="1" si="366"/>
        <v>1799.415532335641</v>
      </c>
      <c r="BN226" s="85">
        <f t="shared" ca="1" si="303"/>
        <v>2100.0802897739832</v>
      </c>
      <c r="BO226" s="85">
        <f t="shared" ca="1" si="392"/>
        <v>2224.9594173779255</v>
      </c>
      <c r="BP226" s="85">
        <f t="shared" ca="1" si="393"/>
        <v>1724.7285208431836</v>
      </c>
      <c r="BQ226" s="85">
        <f t="shared" ca="1" si="394"/>
        <v>2079.274293150535</v>
      </c>
      <c r="BR226" s="85">
        <f t="shared" ca="1" si="395"/>
        <v>1632.6935512204577</v>
      </c>
      <c r="BS226" s="85">
        <f t="shared" ca="1" si="396"/>
        <v>1970.9773194909656</v>
      </c>
      <c r="BT226" s="85">
        <f t="shared" ca="1" si="397"/>
        <v>2296.6132261598373</v>
      </c>
      <c r="BU226" s="85">
        <f t="shared" ca="1" si="398"/>
        <v>1733.1283217082553</v>
      </c>
      <c r="BV226" s="85">
        <f t="shared" ca="1" si="399"/>
        <v>1886.3939941514898</v>
      </c>
      <c r="BW226" s="85">
        <f t="shared" ca="1" si="400"/>
        <v>2081.4439908193986</v>
      </c>
      <c r="BX226" s="85">
        <f t="shared" ca="1" si="401"/>
        <v>2137.2203813223496</v>
      </c>
      <c r="BY226" s="85">
        <f t="shared" ca="1" si="367"/>
        <v>1760.7055735825263</v>
      </c>
      <c r="BZ226" s="85">
        <f t="shared" ca="1" si="368"/>
        <v>1820.7481170767735</v>
      </c>
      <c r="CA226" s="85">
        <f t="shared" ca="1" si="369"/>
        <v>1992.978767652131</v>
      </c>
      <c r="CB226" s="85">
        <f t="shared" ca="1" si="370"/>
        <v>1801.6328856450079</v>
      </c>
      <c r="CC226" s="85">
        <f t="shared" ca="1" si="371"/>
        <v>2003.1598466168696</v>
      </c>
      <c r="CD226" s="85">
        <f t="shared" ca="1" si="372"/>
        <v>2167.5276305284078</v>
      </c>
      <c r="CE226" s="85">
        <f t="shared" ca="1" si="373"/>
        <v>1832.2558910017981</v>
      </c>
      <c r="CF226" s="85">
        <f t="shared" ca="1" si="374"/>
        <v>2143.8461153734811</v>
      </c>
      <c r="CG226" s="85">
        <f t="shared" ca="1" si="375"/>
        <v>1581.4656124824587</v>
      </c>
      <c r="CH226" s="85">
        <f t="shared" ca="1" si="376"/>
        <v>1835.9434123783633</v>
      </c>
      <c r="CI226" s="85">
        <f t="shared" ca="1" si="377"/>
        <v>1684.8614021776486</v>
      </c>
      <c r="CJ226" s="85">
        <f t="shared" ca="1" si="378"/>
        <v>1690.8834342531782</v>
      </c>
      <c r="CK226" s="85">
        <f t="shared" ca="1" si="379"/>
        <v>1807.4112886839637</v>
      </c>
      <c r="CL226" s="85">
        <f t="shared" ca="1" si="380"/>
        <v>1723.0566068706844</v>
      </c>
      <c r="CM226" s="85">
        <f t="shared" ca="1" si="381"/>
        <v>2158.7412938471521</v>
      </c>
      <c r="CN226" s="85">
        <f t="shared" ca="1" si="382"/>
        <v>1518.8343627198144</v>
      </c>
      <c r="CO226" s="85">
        <f t="shared" ca="1" si="383"/>
        <v>1808.7068699023012</v>
      </c>
      <c r="CP226" s="85">
        <f t="shared" ca="1" si="384"/>
        <v>2087.5083536479792</v>
      </c>
      <c r="CQ226" s="85">
        <f t="shared" ca="1" si="385"/>
        <v>1893.1493534943625</v>
      </c>
      <c r="CR226" s="85">
        <f t="shared" ca="1" si="386"/>
        <v>1973.2291612330177</v>
      </c>
      <c r="CS226" s="85">
        <f t="shared" ca="1" si="387"/>
        <v>1523.0312829327554</v>
      </c>
      <c r="CT226" s="85">
        <f t="shared" ca="1" si="388"/>
        <v>1792.6426087240125</v>
      </c>
      <c r="CU226" s="85">
        <f t="shared" ca="1" si="389"/>
        <v>2335.7393655708465</v>
      </c>
      <c r="CV226" s="85">
        <f t="shared" ca="1" si="390"/>
        <v>1673.3203118317433</v>
      </c>
      <c r="CW226" s="85">
        <f t="shared" ca="1" si="391"/>
        <v>1886.1363587706016</v>
      </c>
    </row>
    <row r="227" spans="1:101" x14ac:dyDescent="0.2">
      <c r="A227" s="115">
        <v>224</v>
      </c>
      <c r="B227" s="85">
        <f t="shared" ca="1" si="302"/>
        <v>1526.1468573071393</v>
      </c>
      <c r="C227" s="85">
        <f t="shared" ca="1" si="304"/>
        <v>1929.6662882548283</v>
      </c>
      <c r="D227" s="85">
        <f t="shared" ca="1" si="305"/>
        <v>1877.6692857937512</v>
      </c>
      <c r="E227" s="85">
        <f t="shared" ca="1" si="306"/>
        <v>1616.3163451868943</v>
      </c>
      <c r="F227" s="85">
        <f t="shared" ca="1" si="307"/>
        <v>1885.8157094367868</v>
      </c>
      <c r="G227" s="85">
        <f t="shared" ca="1" si="308"/>
        <v>1965.3484829479337</v>
      </c>
      <c r="H227" s="85">
        <f t="shared" ca="1" si="309"/>
        <v>1942.4951270119016</v>
      </c>
      <c r="I227" s="85">
        <f t="shared" ca="1" si="310"/>
        <v>2102.6949107927057</v>
      </c>
      <c r="J227" s="85">
        <f t="shared" ca="1" si="311"/>
        <v>1728.450552667543</v>
      </c>
      <c r="K227" s="85">
        <f t="shared" ca="1" si="312"/>
        <v>2036.7976635877435</v>
      </c>
      <c r="L227" s="85">
        <f t="shared" ca="1" si="313"/>
        <v>2256.070321764108</v>
      </c>
      <c r="M227" s="85">
        <f t="shared" ca="1" si="314"/>
        <v>1662.4732180310725</v>
      </c>
      <c r="N227" s="85">
        <f t="shared" ca="1" si="315"/>
        <v>1826.7385377721789</v>
      </c>
      <c r="O227" s="85">
        <f t="shared" ca="1" si="316"/>
        <v>1964.4832012321451</v>
      </c>
      <c r="P227" s="85">
        <f t="shared" ca="1" si="317"/>
        <v>1996.5723791279788</v>
      </c>
      <c r="Q227" s="85">
        <f t="shared" ca="1" si="318"/>
        <v>2109.5170245453282</v>
      </c>
      <c r="R227" s="85">
        <f t="shared" ca="1" si="319"/>
        <v>1765.5440794589817</v>
      </c>
      <c r="S227" s="85">
        <f t="shared" ca="1" si="320"/>
        <v>2079.6178868132943</v>
      </c>
      <c r="T227" s="85">
        <f t="shared" ca="1" si="321"/>
        <v>1920.2675951198423</v>
      </c>
      <c r="U227" s="85">
        <f t="shared" ca="1" si="322"/>
        <v>1680.2048681373935</v>
      </c>
      <c r="V227" s="85">
        <f t="shared" ca="1" si="323"/>
        <v>2305.0947960364338</v>
      </c>
      <c r="W227" s="85">
        <f t="shared" ca="1" si="324"/>
        <v>1743.124255164847</v>
      </c>
      <c r="X227" s="85">
        <f t="shared" ca="1" si="325"/>
        <v>2056.0650602678479</v>
      </c>
      <c r="Y227" s="85">
        <f t="shared" ca="1" si="326"/>
        <v>1837.7127395151358</v>
      </c>
      <c r="Z227" s="85">
        <f t="shared" ca="1" si="327"/>
        <v>1948.6591205498949</v>
      </c>
      <c r="AA227" s="85">
        <f t="shared" ca="1" si="328"/>
        <v>1687.9421365345559</v>
      </c>
      <c r="AB227" s="85">
        <f t="shared" ca="1" si="329"/>
        <v>2232.8039867066914</v>
      </c>
      <c r="AC227" s="85">
        <f t="shared" ca="1" si="330"/>
        <v>2043.4099517355089</v>
      </c>
      <c r="AD227" s="85">
        <f t="shared" ca="1" si="331"/>
        <v>2176.5827693929173</v>
      </c>
      <c r="AE227" s="85">
        <f t="shared" ca="1" si="332"/>
        <v>2443.3552485188857</v>
      </c>
      <c r="AF227" s="85">
        <f t="shared" ca="1" si="333"/>
        <v>1606.0291688329173</v>
      </c>
      <c r="AG227" s="85">
        <f t="shared" ca="1" si="334"/>
        <v>2239.9518722521093</v>
      </c>
      <c r="AH227" s="85">
        <f t="shared" ca="1" si="335"/>
        <v>1774.5599855846215</v>
      </c>
      <c r="AI227" s="85">
        <f t="shared" ca="1" si="336"/>
        <v>2022.7465859577983</v>
      </c>
      <c r="AJ227" s="85">
        <f t="shared" ca="1" si="337"/>
        <v>2245.3737721984844</v>
      </c>
      <c r="AK227" s="85">
        <f t="shared" ca="1" si="338"/>
        <v>1838.4209456914487</v>
      </c>
      <c r="AL227" s="85">
        <f t="shared" ca="1" si="339"/>
        <v>1820.5707607328436</v>
      </c>
      <c r="AM227" s="85">
        <f t="shared" ca="1" si="340"/>
        <v>1914.973124805344</v>
      </c>
      <c r="AN227" s="85">
        <f t="shared" ca="1" si="341"/>
        <v>1983.9214068780509</v>
      </c>
      <c r="AO227" s="85">
        <f t="shared" ca="1" si="342"/>
        <v>2532.3521777919632</v>
      </c>
      <c r="AP227" s="85">
        <f t="shared" ca="1" si="343"/>
        <v>2192.909568577938</v>
      </c>
      <c r="AQ227" s="85">
        <f t="shared" ca="1" si="344"/>
        <v>1769.8256583602183</v>
      </c>
      <c r="AR227" s="85">
        <f t="shared" ca="1" si="345"/>
        <v>2170.6721103794075</v>
      </c>
      <c r="AS227" s="85">
        <f t="shared" ca="1" si="346"/>
        <v>1865.9517738259394</v>
      </c>
      <c r="AT227" s="85">
        <f t="shared" ca="1" si="347"/>
        <v>1974.3620902561952</v>
      </c>
      <c r="AU227" s="85">
        <f t="shared" ca="1" si="348"/>
        <v>1886.2566050778655</v>
      </c>
      <c r="AV227" s="85">
        <f t="shared" ca="1" si="349"/>
        <v>2042.8622214937934</v>
      </c>
      <c r="AW227" s="85">
        <f t="shared" ca="1" si="350"/>
        <v>1936.1717428483184</v>
      </c>
      <c r="AX227" s="85">
        <f t="shared" ca="1" si="351"/>
        <v>2466.8795699547254</v>
      </c>
      <c r="AY227" s="85">
        <f t="shared" ca="1" si="352"/>
        <v>2311.2471177724992</v>
      </c>
      <c r="AZ227" s="85">
        <f t="shared" ca="1" si="353"/>
        <v>2070.0222308924413</v>
      </c>
      <c r="BA227" s="85">
        <f t="shared" ca="1" si="354"/>
        <v>2212.1304769689709</v>
      </c>
      <c r="BB227" s="85">
        <f t="shared" ca="1" si="355"/>
        <v>1785.0560807230738</v>
      </c>
      <c r="BC227" s="85">
        <f t="shared" ca="1" si="356"/>
        <v>2240.1230600362064</v>
      </c>
      <c r="BD227" s="85">
        <f t="shared" ca="1" si="357"/>
        <v>2090.8665757575177</v>
      </c>
      <c r="BE227" s="85">
        <f t="shared" ca="1" si="358"/>
        <v>1784.6414941468031</v>
      </c>
      <c r="BF227" s="85">
        <f t="shared" ca="1" si="359"/>
        <v>1705.4097983381914</v>
      </c>
      <c r="BG227" s="85">
        <f t="shared" ca="1" si="360"/>
        <v>1606.3769316884552</v>
      </c>
      <c r="BH227" s="85">
        <f t="shared" ca="1" si="361"/>
        <v>2025.7920556896865</v>
      </c>
      <c r="BI227" s="85">
        <f t="shared" ca="1" si="362"/>
        <v>1730.810368483377</v>
      </c>
      <c r="BJ227" s="85">
        <f t="shared" ca="1" si="363"/>
        <v>1894.9697696439162</v>
      </c>
      <c r="BK227" s="85">
        <f t="shared" ca="1" si="364"/>
        <v>1832.6475077496982</v>
      </c>
      <c r="BL227" s="85">
        <f t="shared" ca="1" si="365"/>
        <v>1733.8461452003764</v>
      </c>
      <c r="BM227" s="85">
        <f t="shared" ca="1" si="366"/>
        <v>1830.0436030649737</v>
      </c>
      <c r="BN227" s="85">
        <f t="shared" ca="1" si="303"/>
        <v>2154.8164390775705</v>
      </c>
      <c r="BO227" s="85">
        <f t="shared" ca="1" si="392"/>
        <v>2268.7670170190572</v>
      </c>
      <c r="BP227" s="85">
        <f t="shared" ca="1" si="393"/>
        <v>1759.3440266911423</v>
      </c>
      <c r="BQ227" s="85">
        <f t="shared" ca="1" si="394"/>
        <v>2080.5338174102062</v>
      </c>
      <c r="BR227" s="85">
        <f t="shared" ca="1" si="395"/>
        <v>1660.2233615716937</v>
      </c>
      <c r="BS227" s="85">
        <f t="shared" ca="1" si="396"/>
        <v>1988.0537074828492</v>
      </c>
      <c r="BT227" s="85">
        <f t="shared" ca="1" si="397"/>
        <v>2309.3326922506803</v>
      </c>
      <c r="BU227" s="85">
        <f t="shared" ca="1" si="398"/>
        <v>1750.4248409724553</v>
      </c>
      <c r="BV227" s="85">
        <f t="shared" ca="1" si="399"/>
        <v>1886.7123595895184</v>
      </c>
      <c r="BW227" s="85">
        <f t="shared" ca="1" si="400"/>
        <v>2107.1976871838242</v>
      </c>
      <c r="BX227" s="85">
        <f t="shared" ca="1" si="401"/>
        <v>2195.30134844946</v>
      </c>
      <c r="BY227" s="85">
        <f t="shared" ca="1" si="367"/>
        <v>1764.7298475793048</v>
      </c>
      <c r="BZ227" s="85">
        <f t="shared" ca="1" si="368"/>
        <v>1847.4449101390583</v>
      </c>
      <c r="CA227" s="85">
        <f t="shared" ca="1" si="369"/>
        <v>2031.310663635458</v>
      </c>
      <c r="CB227" s="85">
        <f t="shared" ca="1" si="370"/>
        <v>1826.7218953769286</v>
      </c>
      <c r="CC227" s="85">
        <f t="shared" ca="1" si="371"/>
        <v>2057.4954558910522</v>
      </c>
      <c r="CD227" s="85">
        <f t="shared" ca="1" si="372"/>
        <v>2199.9335959054533</v>
      </c>
      <c r="CE227" s="85">
        <f t="shared" ca="1" si="373"/>
        <v>1857.4621493095651</v>
      </c>
      <c r="CF227" s="85">
        <f t="shared" ca="1" si="374"/>
        <v>2198.4550696178512</v>
      </c>
      <c r="CG227" s="85">
        <f t="shared" ca="1" si="375"/>
        <v>1589.4266401700829</v>
      </c>
      <c r="CH227" s="85">
        <f t="shared" ca="1" si="376"/>
        <v>1883.7911624933331</v>
      </c>
      <c r="CI227" s="85">
        <f t="shared" ca="1" si="377"/>
        <v>1686.3758545283556</v>
      </c>
      <c r="CJ227" s="85">
        <f t="shared" ca="1" si="378"/>
        <v>1697.334848328619</v>
      </c>
      <c r="CK227" s="85">
        <f t="shared" ca="1" si="379"/>
        <v>1819.1168987967437</v>
      </c>
      <c r="CL227" s="85">
        <f t="shared" ca="1" si="380"/>
        <v>1735.0158776811627</v>
      </c>
      <c r="CM227" s="85">
        <f t="shared" ca="1" si="381"/>
        <v>2236.2524894047619</v>
      </c>
      <c r="CN227" s="85">
        <f t="shared" ca="1" si="382"/>
        <v>1537.443893845478</v>
      </c>
      <c r="CO227" s="85">
        <f t="shared" ca="1" si="383"/>
        <v>1809.3137600231669</v>
      </c>
      <c r="CP227" s="85">
        <f t="shared" ca="1" si="384"/>
        <v>2143.0724545904541</v>
      </c>
      <c r="CQ227" s="85">
        <f t="shared" ca="1" si="385"/>
        <v>1905.2664278455895</v>
      </c>
      <c r="CR227" s="85">
        <f t="shared" ca="1" si="386"/>
        <v>2031.8567283505186</v>
      </c>
      <c r="CS227" s="85">
        <f t="shared" ca="1" si="387"/>
        <v>1551.5487849455853</v>
      </c>
      <c r="CT227" s="85">
        <f t="shared" ca="1" si="388"/>
        <v>1843.3907607363183</v>
      </c>
      <c r="CU227" s="85">
        <f t="shared" ca="1" si="389"/>
        <v>2352.8914677648149</v>
      </c>
      <c r="CV227" s="85">
        <f t="shared" ca="1" si="390"/>
        <v>1711.7085512807475</v>
      </c>
      <c r="CW227" s="85">
        <f t="shared" ca="1" si="391"/>
        <v>1915.9754171760708</v>
      </c>
    </row>
    <row r="228" spans="1:101" x14ac:dyDescent="0.2">
      <c r="A228" s="115">
        <v>225</v>
      </c>
      <c r="B228" s="85">
        <f t="shared" ca="1" si="302"/>
        <v>1562.4321124653436</v>
      </c>
      <c r="C228" s="85">
        <f t="shared" ca="1" si="304"/>
        <v>1965.3167256539095</v>
      </c>
      <c r="D228" s="85">
        <f t="shared" ca="1" si="305"/>
        <v>1900.7739538450523</v>
      </c>
      <c r="E228" s="85">
        <f t="shared" ca="1" si="306"/>
        <v>1642.8710281657893</v>
      </c>
      <c r="F228" s="85">
        <f t="shared" ca="1" si="307"/>
        <v>1920.0053965961599</v>
      </c>
      <c r="G228" s="85">
        <f t="shared" ca="1" si="308"/>
        <v>2005.1881329225619</v>
      </c>
      <c r="H228" s="85">
        <f t="shared" ca="1" si="309"/>
        <v>1984.6363285274499</v>
      </c>
      <c r="I228" s="85">
        <f t="shared" ca="1" si="310"/>
        <v>2140.0357320402245</v>
      </c>
      <c r="J228" s="85">
        <f t="shared" ca="1" si="311"/>
        <v>1767.9698824443676</v>
      </c>
      <c r="K228" s="85">
        <f t="shared" ca="1" si="312"/>
        <v>2055.7480307963792</v>
      </c>
      <c r="L228" s="85">
        <f t="shared" ca="1" si="313"/>
        <v>2290.9150343023089</v>
      </c>
      <c r="M228" s="85">
        <f t="shared" ca="1" si="314"/>
        <v>1711.0927751430775</v>
      </c>
      <c r="N228" s="85">
        <f t="shared" ca="1" si="315"/>
        <v>1870.2633157320079</v>
      </c>
      <c r="O228" s="85">
        <f t="shared" ca="1" si="316"/>
        <v>1991.6112572279055</v>
      </c>
      <c r="P228" s="85">
        <f t="shared" ca="1" si="317"/>
        <v>2034.2050834769016</v>
      </c>
      <c r="Q228" s="85">
        <f t="shared" ca="1" si="318"/>
        <v>2108.4578086907927</v>
      </c>
      <c r="R228" s="85">
        <f t="shared" ca="1" si="319"/>
        <v>1802.9957238600398</v>
      </c>
      <c r="S228" s="85">
        <f t="shared" ca="1" si="320"/>
        <v>2083.8097516170196</v>
      </c>
      <c r="T228" s="85">
        <f t="shared" ca="1" si="321"/>
        <v>1956.8101125846358</v>
      </c>
      <c r="U228" s="85">
        <f t="shared" ca="1" si="322"/>
        <v>1724.9386110709818</v>
      </c>
      <c r="V228" s="85">
        <f t="shared" ca="1" si="323"/>
        <v>2322.1435547359988</v>
      </c>
      <c r="W228" s="85">
        <f t="shared" ca="1" si="324"/>
        <v>1775.5461077414207</v>
      </c>
      <c r="X228" s="85">
        <f t="shared" ca="1" si="325"/>
        <v>2087.7071031275527</v>
      </c>
      <c r="Y228" s="85">
        <f t="shared" ca="1" si="326"/>
        <v>1876.3596224502626</v>
      </c>
      <c r="Z228" s="85">
        <f t="shared" ca="1" si="327"/>
        <v>2003.8300081696009</v>
      </c>
      <c r="AA228" s="85">
        <f t="shared" ca="1" si="328"/>
        <v>1709.8450240113584</v>
      </c>
      <c r="AB228" s="85">
        <f t="shared" ca="1" si="329"/>
        <v>2270.6491651869378</v>
      </c>
      <c r="AC228" s="85">
        <f t="shared" ca="1" si="330"/>
        <v>2093.8466710843918</v>
      </c>
      <c r="AD228" s="85">
        <f t="shared" ca="1" si="331"/>
        <v>2237.4966181083346</v>
      </c>
      <c r="AE228" s="85">
        <f t="shared" ca="1" si="332"/>
        <v>2466.7322753256949</v>
      </c>
      <c r="AF228" s="85">
        <f t="shared" ca="1" si="333"/>
        <v>1625.8789424439954</v>
      </c>
      <c r="AG228" s="85">
        <f t="shared" ca="1" si="334"/>
        <v>2267.7186916083792</v>
      </c>
      <c r="AH228" s="85">
        <f t="shared" ca="1" si="335"/>
        <v>1793.696761890151</v>
      </c>
      <c r="AI228" s="85">
        <f t="shared" ca="1" si="336"/>
        <v>2049.0929541662877</v>
      </c>
      <c r="AJ228" s="85">
        <f t="shared" ca="1" si="337"/>
        <v>2307.4759538597764</v>
      </c>
      <c r="AK228" s="85">
        <f t="shared" ca="1" si="338"/>
        <v>1850.5426271963352</v>
      </c>
      <c r="AL228" s="85">
        <f t="shared" ca="1" si="339"/>
        <v>1841.9492550910029</v>
      </c>
      <c r="AM228" s="85">
        <f t="shared" ca="1" si="340"/>
        <v>1937.0842320312499</v>
      </c>
      <c r="AN228" s="85">
        <f t="shared" ca="1" si="341"/>
        <v>2033.7126077976104</v>
      </c>
      <c r="AO228" s="85">
        <f t="shared" ca="1" si="342"/>
        <v>2586.4509459661631</v>
      </c>
      <c r="AP228" s="85">
        <f t="shared" ca="1" si="343"/>
        <v>2248.9302280762536</v>
      </c>
      <c r="AQ228" s="85">
        <f t="shared" ca="1" si="344"/>
        <v>1776.6211596201288</v>
      </c>
      <c r="AR228" s="85">
        <f t="shared" ca="1" si="345"/>
        <v>2205.5918003639936</v>
      </c>
      <c r="AS228" s="85">
        <f t="shared" ca="1" si="346"/>
        <v>1898.0635950397673</v>
      </c>
      <c r="AT228" s="85">
        <f t="shared" ca="1" si="347"/>
        <v>2022.041491006567</v>
      </c>
      <c r="AU228" s="85">
        <f t="shared" ca="1" si="348"/>
        <v>1920.4758517781693</v>
      </c>
      <c r="AV228" s="85">
        <f t="shared" ca="1" si="349"/>
        <v>2073.3860891069826</v>
      </c>
      <c r="AW228" s="85">
        <f t="shared" ca="1" si="350"/>
        <v>1974.129928159769</v>
      </c>
      <c r="AX228" s="85">
        <f t="shared" ca="1" si="351"/>
        <v>2495.8789734106713</v>
      </c>
      <c r="AY228" s="85">
        <f t="shared" ca="1" si="352"/>
        <v>2368.4925905570663</v>
      </c>
      <c r="AZ228" s="85">
        <f t="shared" ca="1" si="353"/>
        <v>2128.5787221754599</v>
      </c>
      <c r="BA228" s="85">
        <f t="shared" ca="1" si="354"/>
        <v>2258.7306920878723</v>
      </c>
      <c r="BB228" s="85">
        <f t="shared" ca="1" si="355"/>
        <v>1821.0788810694282</v>
      </c>
      <c r="BC228" s="85">
        <f t="shared" ca="1" si="356"/>
        <v>2270.9856860239515</v>
      </c>
      <c r="BD228" s="85">
        <f t="shared" ca="1" si="357"/>
        <v>2124.0672685683107</v>
      </c>
      <c r="BE228" s="85">
        <f t="shared" ca="1" si="358"/>
        <v>1792.7421849395696</v>
      </c>
      <c r="BF228" s="85">
        <f t="shared" ca="1" si="359"/>
        <v>1723.5249659928547</v>
      </c>
      <c r="BG228" s="85">
        <f t="shared" ca="1" si="360"/>
        <v>1642.7980483888837</v>
      </c>
      <c r="BH228" s="85">
        <f t="shared" ca="1" si="361"/>
        <v>2050.6913040128347</v>
      </c>
      <c r="BI228" s="85">
        <f t="shared" ca="1" si="362"/>
        <v>1773.6431541791364</v>
      </c>
      <c r="BJ228" s="85">
        <f t="shared" ca="1" si="363"/>
        <v>1913.0955565612751</v>
      </c>
      <c r="BK228" s="85">
        <f t="shared" ca="1" si="364"/>
        <v>1856.4013427231541</v>
      </c>
      <c r="BL228" s="85">
        <f t="shared" ca="1" si="365"/>
        <v>1769.4566844201131</v>
      </c>
      <c r="BM228" s="85">
        <f t="shared" ca="1" si="366"/>
        <v>1858.1283089806282</v>
      </c>
      <c r="BN228" s="85">
        <f t="shared" ca="1" si="303"/>
        <v>2195.6951584245285</v>
      </c>
      <c r="BO228" s="85">
        <f t="shared" ca="1" si="392"/>
        <v>2284.5313618160717</v>
      </c>
      <c r="BP228" s="85">
        <f t="shared" ca="1" si="393"/>
        <v>1803.5106140169692</v>
      </c>
      <c r="BQ228" s="85">
        <f t="shared" ca="1" si="394"/>
        <v>2073.059942227625</v>
      </c>
      <c r="BR228" s="85">
        <f t="shared" ca="1" si="395"/>
        <v>1697.1369989678071</v>
      </c>
      <c r="BS228" s="85">
        <f t="shared" ca="1" si="396"/>
        <v>1998.2981363805666</v>
      </c>
      <c r="BT228" s="85">
        <f t="shared" ca="1" si="397"/>
        <v>2326.9877698991818</v>
      </c>
      <c r="BU228" s="85">
        <f t="shared" ca="1" si="398"/>
        <v>1766.8047156764267</v>
      </c>
      <c r="BV228" s="85">
        <f t="shared" ca="1" si="399"/>
        <v>1903.1042385223325</v>
      </c>
      <c r="BW228" s="85">
        <f t="shared" ca="1" si="400"/>
        <v>2148.0394165425796</v>
      </c>
      <c r="BX228" s="85">
        <f t="shared" ca="1" si="401"/>
        <v>2199.5153305961558</v>
      </c>
      <c r="BY228" s="85">
        <f t="shared" ca="1" si="367"/>
        <v>1776.4706111847795</v>
      </c>
      <c r="BZ228" s="85">
        <f t="shared" ca="1" si="368"/>
        <v>1867.7362497105089</v>
      </c>
      <c r="CA228" s="85">
        <f t="shared" ca="1" si="369"/>
        <v>2079.2257769588391</v>
      </c>
      <c r="CB228" s="85">
        <f t="shared" ca="1" si="370"/>
        <v>1860.6456252112066</v>
      </c>
      <c r="CC228" s="85">
        <f t="shared" ca="1" si="371"/>
        <v>2086.9776274336655</v>
      </c>
      <c r="CD228" s="85">
        <f t="shared" ca="1" si="372"/>
        <v>2207.8274830964538</v>
      </c>
      <c r="CE228" s="85">
        <f t="shared" ca="1" si="373"/>
        <v>1880.8772659045117</v>
      </c>
      <c r="CF228" s="85">
        <f t="shared" ca="1" si="374"/>
        <v>2198.2321166446609</v>
      </c>
      <c r="CG228" s="85">
        <f t="shared" ca="1" si="375"/>
        <v>1613.1570243702963</v>
      </c>
      <c r="CH228" s="85">
        <f t="shared" ca="1" si="376"/>
        <v>1902.5210105732626</v>
      </c>
      <c r="CI228" s="85">
        <f t="shared" ca="1" si="377"/>
        <v>1719.0838914793285</v>
      </c>
      <c r="CJ228" s="85">
        <f t="shared" ca="1" si="378"/>
        <v>1728.4981460160591</v>
      </c>
      <c r="CK228" s="85">
        <f t="shared" ca="1" si="379"/>
        <v>1843.6784747603992</v>
      </c>
      <c r="CL228" s="85">
        <f t="shared" ca="1" si="380"/>
        <v>1766.0285829971372</v>
      </c>
      <c r="CM228" s="85">
        <f t="shared" ca="1" si="381"/>
        <v>2274.016370884015</v>
      </c>
      <c r="CN228" s="85">
        <f t="shared" ca="1" si="382"/>
        <v>1561.0885900918631</v>
      </c>
      <c r="CO228" s="85">
        <f t="shared" ca="1" si="383"/>
        <v>1845.4706881299139</v>
      </c>
      <c r="CP228" s="85">
        <f t="shared" ca="1" si="384"/>
        <v>2186.4613334540118</v>
      </c>
      <c r="CQ228" s="85">
        <f t="shared" ca="1" si="385"/>
        <v>1933.8007979070067</v>
      </c>
      <c r="CR228" s="85">
        <f t="shared" ca="1" si="386"/>
        <v>2053.3092009601755</v>
      </c>
      <c r="CS228" s="85">
        <f t="shared" ca="1" si="387"/>
        <v>1560.9107622891725</v>
      </c>
      <c r="CT228" s="85">
        <f t="shared" ca="1" si="388"/>
        <v>1882.5905751153603</v>
      </c>
      <c r="CU228" s="85">
        <f t="shared" ca="1" si="389"/>
        <v>2390.3201350195973</v>
      </c>
      <c r="CV228" s="85">
        <f t="shared" ca="1" si="390"/>
        <v>1757.1160010089529</v>
      </c>
      <c r="CW228" s="85">
        <f t="shared" ca="1" si="391"/>
        <v>1953.6165122242282</v>
      </c>
    </row>
    <row r="229" spans="1:101" x14ac:dyDescent="0.2">
      <c r="A229" s="115">
        <v>226</v>
      </c>
      <c r="B229" s="85">
        <f t="shared" ca="1" si="302"/>
        <v>1574.8215057652178</v>
      </c>
      <c r="C229" s="85">
        <f t="shared" ca="1" si="304"/>
        <v>1983.2358414898029</v>
      </c>
      <c r="D229" s="85">
        <f t="shared" ca="1" si="305"/>
        <v>1947.1517307164136</v>
      </c>
      <c r="E229" s="85">
        <f t="shared" ca="1" si="306"/>
        <v>1663.2281352003063</v>
      </c>
      <c r="F229" s="85">
        <f t="shared" ca="1" si="307"/>
        <v>1958.7571862023751</v>
      </c>
      <c r="G229" s="85">
        <f t="shared" ca="1" si="308"/>
        <v>2026.9517561303576</v>
      </c>
      <c r="H229" s="85">
        <f t="shared" ca="1" si="309"/>
        <v>1990.1716466233927</v>
      </c>
      <c r="I229" s="85">
        <f t="shared" ca="1" si="310"/>
        <v>2168.4710567031343</v>
      </c>
      <c r="J229" s="85">
        <f t="shared" ca="1" si="311"/>
        <v>1803.4098822131637</v>
      </c>
      <c r="K229" s="85">
        <f t="shared" ca="1" si="312"/>
        <v>2085.1241059621188</v>
      </c>
      <c r="L229" s="85">
        <f t="shared" ca="1" si="313"/>
        <v>2272.8101955885008</v>
      </c>
      <c r="M229" s="85">
        <f t="shared" ca="1" si="314"/>
        <v>1741.0020687700992</v>
      </c>
      <c r="N229" s="85">
        <f t="shared" ca="1" si="315"/>
        <v>1883.2925922632514</v>
      </c>
      <c r="O229" s="85">
        <f t="shared" ca="1" si="316"/>
        <v>2009.9612802749541</v>
      </c>
      <c r="P229" s="85">
        <f t="shared" ca="1" si="317"/>
        <v>2061.0730926688566</v>
      </c>
      <c r="Q229" s="85">
        <f t="shared" ca="1" si="318"/>
        <v>2107.2156459150956</v>
      </c>
      <c r="R229" s="85">
        <f t="shared" ca="1" si="319"/>
        <v>1819.7629091406534</v>
      </c>
      <c r="S229" s="85">
        <f t="shared" ca="1" si="320"/>
        <v>2126.1067858442862</v>
      </c>
      <c r="T229" s="85">
        <f t="shared" ca="1" si="321"/>
        <v>1974.3131483503896</v>
      </c>
      <c r="U229" s="85">
        <f t="shared" ca="1" si="322"/>
        <v>1741.2751932411006</v>
      </c>
      <c r="V229" s="85">
        <f t="shared" ca="1" si="323"/>
        <v>2366.4950666123918</v>
      </c>
      <c r="W229" s="85">
        <f t="shared" ca="1" si="324"/>
        <v>1809.1844037831493</v>
      </c>
      <c r="X229" s="85">
        <f t="shared" ca="1" si="325"/>
        <v>2119.7755836901838</v>
      </c>
      <c r="Y229" s="85">
        <f t="shared" ca="1" si="326"/>
        <v>1907.4870136118548</v>
      </c>
      <c r="Z229" s="85">
        <f t="shared" ca="1" si="327"/>
        <v>2025.7987488853357</v>
      </c>
      <c r="AA229" s="85">
        <f t="shared" ca="1" si="328"/>
        <v>1748.7055707380594</v>
      </c>
      <c r="AB229" s="85">
        <f t="shared" ca="1" si="329"/>
        <v>2323.0809119977903</v>
      </c>
      <c r="AC229" s="85">
        <f t="shared" ca="1" si="330"/>
        <v>2127.5735631063421</v>
      </c>
      <c r="AD229" s="85">
        <f t="shared" ca="1" si="331"/>
        <v>2230.0025000945147</v>
      </c>
      <c r="AE229" s="85">
        <f t="shared" ca="1" si="332"/>
        <v>2482.4099639753094</v>
      </c>
      <c r="AF229" s="85">
        <f t="shared" ca="1" si="333"/>
        <v>1645.6986103152726</v>
      </c>
      <c r="AG229" s="85">
        <f t="shared" ca="1" si="334"/>
        <v>2294.7018618329471</v>
      </c>
      <c r="AH229" s="85">
        <f t="shared" ca="1" si="335"/>
        <v>1819.6274782812216</v>
      </c>
      <c r="AI229" s="85">
        <f t="shared" ca="1" si="336"/>
        <v>2080.6708772032516</v>
      </c>
      <c r="AJ229" s="85">
        <f t="shared" ca="1" si="337"/>
        <v>2337.9124395739709</v>
      </c>
      <c r="AK229" s="85">
        <f t="shared" ca="1" si="338"/>
        <v>1887.5940003742585</v>
      </c>
      <c r="AL229" s="85">
        <f t="shared" ca="1" si="339"/>
        <v>1876.1388548908747</v>
      </c>
      <c r="AM229" s="85">
        <f t="shared" ca="1" si="340"/>
        <v>1967.1970804523671</v>
      </c>
      <c r="AN229" s="85">
        <f t="shared" ca="1" si="341"/>
        <v>2073.5290093496546</v>
      </c>
      <c r="AO229" s="85">
        <f t="shared" ca="1" si="342"/>
        <v>2588.2875602262179</v>
      </c>
      <c r="AP229" s="85">
        <f t="shared" ca="1" si="343"/>
        <v>2264.4782905145321</v>
      </c>
      <c r="AQ229" s="85">
        <f t="shared" ca="1" si="344"/>
        <v>1788.1969492875521</v>
      </c>
      <c r="AR229" s="85">
        <f t="shared" ca="1" si="345"/>
        <v>2217.7220613463323</v>
      </c>
      <c r="AS229" s="85">
        <f t="shared" ca="1" si="346"/>
        <v>1937.8113111054513</v>
      </c>
      <c r="AT229" s="85">
        <f t="shared" ca="1" si="347"/>
        <v>2017.7580852373696</v>
      </c>
      <c r="AU229" s="85">
        <f t="shared" ca="1" si="348"/>
        <v>1928.7197667122721</v>
      </c>
      <c r="AV229" s="85">
        <f t="shared" ca="1" si="349"/>
        <v>2108.9181740145518</v>
      </c>
      <c r="AW229" s="85">
        <f t="shared" ca="1" si="350"/>
        <v>1989.5641175605929</v>
      </c>
      <c r="AX229" s="85">
        <f t="shared" ca="1" si="351"/>
        <v>2536.5202549274045</v>
      </c>
      <c r="AY229" s="85">
        <f t="shared" ca="1" si="352"/>
        <v>2365.3516066044517</v>
      </c>
      <c r="AZ229" s="85">
        <f t="shared" ca="1" si="353"/>
        <v>2183.6953542882025</v>
      </c>
      <c r="BA229" s="85">
        <f t="shared" ca="1" si="354"/>
        <v>2266.7204041567611</v>
      </c>
      <c r="BB229" s="85">
        <f t="shared" ca="1" si="355"/>
        <v>1837.8047525819604</v>
      </c>
      <c r="BC229" s="85">
        <f t="shared" ca="1" si="356"/>
        <v>2310.9146990318809</v>
      </c>
      <c r="BD229" s="85">
        <f t="shared" ca="1" si="357"/>
        <v>2158.9408757342244</v>
      </c>
      <c r="BE229" s="85">
        <f t="shared" ca="1" si="358"/>
        <v>1834.0155701973797</v>
      </c>
      <c r="BF229" s="85">
        <f t="shared" ca="1" si="359"/>
        <v>1735.3453180021197</v>
      </c>
      <c r="BG229" s="85">
        <f t="shared" ca="1" si="360"/>
        <v>1656.691883839012</v>
      </c>
      <c r="BH229" s="85">
        <f t="shared" ca="1" si="361"/>
        <v>2085.2018885477692</v>
      </c>
      <c r="BI229" s="85">
        <f t="shared" ca="1" si="362"/>
        <v>1808.854597176939</v>
      </c>
      <c r="BJ229" s="85">
        <f t="shared" ca="1" si="363"/>
        <v>1956.2788496450044</v>
      </c>
      <c r="BK229" s="85">
        <f t="shared" ca="1" si="364"/>
        <v>1874.7930672992304</v>
      </c>
      <c r="BL229" s="85">
        <f t="shared" ca="1" si="365"/>
        <v>1803.7036730880213</v>
      </c>
      <c r="BM229" s="85">
        <f t="shared" ca="1" si="366"/>
        <v>1859.1779391286907</v>
      </c>
      <c r="BN229" s="85">
        <f t="shared" ca="1" si="303"/>
        <v>2258.2668517965667</v>
      </c>
      <c r="BO229" s="85">
        <f t="shared" ca="1" si="392"/>
        <v>2316.6379854324086</v>
      </c>
      <c r="BP229" s="85">
        <f t="shared" ca="1" si="393"/>
        <v>1834.4392746457388</v>
      </c>
      <c r="BQ229" s="85">
        <f t="shared" ca="1" si="394"/>
        <v>2114.9244734922263</v>
      </c>
      <c r="BR229" s="85">
        <f t="shared" ca="1" si="395"/>
        <v>1746.4829126375025</v>
      </c>
      <c r="BS229" s="85">
        <f t="shared" ca="1" si="396"/>
        <v>2020.2717327625135</v>
      </c>
      <c r="BT229" s="85">
        <f t="shared" ca="1" si="397"/>
        <v>2361.6274384778399</v>
      </c>
      <c r="BU229" s="85">
        <f t="shared" ca="1" si="398"/>
        <v>1787.1824905382452</v>
      </c>
      <c r="BV229" s="85">
        <f t="shared" ca="1" si="399"/>
        <v>1941.7203835465391</v>
      </c>
      <c r="BW229" s="85">
        <f t="shared" ca="1" si="400"/>
        <v>2193.2313763174106</v>
      </c>
      <c r="BX229" s="85">
        <f t="shared" ca="1" si="401"/>
        <v>2219.0084018227362</v>
      </c>
      <c r="BY229" s="85">
        <f t="shared" ca="1" si="367"/>
        <v>1804.8281242836583</v>
      </c>
      <c r="BZ229" s="85">
        <f t="shared" ca="1" si="368"/>
        <v>1904.5391877766353</v>
      </c>
      <c r="CA229" s="85">
        <f t="shared" ca="1" si="369"/>
        <v>2097.7968792044667</v>
      </c>
      <c r="CB229" s="85">
        <f t="shared" ca="1" si="370"/>
        <v>1904.7533867201116</v>
      </c>
      <c r="CC229" s="85">
        <f t="shared" ca="1" si="371"/>
        <v>2142.0359342924789</v>
      </c>
      <c r="CD229" s="85">
        <f t="shared" ca="1" si="372"/>
        <v>2230.4035718531277</v>
      </c>
      <c r="CE229" s="85">
        <f t="shared" ca="1" si="373"/>
        <v>1922.3521181699257</v>
      </c>
      <c r="CF229" s="85">
        <f t="shared" ca="1" si="374"/>
        <v>2221.0230982568687</v>
      </c>
      <c r="CG229" s="85">
        <f t="shared" ca="1" si="375"/>
        <v>1622.9083894662508</v>
      </c>
      <c r="CH229" s="85">
        <f t="shared" ca="1" si="376"/>
        <v>1911.1976685798486</v>
      </c>
      <c r="CI229" s="85">
        <f t="shared" ca="1" si="377"/>
        <v>1745.6194589017502</v>
      </c>
      <c r="CJ229" s="85">
        <f t="shared" ca="1" si="378"/>
        <v>1727.396826909003</v>
      </c>
      <c r="CK229" s="85">
        <f t="shared" ca="1" si="379"/>
        <v>1864.5464618084277</v>
      </c>
      <c r="CL229" s="85">
        <f t="shared" ca="1" si="380"/>
        <v>1798.353310353406</v>
      </c>
      <c r="CM229" s="85">
        <f t="shared" ca="1" si="381"/>
        <v>2316.497188020599</v>
      </c>
      <c r="CN229" s="85">
        <f t="shared" ca="1" si="382"/>
        <v>1583.8186648707622</v>
      </c>
      <c r="CO229" s="85">
        <f t="shared" ca="1" si="383"/>
        <v>1882.9037340091288</v>
      </c>
      <c r="CP229" s="85">
        <f t="shared" ca="1" si="384"/>
        <v>2212.2323542141708</v>
      </c>
      <c r="CQ229" s="85">
        <f t="shared" ca="1" si="385"/>
        <v>1962.8722634906114</v>
      </c>
      <c r="CR229" s="85">
        <f t="shared" ca="1" si="386"/>
        <v>2068.8786747257909</v>
      </c>
      <c r="CS229" s="85">
        <f t="shared" ca="1" si="387"/>
        <v>1596.4325045186938</v>
      </c>
      <c r="CT229" s="85">
        <f t="shared" ca="1" si="388"/>
        <v>1906.1605708543536</v>
      </c>
      <c r="CU229" s="85">
        <f t="shared" ca="1" si="389"/>
        <v>2442.2530498043193</v>
      </c>
      <c r="CV229" s="85">
        <f t="shared" ca="1" si="390"/>
        <v>1767.086730905392</v>
      </c>
      <c r="CW229" s="85">
        <f t="shared" ca="1" si="391"/>
        <v>1980.8256498049227</v>
      </c>
    </row>
    <row r="230" spans="1:101" x14ac:dyDescent="0.2">
      <c r="A230" s="115">
        <v>227</v>
      </c>
      <c r="B230" s="85">
        <f t="shared" ca="1" si="302"/>
        <v>1587.16808498617</v>
      </c>
      <c r="C230" s="85">
        <f t="shared" ca="1" si="304"/>
        <v>2013.1963356058345</v>
      </c>
      <c r="D230" s="85">
        <f t="shared" ca="1" si="305"/>
        <v>1979.7643076967897</v>
      </c>
      <c r="E230" s="85">
        <f t="shared" ca="1" si="306"/>
        <v>1690.6665945752436</v>
      </c>
      <c r="F230" s="85">
        <f t="shared" ca="1" si="307"/>
        <v>1978.8951821397279</v>
      </c>
      <c r="G230" s="85">
        <f t="shared" ca="1" si="308"/>
        <v>2050.4383641083909</v>
      </c>
      <c r="H230" s="85">
        <f t="shared" ca="1" si="309"/>
        <v>1998.4597881252</v>
      </c>
      <c r="I230" s="85">
        <f t="shared" ca="1" si="310"/>
        <v>2208.39267308948</v>
      </c>
      <c r="J230" s="85">
        <f t="shared" ca="1" si="311"/>
        <v>1848.5198662524333</v>
      </c>
      <c r="K230" s="85">
        <f t="shared" ca="1" si="312"/>
        <v>2120.3373713267765</v>
      </c>
      <c r="L230" s="85">
        <f t="shared" ca="1" si="313"/>
        <v>2299.2132725937449</v>
      </c>
      <c r="M230" s="85">
        <f t="shared" ca="1" si="314"/>
        <v>1751.5614970000104</v>
      </c>
      <c r="N230" s="85">
        <f t="shared" ca="1" si="315"/>
        <v>1890.6842976317575</v>
      </c>
      <c r="O230" s="85">
        <f t="shared" ca="1" si="316"/>
        <v>2045.3499461820991</v>
      </c>
      <c r="P230" s="85">
        <f t="shared" ca="1" si="317"/>
        <v>2078.0451757095525</v>
      </c>
      <c r="Q230" s="85">
        <f t="shared" ca="1" si="318"/>
        <v>2148.826102604381</v>
      </c>
      <c r="R230" s="85">
        <f t="shared" ca="1" si="319"/>
        <v>1850.9622587217416</v>
      </c>
      <c r="S230" s="85">
        <f t="shared" ca="1" si="320"/>
        <v>2183.2380796278176</v>
      </c>
      <c r="T230" s="85">
        <f t="shared" ca="1" si="321"/>
        <v>1988.8190112821953</v>
      </c>
      <c r="U230" s="85">
        <f t="shared" ca="1" si="322"/>
        <v>1761.5963423214826</v>
      </c>
      <c r="V230" s="85">
        <f t="shared" ca="1" si="323"/>
        <v>2387.7010326901377</v>
      </c>
      <c r="W230" s="85">
        <f t="shared" ca="1" si="324"/>
        <v>1838.7545359572473</v>
      </c>
      <c r="X230" s="85">
        <f t="shared" ca="1" si="325"/>
        <v>2135.3607573410268</v>
      </c>
      <c r="Y230" s="85">
        <f t="shared" ca="1" si="326"/>
        <v>1933.6538853392062</v>
      </c>
      <c r="Z230" s="85">
        <f t="shared" ca="1" si="327"/>
        <v>2051.380808147891</v>
      </c>
      <c r="AA230" s="85">
        <f t="shared" ca="1" si="328"/>
        <v>1750.0607836168001</v>
      </c>
      <c r="AB230" s="85">
        <f t="shared" ca="1" si="329"/>
        <v>2359.1747044147687</v>
      </c>
      <c r="AC230" s="85">
        <f t="shared" ca="1" si="330"/>
        <v>2128.9557769730222</v>
      </c>
      <c r="AD230" s="85">
        <f t="shared" ca="1" si="331"/>
        <v>2269.3748379665594</v>
      </c>
      <c r="AE230" s="85">
        <f t="shared" ca="1" si="332"/>
        <v>2503.030491847544</v>
      </c>
      <c r="AF230" s="85">
        <f t="shared" ca="1" si="333"/>
        <v>1647.5595668584433</v>
      </c>
      <c r="AG230" s="85">
        <f t="shared" ca="1" si="334"/>
        <v>2311.1376513262881</v>
      </c>
      <c r="AH230" s="85">
        <f t="shared" ca="1" si="335"/>
        <v>1855.9626062168593</v>
      </c>
      <c r="AI230" s="85">
        <f t="shared" ca="1" si="336"/>
        <v>2106.2035263014227</v>
      </c>
      <c r="AJ230" s="85">
        <f t="shared" ca="1" si="337"/>
        <v>2362.4692487201114</v>
      </c>
      <c r="AK230" s="85">
        <f t="shared" ca="1" si="338"/>
        <v>1914.1112581101263</v>
      </c>
      <c r="AL230" s="85">
        <f t="shared" ca="1" si="339"/>
        <v>1892.8003118655845</v>
      </c>
      <c r="AM230" s="85">
        <f t="shared" ca="1" si="340"/>
        <v>1987.6182857943636</v>
      </c>
      <c r="AN230" s="85">
        <f t="shared" ca="1" si="341"/>
        <v>2093.1281865461365</v>
      </c>
      <c r="AO230" s="85">
        <f t="shared" ca="1" si="342"/>
        <v>2619.0262994162081</v>
      </c>
      <c r="AP230" s="85">
        <f t="shared" ca="1" si="343"/>
        <v>2287.3858704532722</v>
      </c>
      <c r="AQ230" s="85">
        <f t="shared" ca="1" si="344"/>
        <v>1808.9461415519072</v>
      </c>
      <c r="AR230" s="85">
        <f t="shared" ca="1" si="345"/>
        <v>2252.6643308637795</v>
      </c>
      <c r="AS230" s="85">
        <f t="shared" ca="1" si="346"/>
        <v>1945.8136029098159</v>
      </c>
      <c r="AT230" s="85">
        <f t="shared" ca="1" si="347"/>
        <v>2037.7815458769016</v>
      </c>
      <c r="AU230" s="85">
        <f t="shared" ca="1" si="348"/>
        <v>1922.2909410454267</v>
      </c>
      <c r="AV230" s="85">
        <f t="shared" ca="1" si="349"/>
        <v>2157.0450665594249</v>
      </c>
      <c r="AW230" s="85">
        <f t="shared" ca="1" si="350"/>
        <v>2007.7507795556373</v>
      </c>
      <c r="AX230" s="85">
        <f t="shared" ca="1" si="351"/>
        <v>2591.5163117406059</v>
      </c>
      <c r="AY230" s="85">
        <f t="shared" ca="1" si="352"/>
        <v>2411.8907449644685</v>
      </c>
      <c r="AZ230" s="85">
        <f t="shared" ca="1" si="353"/>
        <v>2231.7358146897668</v>
      </c>
      <c r="BA230" s="85">
        <f t="shared" ca="1" si="354"/>
        <v>2312.7984223237454</v>
      </c>
      <c r="BB230" s="85">
        <f t="shared" ca="1" si="355"/>
        <v>1888.59211340091</v>
      </c>
      <c r="BC230" s="85">
        <f t="shared" ca="1" si="356"/>
        <v>2338.6494230346302</v>
      </c>
      <c r="BD230" s="85">
        <f t="shared" ca="1" si="357"/>
        <v>2174.7633641121206</v>
      </c>
      <c r="BE230" s="85">
        <f t="shared" ca="1" si="358"/>
        <v>1863.4874872515729</v>
      </c>
      <c r="BF230" s="85">
        <f t="shared" ca="1" si="359"/>
        <v>1736.8572597901482</v>
      </c>
      <c r="BG230" s="85">
        <f t="shared" ca="1" si="360"/>
        <v>1676.9917516708967</v>
      </c>
      <c r="BH230" s="85">
        <f t="shared" ca="1" si="361"/>
        <v>2096.3435110970258</v>
      </c>
      <c r="BI230" s="85">
        <f t="shared" ca="1" si="362"/>
        <v>1838.0087852752577</v>
      </c>
      <c r="BJ230" s="85">
        <f t="shared" ca="1" si="363"/>
        <v>1981.0179517310175</v>
      </c>
      <c r="BK230" s="85">
        <f t="shared" ca="1" si="364"/>
        <v>1905.3631960757657</v>
      </c>
      <c r="BL230" s="85">
        <f t="shared" ca="1" si="365"/>
        <v>1837.5822415600278</v>
      </c>
      <c r="BM230" s="85">
        <f t="shared" ca="1" si="366"/>
        <v>1884.7846260415681</v>
      </c>
      <c r="BN230" s="85">
        <f t="shared" ca="1" si="303"/>
        <v>2285.4851544255525</v>
      </c>
      <c r="BO230" s="85">
        <f t="shared" ca="1" si="392"/>
        <v>2366.6402190869262</v>
      </c>
      <c r="BP230" s="85">
        <f t="shared" ca="1" si="393"/>
        <v>1892.8239958313031</v>
      </c>
      <c r="BQ230" s="85">
        <f t="shared" ca="1" si="394"/>
        <v>2170.5244688571829</v>
      </c>
      <c r="BR230" s="85">
        <f t="shared" ca="1" si="395"/>
        <v>1787.849991020599</v>
      </c>
      <c r="BS230" s="85">
        <f t="shared" ca="1" si="396"/>
        <v>2054.0234373043904</v>
      </c>
      <c r="BT230" s="85">
        <f t="shared" ca="1" si="397"/>
        <v>2425.9099860331266</v>
      </c>
      <c r="BU230" s="85">
        <f t="shared" ca="1" si="398"/>
        <v>1793.2309977315786</v>
      </c>
      <c r="BV230" s="85">
        <f t="shared" ca="1" si="399"/>
        <v>1940.5404852786414</v>
      </c>
      <c r="BW230" s="85">
        <f t="shared" ca="1" si="400"/>
        <v>2231.5779278312175</v>
      </c>
      <c r="BX230" s="85">
        <f t="shared" ca="1" si="401"/>
        <v>2256.8429783755109</v>
      </c>
      <c r="BY230" s="85">
        <f t="shared" ca="1" si="367"/>
        <v>1813.7582363137208</v>
      </c>
      <c r="BZ230" s="85">
        <f t="shared" ca="1" si="368"/>
        <v>1926.1449847479289</v>
      </c>
      <c r="CA230" s="85">
        <f t="shared" ca="1" si="369"/>
        <v>2132.690735746879</v>
      </c>
      <c r="CB230" s="85">
        <f t="shared" ca="1" si="370"/>
        <v>1919.596810094522</v>
      </c>
      <c r="CC230" s="85">
        <f t="shared" ca="1" si="371"/>
        <v>2161.2789133719607</v>
      </c>
      <c r="CD230" s="85">
        <f t="shared" ca="1" si="372"/>
        <v>2235.8399266844526</v>
      </c>
      <c r="CE230" s="85">
        <f t="shared" ca="1" si="373"/>
        <v>1952.0178822989949</v>
      </c>
      <c r="CF230" s="85">
        <f t="shared" ca="1" si="374"/>
        <v>2251.3744495487463</v>
      </c>
      <c r="CG230" s="85">
        <f t="shared" ca="1" si="375"/>
        <v>1630.7019157535256</v>
      </c>
      <c r="CH230" s="85">
        <f t="shared" ca="1" si="376"/>
        <v>1930.4653106867822</v>
      </c>
      <c r="CI230" s="85">
        <f t="shared" ca="1" si="377"/>
        <v>1766.2220746268035</v>
      </c>
      <c r="CJ230" s="85">
        <f t="shared" ca="1" si="378"/>
        <v>1761.4168357902045</v>
      </c>
      <c r="CK230" s="85">
        <f t="shared" ca="1" si="379"/>
        <v>1878.3896398231918</v>
      </c>
      <c r="CL230" s="85">
        <f t="shared" ca="1" si="380"/>
        <v>1851.2836635499523</v>
      </c>
      <c r="CM230" s="85">
        <f t="shared" ca="1" si="381"/>
        <v>2355.4890243251402</v>
      </c>
      <c r="CN230" s="85">
        <f t="shared" ca="1" si="382"/>
        <v>1613.2594254479047</v>
      </c>
      <c r="CO230" s="85">
        <f t="shared" ca="1" si="383"/>
        <v>1889.305871372477</v>
      </c>
      <c r="CP230" s="85">
        <f t="shared" ca="1" si="384"/>
        <v>2248.8696755719561</v>
      </c>
      <c r="CQ230" s="85">
        <f t="shared" ca="1" si="385"/>
        <v>1985.8359531508881</v>
      </c>
      <c r="CR230" s="85">
        <f t="shared" ca="1" si="386"/>
        <v>2065.0176928362425</v>
      </c>
      <c r="CS230" s="85">
        <f t="shared" ca="1" si="387"/>
        <v>1619.2096027130428</v>
      </c>
      <c r="CT230" s="85">
        <f t="shared" ca="1" si="388"/>
        <v>1920.0156077489714</v>
      </c>
      <c r="CU230" s="85">
        <f t="shared" ca="1" si="389"/>
        <v>2467.5283152594698</v>
      </c>
      <c r="CV230" s="85">
        <f t="shared" ca="1" si="390"/>
        <v>1795.21484454699</v>
      </c>
      <c r="CW230" s="85">
        <f t="shared" ca="1" si="391"/>
        <v>2020.1322226634736</v>
      </c>
    </row>
    <row r="231" spans="1:101" x14ac:dyDescent="0.2">
      <c r="A231" s="115">
        <v>228</v>
      </c>
      <c r="B231" s="85">
        <f t="shared" ca="1" si="302"/>
        <v>1610.4284307815726</v>
      </c>
      <c r="C231" s="85">
        <f t="shared" ca="1" si="304"/>
        <v>2032.759868538127</v>
      </c>
      <c r="D231" s="85">
        <f t="shared" ca="1" si="305"/>
        <v>1992.9454206893092</v>
      </c>
      <c r="E231" s="85">
        <f t="shared" ca="1" si="306"/>
        <v>1709.1092532633654</v>
      </c>
      <c r="F231" s="85">
        <f t="shared" ca="1" si="307"/>
        <v>2000.7915877892347</v>
      </c>
      <c r="G231" s="85">
        <f t="shared" ca="1" si="308"/>
        <v>2103.1827916178945</v>
      </c>
      <c r="H231" s="85">
        <f t="shared" ca="1" si="309"/>
        <v>2056.3720620292352</v>
      </c>
      <c r="I231" s="85">
        <f t="shared" ca="1" si="310"/>
        <v>2252.0125359927802</v>
      </c>
      <c r="J231" s="85">
        <f t="shared" ca="1" si="311"/>
        <v>1879.2992850248104</v>
      </c>
      <c r="K231" s="85">
        <f t="shared" ca="1" si="312"/>
        <v>2146.5696867519159</v>
      </c>
      <c r="L231" s="85">
        <f t="shared" ca="1" si="313"/>
        <v>2346.0375784813073</v>
      </c>
      <c r="M231" s="85">
        <f t="shared" ca="1" si="314"/>
        <v>1781.2621175572613</v>
      </c>
      <c r="N231" s="85">
        <f t="shared" ca="1" si="315"/>
        <v>1917.8229503478199</v>
      </c>
      <c r="O231" s="85">
        <f t="shared" ca="1" si="316"/>
        <v>2076.5995036658737</v>
      </c>
      <c r="P231" s="85">
        <f t="shared" ca="1" si="317"/>
        <v>2096.2530431614646</v>
      </c>
      <c r="Q231" s="85">
        <f t="shared" ca="1" si="318"/>
        <v>2211.2337010826468</v>
      </c>
      <c r="R231" s="85">
        <f t="shared" ca="1" si="319"/>
        <v>1888.3115638095937</v>
      </c>
      <c r="S231" s="85">
        <f t="shared" ca="1" si="320"/>
        <v>2215.0749253244107</v>
      </c>
      <c r="T231" s="85">
        <f t="shared" ca="1" si="321"/>
        <v>2006.9715820754418</v>
      </c>
      <c r="U231" s="85">
        <f t="shared" ca="1" si="322"/>
        <v>1808.0911466377056</v>
      </c>
      <c r="V231" s="85">
        <f t="shared" ca="1" si="323"/>
        <v>2417.746556050467</v>
      </c>
      <c r="W231" s="85">
        <f t="shared" ca="1" si="324"/>
        <v>1874.1660321554266</v>
      </c>
      <c r="X231" s="85">
        <f t="shared" ca="1" si="325"/>
        <v>2156.2921675283001</v>
      </c>
      <c r="Y231" s="85">
        <f t="shared" ca="1" si="326"/>
        <v>1961.7776861142163</v>
      </c>
      <c r="Z231" s="85">
        <f t="shared" ca="1" si="327"/>
        <v>2105.2716648513428</v>
      </c>
      <c r="AA231" s="85">
        <f t="shared" ca="1" si="328"/>
        <v>1761.4873630278578</v>
      </c>
      <c r="AB231" s="85">
        <f t="shared" ca="1" si="329"/>
        <v>2387.6098984910413</v>
      </c>
      <c r="AC231" s="85">
        <f t="shared" ca="1" si="330"/>
        <v>2163.1959894725005</v>
      </c>
      <c r="AD231" s="85">
        <f t="shared" ca="1" si="331"/>
        <v>2290.6596048017404</v>
      </c>
      <c r="AE231" s="85">
        <f t="shared" ca="1" si="332"/>
        <v>2552.8146796192873</v>
      </c>
      <c r="AF231" s="85">
        <f t="shared" ca="1" si="333"/>
        <v>1685.6355916897396</v>
      </c>
      <c r="AG231" s="85">
        <f t="shared" ca="1" si="334"/>
        <v>2322.6435105723613</v>
      </c>
      <c r="AH231" s="85">
        <f t="shared" ca="1" si="335"/>
        <v>1894.5681774479367</v>
      </c>
      <c r="AI231" s="85">
        <f t="shared" ca="1" si="336"/>
        <v>2110.0212699002004</v>
      </c>
      <c r="AJ231" s="85">
        <f t="shared" ca="1" si="337"/>
        <v>2362.3633664606878</v>
      </c>
      <c r="AK231" s="85">
        <f t="shared" ca="1" si="338"/>
        <v>1952.3752799238798</v>
      </c>
      <c r="AL231" s="85">
        <f t="shared" ca="1" si="339"/>
        <v>1945.4124383995577</v>
      </c>
      <c r="AM231" s="85">
        <f t="shared" ca="1" si="340"/>
        <v>2042.1660028710867</v>
      </c>
      <c r="AN231" s="85">
        <f t="shared" ca="1" si="341"/>
        <v>2117.4696207025731</v>
      </c>
      <c r="AO231" s="85">
        <f t="shared" ca="1" si="342"/>
        <v>2647.8549167520127</v>
      </c>
      <c r="AP231" s="85">
        <f t="shared" ca="1" si="343"/>
        <v>2310.8196530176378</v>
      </c>
      <c r="AQ231" s="85">
        <f t="shared" ca="1" si="344"/>
        <v>1838.5649820026615</v>
      </c>
      <c r="AR231" s="85">
        <f t="shared" ca="1" si="345"/>
        <v>2297.2801210851021</v>
      </c>
      <c r="AS231" s="85">
        <f t="shared" ca="1" si="346"/>
        <v>1983.5915663162182</v>
      </c>
      <c r="AT231" s="85">
        <f t="shared" ca="1" si="347"/>
        <v>2055.2469291328339</v>
      </c>
      <c r="AU231" s="85">
        <f t="shared" ca="1" si="348"/>
        <v>1953.6813608463658</v>
      </c>
      <c r="AV231" s="85">
        <f t="shared" ca="1" si="349"/>
        <v>2172.0955041916968</v>
      </c>
      <c r="AW231" s="85">
        <f t="shared" ca="1" si="350"/>
        <v>2061.9118252123881</v>
      </c>
      <c r="AX231" s="85">
        <f t="shared" ca="1" si="351"/>
        <v>2653.9080718397263</v>
      </c>
      <c r="AY231" s="85">
        <f t="shared" ca="1" si="352"/>
        <v>2456.0371099739186</v>
      </c>
      <c r="AZ231" s="85">
        <f t="shared" ca="1" si="353"/>
        <v>2261.0041288027892</v>
      </c>
      <c r="BA231" s="85">
        <f t="shared" ca="1" si="354"/>
        <v>2340.8114081226549</v>
      </c>
      <c r="BB231" s="85">
        <f t="shared" ca="1" si="355"/>
        <v>1895.9431716635775</v>
      </c>
      <c r="BC231" s="85">
        <f t="shared" ca="1" si="356"/>
        <v>2379.6490519380882</v>
      </c>
      <c r="BD231" s="85">
        <f t="shared" ca="1" si="357"/>
        <v>2216.1425139807457</v>
      </c>
      <c r="BE231" s="85">
        <f t="shared" ca="1" si="358"/>
        <v>1882.1149019465604</v>
      </c>
      <c r="BF231" s="85">
        <f t="shared" ca="1" si="359"/>
        <v>1750.0189732422393</v>
      </c>
      <c r="BG231" s="85">
        <f t="shared" ca="1" si="360"/>
        <v>1700.5219695855928</v>
      </c>
      <c r="BH231" s="85">
        <f t="shared" ca="1" si="361"/>
        <v>2118.2359931534388</v>
      </c>
      <c r="BI231" s="85">
        <f t="shared" ca="1" si="362"/>
        <v>1857.7313926934444</v>
      </c>
      <c r="BJ231" s="85">
        <f t="shared" ca="1" si="363"/>
        <v>2002.0439124372015</v>
      </c>
      <c r="BK231" s="85">
        <f t="shared" ca="1" si="364"/>
        <v>1931.2189207506069</v>
      </c>
      <c r="BL231" s="85">
        <f t="shared" ca="1" si="365"/>
        <v>1857.5183452986344</v>
      </c>
      <c r="BM231" s="85">
        <f t="shared" ca="1" si="366"/>
        <v>1910.8548883973167</v>
      </c>
      <c r="BN231" s="85">
        <f t="shared" ca="1" si="303"/>
        <v>2297.0986069501896</v>
      </c>
      <c r="BO231" s="85">
        <f t="shared" ca="1" si="392"/>
        <v>2404.0502321598337</v>
      </c>
      <c r="BP231" s="85">
        <f t="shared" ca="1" si="393"/>
        <v>1934.8199598659317</v>
      </c>
      <c r="BQ231" s="85">
        <f t="shared" ca="1" si="394"/>
        <v>2207.9885636248268</v>
      </c>
      <c r="BR231" s="85">
        <f t="shared" ca="1" si="395"/>
        <v>1809.046452773176</v>
      </c>
      <c r="BS231" s="85">
        <f t="shared" ca="1" si="396"/>
        <v>2094.8044296056364</v>
      </c>
      <c r="BT231" s="85">
        <f t="shared" ca="1" si="397"/>
        <v>2453.6393395615519</v>
      </c>
      <c r="BU231" s="85">
        <f t="shared" ca="1" si="398"/>
        <v>1831.6060539722807</v>
      </c>
      <c r="BV231" s="85">
        <f t="shared" ca="1" si="399"/>
        <v>1962.9900413026849</v>
      </c>
      <c r="BW231" s="85">
        <f t="shared" ca="1" si="400"/>
        <v>2235.2392415210966</v>
      </c>
      <c r="BX231" s="85">
        <f t="shared" ca="1" si="401"/>
        <v>2309.7642472362554</v>
      </c>
      <c r="BY231" s="85">
        <f t="shared" ca="1" si="367"/>
        <v>1824.4554080600531</v>
      </c>
      <c r="BZ231" s="85">
        <f t="shared" ca="1" si="368"/>
        <v>1960.7280581740283</v>
      </c>
      <c r="CA231" s="85">
        <f t="shared" ca="1" si="369"/>
        <v>2181.2520623739642</v>
      </c>
      <c r="CB231" s="85">
        <f t="shared" ca="1" si="370"/>
        <v>1951.0226528079572</v>
      </c>
      <c r="CC231" s="85">
        <f t="shared" ca="1" si="371"/>
        <v>2206.2226670458458</v>
      </c>
      <c r="CD231" s="85">
        <f t="shared" ca="1" si="372"/>
        <v>2263.4603182195788</v>
      </c>
      <c r="CE231" s="85">
        <f t="shared" ca="1" si="373"/>
        <v>1963.3227785062068</v>
      </c>
      <c r="CF231" s="85">
        <f t="shared" ca="1" si="374"/>
        <v>2283.3232990812662</v>
      </c>
      <c r="CG231" s="85">
        <f t="shared" ca="1" si="375"/>
        <v>1650.0475468869722</v>
      </c>
      <c r="CH231" s="85">
        <f t="shared" ca="1" si="376"/>
        <v>1981.3501408363181</v>
      </c>
      <c r="CI231" s="85">
        <f t="shared" ca="1" si="377"/>
        <v>1768.6088029442483</v>
      </c>
      <c r="CJ231" s="85">
        <f t="shared" ca="1" si="378"/>
        <v>1784.8726369273609</v>
      </c>
      <c r="CK231" s="85">
        <f t="shared" ca="1" si="379"/>
        <v>1897.2352099715629</v>
      </c>
      <c r="CL231" s="85">
        <f t="shared" ca="1" si="380"/>
        <v>1871.9685978496464</v>
      </c>
      <c r="CM231" s="85">
        <f t="shared" ca="1" si="381"/>
        <v>2397.7733672754066</v>
      </c>
      <c r="CN231" s="85">
        <f t="shared" ca="1" si="382"/>
        <v>1645.3933854696379</v>
      </c>
      <c r="CO231" s="85">
        <f t="shared" ca="1" si="383"/>
        <v>1905.4752139976899</v>
      </c>
      <c r="CP231" s="85">
        <f t="shared" ca="1" si="384"/>
        <v>2275.2931330877336</v>
      </c>
      <c r="CQ231" s="85">
        <f t="shared" ca="1" si="385"/>
        <v>2025.9553022970194</v>
      </c>
      <c r="CR231" s="85">
        <f t="shared" ca="1" si="386"/>
        <v>2092.3218332462125</v>
      </c>
      <c r="CS231" s="85">
        <f t="shared" ca="1" si="387"/>
        <v>1649.2381142541863</v>
      </c>
      <c r="CT231" s="85">
        <f t="shared" ca="1" si="388"/>
        <v>1950.7403041986358</v>
      </c>
      <c r="CU231" s="85">
        <f t="shared" ca="1" si="389"/>
        <v>2482.0359045373148</v>
      </c>
      <c r="CV231" s="85">
        <f t="shared" ca="1" si="390"/>
        <v>1811.8862672584805</v>
      </c>
      <c r="CW231" s="85">
        <f t="shared" ca="1" si="391"/>
        <v>2044.8566801029567</v>
      </c>
    </row>
    <row r="232" spans="1:101" x14ac:dyDescent="0.2">
      <c r="A232" s="115">
        <v>229</v>
      </c>
      <c r="B232" s="85">
        <f t="shared" ca="1" si="302"/>
        <v>1617.8504592189031</v>
      </c>
      <c r="C232" s="85">
        <f t="shared" ca="1" si="304"/>
        <v>2078.5037086485845</v>
      </c>
      <c r="D232" s="85">
        <f t="shared" ca="1" si="305"/>
        <v>2025.1960100987369</v>
      </c>
      <c r="E232" s="85">
        <f t="shared" ca="1" si="306"/>
        <v>1704.8747425928955</v>
      </c>
      <c r="F232" s="85">
        <f t="shared" ca="1" si="307"/>
        <v>2038.264984500702</v>
      </c>
      <c r="G232" s="85">
        <f t="shared" ca="1" si="308"/>
        <v>2118.1976032548173</v>
      </c>
      <c r="H232" s="85">
        <f t="shared" ca="1" si="309"/>
        <v>2081.1080760134673</v>
      </c>
      <c r="I232" s="85">
        <f t="shared" ca="1" si="310"/>
        <v>2271.8487029376688</v>
      </c>
      <c r="J232" s="85">
        <f t="shared" ca="1" si="311"/>
        <v>1904.5268837522888</v>
      </c>
      <c r="K232" s="85">
        <f t="shared" ca="1" si="312"/>
        <v>2152.3604669592537</v>
      </c>
      <c r="L232" s="85">
        <f t="shared" ca="1" si="313"/>
        <v>2393.3762050574869</v>
      </c>
      <c r="M232" s="85">
        <f t="shared" ca="1" si="314"/>
        <v>1781.7992872916575</v>
      </c>
      <c r="N232" s="85">
        <f t="shared" ca="1" si="315"/>
        <v>1954.4336761686432</v>
      </c>
      <c r="O232" s="85">
        <f t="shared" ca="1" si="316"/>
        <v>2116.4108968077958</v>
      </c>
      <c r="P232" s="85">
        <f t="shared" ca="1" si="317"/>
        <v>2143.6980425384081</v>
      </c>
      <c r="Q232" s="85">
        <f t="shared" ca="1" si="318"/>
        <v>2279.8194554204561</v>
      </c>
      <c r="R232" s="85">
        <f t="shared" ca="1" si="319"/>
        <v>1912.0399320742538</v>
      </c>
      <c r="S232" s="85">
        <f t="shared" ca="1" si="320"/>
        <v>2220.278650585597</v>
      </c>
      <c r="T232" s="85">
        <f t="shared" ca="1" si="321"/>
        <v>2036.5299445592116</v>
      </c>
      <c r="U232" s="85">
        <f t="shared" ca="1" si="322"/>
        <v>1845.9644968718148</v>
      </c>
      <c r="V232" s="85">
        <f t="shared" ca="1" si="323"/>
        <v>2472.0290574948385</v>
      </c>
      <c r="W232" s="85">
        <f t="shared" ca="1" si="324"/>
        <v>1878.5521763195936</v>
      </c>
      <c r="X232" s="85">
        <f t="shared" ca="1" si="325"/>
        <v>2186.5673840986888</v>
      </c>
      <c r="Y232" s="85">
        <f t="shared" ca="1" si="326"/>
        <v>1999.9857631877815</v>
      </c>
      <c r="Z232" s="85">
        <f t="shared" ca="1" si="327"/>
        <v>2121.0091208517929</v>
      </c>
      <c r="AA232" s="85">
        <f t="shared" ca="1" si="328"/>
        <v>1787.2501662258308</v>
      </c>
      <c r="AB232" s="85">
        <f t="shared" ca="1" si="329"/>
        <v>2410.7764423417425</v>
      </c>
      <c r="AC232" s="85">
        <f t="shared" ca="1" si="330"/>
        <v>2182.5550698942384</v>
      </c>
      <c r="AD232" s="85">
        <f t="shared" ca="1" si="331"/>
        <v>2330.875298949265</v>
      </c>
      <c r="AE232" s="85">
        <f t="shared" ca="1" si="332"/>
        <v>2580.5045677203098</v>
      </c>
      <c r="AF232" s="85">
        <f t="shared" ca="1" si="333"/>
        <v>1717.0364153178996</v>
      </c>
      <c r="AG232" s="85">
        <f t="shared" ca="1" si="334"/>
        <v>2321.7742714502015</v>
      </c>
      <c r="AH232" s="85">
        <f t="shared" ca="1" si="335"/>
        <v>1930.4823505485917</v>
      </c>
      <c r="AI232" s="85">
        <f t="shared" ca="1" si="336"/>
        <v>2165.3794180633413</v>
      </c>
      <c r="AJ232" s="85">
        <f t="shared" ca="1" si="337"/>
        <v>2376.5162086493274</v>
      </c>
      <c r="AK232" s="85">
        <f t="shared" ca="1" si="338"/>
        <v>2005.1119410440413</v>
      </c>
      <c r="AL232" s="85">
        <f t="shared" ca="1" si="339"/>
        <v>2012.917226642651</v>
      </c>
      <c r="AM232" s="85">
        <f t="shared" ca="1" si="340"/>
        <v>2074.7010153463675</v>
      </c>
      <c r="AN232" s="85">
        <f t="shared" ca="1" si="341"/>
        <v>2164.8186018337333</v>
      </c>
      <c r="AO232" s="85">
        <f t="shared" ca="1" si="342"/>
        <v>2722.0776007808872</v>
      </c>
      <c r="AP232" s="85">
        <f t="shared" ca="1" si="343"/>
        <v>2329.0712424342196</v>
      </c>
      <c r="AQ232" s="85">
        <f t="shared" ca="1" si="344"/>
        <v>1866.6622087246569</v>
      </c>
      <c r="AR232" s="85">
        <f t="shared" ca="1" si="345"/>
        <v>2359.8309468720236</v>
      </c>
      <c r="AS232" s="85">
        <f t="shared" ca="1" si="346"/>
        <v>1995.3348434174793</v>
      </c>
      <c r="AT232" s="85">
        <f t="shared" ca="1" si="347"/>
        <v>2089.7636515513827</v>
      </c>
      <c r="AU232" s="85">
        <f t="shared" ca="1" si="348"/>
        <v>1965.8661073620788</v>
      </c>
      <c r="AV232" s="85">
        <f t="shared" ca="1" si="349"/>
        <v>2177.7336370838843</v>
      </c>
      <c r="AW232" s="85">
        <f t="shared" ca="1" si="350"/>
        <v>2082.4869521869741</v>
      </c>
      <c r="AX232" s="85">
        <f t="shared" ca="1" si="351"/>
        <v>2710.2865209962993</v>
      </c>
      <c r="AY232" s="85">
        <f t="shared" ca="1" si="352"/>
        <v>2464.7599573284874</v>
      </c>
      <c r="AZ232" s="85">
        <f t="shared" ca="1" si="353"/>
        <v>2284.9098649495754</v>
      </c>
      <c r="BA232" s="85">
        <f t="shared" ca="1" si="354"/>
        <v>2368.3685112770968</v>
      </c>
      <c r="BB232" s="85">
        <f t="shared" ca="1" si="355"/>
        <v>1903.241488062778</v>
      </c>
      <c r="BC232" s="85">
        <f t="shared" ca="1" si="356"/>
        <v>2412.2742364505816</v>
      </c>
      <c r="BD232" s="85">
        <f t="shared" ca="1" si="357"/>
        <v>2230.4414567511503</v>
      </c>
      <c r="BE232" s="85">
        <f t="shared" ca="1" si="358"/>
        <v>1910.5054818538817</v>
      </c>
      <c r="BF232" s="85">
        <f t="shared" ca="1" si="359"/>
        <v>1780.6905229082793</v>
      </c>
      <c r="BG232" s="85">
        <f t="shared" ca="1" si="360"/>
        <v>1695.5721123056765</v>
      </c>
      <c r="BH232" s="85">
        <f t="shared" ca="1" si="361"/>
        <v>2141.6734191837172</v>
      </c>
      <c r="BI232" s="85">
        <f t="shared" ca="1" si="362"/>
        <v>1893.5698959140677</v>
      </c>
      <c r="BJ232" s="85">
        <f t="shared" ca="1" si="363"/>
        <v>2035.6125572276719</v>
      </c>
      <c r="BK232" s="85">
        <f t="shared" ca="1" si="364"/>
        <v>1951.5196929484562</v>
      </c>
      <c r="BL232" s="85">
        <f t="shared" ca="1" si="365"/>
        <v>1871.8119762833887</v>
      </c>
      <c r="BM232" s="85">
        <f t="shared" ca="1" si="366"/>
        <v>1922.4576280504639</v>
      </c>
      <c r="BN232" s="85">
        <f t="shared" ca="1" si="303"/>
        <v>2305.3913311139513</v>
      </c>
      <c r="BO232" s="85">
        <f t="shared" ca="1" si="392"/>
        <v>2448.0922101854021</v>
      </c>
      <c r="BP232" s="85">
        <f t="shared" ca="1" si="393"/>
        <v>1971.3901699237017</v>
      </c>
      <c r="BQ232" s="85">
        <f t="shared" ca="1" si="394"/>
        <v>2221.0319494377877</v>
      </c>
      <c r="BR232" s="85">
        <f t="shared" ca="1" si="395"/>
        <v>1845.0380646176447</v>
      </c>
      <c r="BS232" s="85">
        <f t="shared" ca="1" si="396"/>
        <v>2138.1200154695562</v>
      </c>
      <c r="BT232" s="85">
        <f t="shared" ca="1" si="397"/>
        <v>2473.0514470719904</v>
      </c>
      <c r="BU232" s="85">
        <f t="shared" ca="1" si="398"/>
        <v>1848.8900769788424</v>
      </c>
      <c r="BV232" s="85">
        <f t="shared" ca="1" si="399"/>
        <v>1999.4679753585422</v>
      </c>
      <c r="BW232" s="85">
        <f t="shared" ca="1" si="400"/>
        <v>2263.2623227881236</v>
      </c>
      <c r="BX232" s="85">
        <f t="shared" ca="1" si="401"/>
        <v>2352.0512251155983</v>
      </c>
      <c r="BY232" s="85">
        <f t="shared" ca="1" si="367"/>
        <v>1851.3398531820815</v>
      </c>
      <c r="BZ232" s="85">
        <f t="shared" ca="1" si="368"/>
        <v>2004.3294153344343</v>
      </c>
      <c r="CA232" s="85">
        <f t="shared" ca="1" si="369"/>
        <v>2238.1323747007609</v>
      </c>
      <c r="CB232" s="85">
        <f t="shared" ca="1" si="370"/>
        <v>1979.9446773104373</v>
      </c>
      <c r="CC232" s="85">
        <f t="shared" ca="1" si="371"/>
        <v>2263.9622719198283</v>
      </c>
      <c r="CD232" s="85">
        <f t="shared" ca="1" si="372"/>
        <v>2262.5734197570432</v>
      </c>
      <c r="CE232" s="85">
        <f t="shared" ca="1" si="373"/>
        <v>1987.1630593238781</v>
      </c>
      <c r="CF232" s="85">
        <f t="shared" ca="1" si="374"/>
        <v>2335.4770934559192</v>
      </c>
      <c r="CG232" s="85">
        <f t="shared" ca="1" si="375"/>
        <v>1670.7143050286468</v>
      </c>
      <c r="CH232" s="85">
        <f t="shared" ca="1" si="376"/>
        <v>2002.1614534588114</v>
      </c>
      <c r="CI232" s="85">
        <f t="shared" ca="1" si="377"/>
        <v>1792.1565250839124</v>
      </c>
      <c r="CJ232" s="85">
        <f t="shared" ca="1" si="378"/>
        <v>1827.2387833090404</v>
      </c>
      <c r="CK232" s="85">
        <f t="shared" ca="1" si="379"/>
        <v>1947.6568980279203</v>
      </c>
      <c r="CL232" s="85">
        <f t="shared" ca="1" si="380"/>
        <v>1883.7778569296763</v>
      </c>
      <c r="CM232" s="85">
        <f t="shared" ca="1" si="381"/>
        <v>2457.2387992401277</v>
      </c>
      <c r="CN232" s="85">
        <f t="shared" ca="1" si="382"/>
        <v>1675.5391925434246</v>
      </c>
      <c r="CO232" s="85">
        <f t="shared" ca="1" si="383"/>
        <v>1913.6518271704558</v>
      </c>
      <c r="CP232" s="85">
        <f t="shared" ca="1" si="384"/>
        <v>2297.3337163959154</v>
      </c>
      <c r="CQ232" s="85">
        <f t="shared" ca="1" si="385"/>
        <v>2059.4844890964378</v>
      </c>
      <c r="CR232" s="85">
        <f t="shared" ca="1" si="386"/>
        <v>2122.2977216494928</v>
      </c>
      <c r="CS232" s="85">
        <f t="shared" ca="1" si="387"/>
        <v>1673.4794125640369</v>
      </c>
      <c r="CT232" s="85">
        <f t="shared" ca="1" si="388"/>
        <v>1986.7240544176252</v>
      </c>
      <c r="CU232" s="85">
        <f t="shared" ca="1" si="389"/>
        <v>2531.5869839320289</v>
      </c>
      <c r="CV232" s="85">
        <f t="shared" ca="1" si="390"/>
        <v>1843.149365528388</v>
      </c>
      <c r="CW232" s="85">
        <f t="shared" ca="1" si="391"/>
        <v>2049.5934961495705</v>
      </c>
    </row>
    <row r="233" spans="1:101" x14ac:dyDescent="0.2">
      <c r="A233" s="115">
        <v>230</v>
      </c>
      <c r="B233" s="85">
        <f t="shared" ca="1" si="302"/>
        <v>1650.618434319086</v>
      </c>
      <c r="C233" s="85">
        <f t="shared" ca="1" si="304"/>
        <v>2070.4620999218432</v>
      </c>
      <c r="D233" s="85">
        <f t="shared" ca="1" si="305"/>
        <v>2053.2300378349096</v>
      </c>
      <c r="E233" s="85">
        <f t="shared" ca="1" si="306"/>
        <v>1731.9815600268439</v>
      </c>
      <c r="F233" s="85">
        <f t="shared" ca="1" si="307"/>
        <v>2035.3406599966338</v>
      </c>
      <c r="G233" s="85">
        <f t="shared" ca="1" si="308"/>
        <v>2144.4456807659653</v>
      </c>
      <c r="H233" s="85">
        <f t="shared" ca="1" si="309"/>
        <v>2110.5644713568331</v>
      </c>
      <c r="I233" s="85">
        <f t="shared" ca="1" si="310"/>
        <v>2298.582012850592</v>
      </c>
      <c r="J233" s="85">
        <f t="shared" ca="1" si="311"/>
        <v>1917.0522479721983</v>
      </c>
      <c r="K233" s="85">
        <f t="shared" ca="1" si="312"/>
        <v>2208.9246204357059</v>
      </c>
      <c r="L233" s="85">
        <f t="shared" ca="1" si="313"/>
        <v>2402.49356058699</v>
      </c>
      <c r="M233" s="85">
        <f t="shared" ca="1" si="314"/>
        <v>1807.6155409356261</v>
      </c>
      <c r="N233" s="85">
        <f t="shared" ca="1" si="315"/>
        <v>1980.714332017161</v>
      </c>
      <c r="O233" s="85">
        <f t="shared" ca="1" si="316"/>
        <v>2149.1649771073867</v>
      </c>
      <c r="P233" s="85">
        <f t="shared" ca="1" si="317"/>
        <v>2176.8784256738763</v>
      </c>
      <c r="Q233" s="85">
        <f t="shared" ca="1" si="318"/>
        <v>2288.0597337067993</v>
      </c>
      <c r="R233" s="85">
        <f t="shared" ca="1" si="319"/>
        <v>1928.5943386697563</v>
      </c>
      <c r="S233" s="85">
        <f t="shared" ca="1" si="320"/>
        <v>2240.1579189244439</v>
      </c>
      <c r="T233" s="85">
        <f t="shared" ca="1" si="321"/>
        <v>2044.7311200881138</v>
      </c>
      <c r="U233" s="85">
        <f t="shared" ca="1" si="322"/>
        <v>1849.9383261482133</v>
      </c>
      <c r="V233" s="85">
        <f t="shared" ca="1" si="323"/>
        <v>2511.6759093292421</v>
      </c>
      <c r="W233" s="85">
        <f t="shared" ca="1" si="324"/>
        <v>1945.8495873599211</v>
      </c>
      <c r="X233" s="85">
        <f t="shared" ca="1" si="325"/>
        <v>2218.839506244522</v>
      </c>
      <c r="Y233" s="85">
        <f t="shared" ca="1" si="326"/>
        <v>2039.6101537213192</v>
      </c>
      <c r="Z233" s="85">
        <f t="shared" ca="1" si="327"/>
        <v>2159.1095263436382</v>
      </c>
      <c r="AA233" s="85">
        <f t="shared" ca="1" si="328"/>
        <v>1797.3725001552821</v>
      </c>
      <c r="AB233" s="85">
        <f t="shared" ca="1" si="329"/>
        <v>2448.768244196006</v>
      </c>
      <c r="AC233" s="85">
        <f t="shared" ca="1" si="330"/>
        <v>2226.6873379416011</v>
      </c>
      <c r="AD233" s="85">
        <f t="shared" ca="1" si="331"/>
        <v>2352.1649145447636</v>
      </c>
      <c r="AE233" s="85">
        <f t="shared" ca="1" si="332"/>
        <v>2619.1468934346481</v>
      </c>
      <c r="AF233" s="85">
        <f t="shared" ca="1" si="333"/>
        <v>1739.583588513224</v>
      </c>
      <c r="AG233" s="85">
        <f t="shared" ca="1" si="334"/>
        <v>2361.6942736105329</v>
      </c>
      <c r="AH233" s="85">
        <f t="shared" ca="1" si="335"/>
        <v>1953.9422166009713</v>
      </c>
      <c r="AI233" s="85">
        <f t="shared" ca="1" si="336"/>
        <v>2185.2672802132411</v>
      </c>
      <c r="AJ233" s="85">
        <f t="shared" ca="1" si="337"/>
        <v>2383.4242081687526</v>
      </c>
      <c r="AK233" s="85">
        <f t="shared" ca="1" si="338"/>
        <v>2024.3853431106272</v>
      </c>
      <c r="AL233" s="85">
        <f t="shared" ca="1" si="339"/>
        <v>2034.9342689278969</v>
      </c>
      <c r="AM233" s="85">
        <f t="shared" ca="1" si="340"/>
        <v>2111.8087617882111</v>
      </c>
      <c r="AN233" s="85">
        <f t="shared" ca="1" si="341"/>
        <v>2223.9533496583581</v>
      </c>
      <c r="AO233" s="85">
        <f t="shared" ca="1" si="342"/>
        <v>2757.8153551419146</v>
      </c>
      <c r="AP233" s="85">
        <f t="shared" ca="1" si="343"/>
        <v>2342.8942223370486</v>
      </c>
      <c r="AQ233" s="85">
        <f t="shared" ca="1" si="344"/>
        <v>1897.2480039002635</v>
      </c>
      <c r="AR233" s="85">
        <f t="shared" ca="1" si="345"/>
        <v>2400.3691533103256</v>
      </c>
      <c r="AS233" s="85">
        <f t="shared" ca="1" si="346"/>
        <v>1999.1925871773096</v>
      </c>
      <c r="AT233" s="85">
        <f t="shared" ca="1" si="347"/>
        <v>2080.3390804162964</v>
      </c>
      <c r="AU233" s="85">
        <f t="shared" ca="1" si="348"/>
        <v>1976.1151806844894</v>
      </c>
      <c r="AV233" s="85">
        <f t="shared" ca="1" si="349"/>
        <v>2204.439392671693</v>
      </c>
      <c r="AW233" s="85">
        <f t="shared" ca="1" si="350"/>
        <v>2112.4482479086705</v>
      </c>
      <c r="AX233" s="85">
        <f t="shared" ca="1" si="351"/>
        <v>2755.4007621282981</v>
      </c>
      <c r="AY233" s="85">
        <f t="shared" ca="1" si="352"/>
        <v>2481.2429205278645</v>
      </c>
      <c r="AZ233" s="85">
        <f t="shared" ca="1" si="353"/>
        <v>2335.2946390655752</v>
      </c>
      <c r="BA233" s="85">
        <f t="shared" ca="1" si="354"/>
        <v>2359.1193279718045</v>
      </c>
      <c r="BB233" s="85">
        <f t="shared" ca="1" si="355"/>
        <v>1935.8710640302036</v>
      </c>
      <c r="BC233" s="85">
        <f t="shared" ca="1" si="356"/>
        <v>2470.9320087738693</v>
      </c>
      <c r="BD233" s="85">
        <f t="shared" ca="1" si="357"/>
        <v>2261.5549088612265</v>
      </c>
      <c r="BE233" s="85">
        <f t="shared" ca="1" si="358"/>
        <v>1917.3168914952548</v>
      </c>
      <c r="BF233" s="85">
        <f t="shared" ca="1" si="359"/>
        <v>1820.9387662124277</v>
      </c>
      <c r="BG233" s="85">
        <f t="shared" ca="1" si="360"/>
        <v>1712.9532087037146</v>
      </c>
      <c r="BH233" s="85">
        <f t="shared" ca="1" si="361"/>
        <v>2177.1034086252316</v>
      </c>
      <c r="BI233" s="85">
        <f t="shared" ca="1" si="362"/>
        <v>1921.7708629683193</v>
      </c>
      <c r="BJ233" s="85">
        <f t="shared" ca="1" si="363"/>
        <v>2019.9874983185896</v>
      </c>
      <c r="BK233" s="85">
        <f t="shared" ca="1" si="364"/>
        <v>1957.0309825310121</v>
      </c>
      <c r="BL233" s="85">
        <f t="shared" ca="1" si="365"/>
        <v>1889.1602304016651</v>
      </c>
      <c r="BM233" s="85">
        <f t="shared" ca="1" si="366"/>
        <v>1951.1606789849261</v>
      </c>
      <c r="BN233" s="85">
        <f t="shared" ca="1" si="303"/>
        <v>2330.8826336872039</v>
      </c>
      <c r="BO233" s="85">
        <f t="shared" ca="1" si="392"/>
        <v>2437.7838519015077</v>
      </c>
      <c r="BP233" s="85">
        <f t="shared" ca="1" si="393"/>
        <v>1988.491348148043</v>
      </c>
      <c r="BQ233" s="85">
        <f t="shared" ca="1" si="394"/>
        <v>2216.0105711321271</v>
      </c>
      <c r="BR233" s="85">
        <f t="shared" ca="1" si="395"/>
        <v>1857.4843064392076</v>
      </c>
      <c r="BS233" s="85">
        <f t="shared" ca="1" si="396"/>
        <v>2158.7103004002443</v>
      </c>
      <c r="BT233" s="85">
        <f t="shared" ca="1" si="397"/>
        <v>2496.9266528478856</v>
      </c>
      <c r="BU233" s="85">
        <f t="shared" ca="1" si="398"/>
        <v>1881.0269220953235</v>
      </c>
      <c r="BV233" s="85">
        <f t="shared" ca="1" si="399"/>
        <v>2000.3989148412873</v>
      </c>
      <c r="BW233" s="85">
        <f t="shared" ca="1" si="400"/>
        <v>2280.4879290166168</v>
      </c>
      <c r="BX233" s="85">
        <f t="shared" ca="1" si="401"/>
        <v>2378.3168047634404</v>
      </c>
      <c r="BY233" s="85">
        <f t="shared" ca="1" si="367"/>
        <v>1862.4995956583286</v>
      </c>
      <c r="BZ233" s="85">
        <f t="shared" ca="1" si="368"/>
        <v>2047.6388800660329</v>
      </c>
      <c r="CA233" s="85">
        <f t="shared" ca="1" si="369"/>
        <v>2271.1905590493793</v>
      </c>
      <c r="CB233" s="85">
        <f t="shared" ca="1" si="370"/>
        <v>2007.4844294793802</v>
      </c>
      <c r="CC233" s="85">
        <f t="shared" ca="1" si="371"/>
        <v>2318.9564655237846</v>
      </c>
      <c r="CD233" s="85">
        <f t="shared" ca="1" si="372"/>
        <v>2304.6891015665419</v>
      </c>
      <c r="CE233" s="85">
        <f t="shared" ca="1" si="373"/>
        <v>2005.2145585061669</v>
      </c>
      <c r="CF233" s="85">
        <f t="shared" ca="1" si="374"/>
        <v>2341.3854690131402</v>
      </c>
      <c r="CG233" s="85">
        <f t="shared" ca="1" si="375"/>
        <v>1682.0673623507855</v>
      </c>
      <c r="CH233" s="85">
        <f t="shared" ca="1" si="376"/>
        <v>2039.4503528687953</v>
      </c>
      <c r="CI233" s="85">
        <f t="shared" ca="1" si="377"/>
        <v>1824.3463579879956</v>
      </c>
      <c r="CJ233" s="85">
        <f t="shared" ca="1" si="378"/>
        <v>1853.450411911529</v>
      </c>
      <c r="CK233" s="85">
        <f t="shared" ca="1" si="379"/>
        <v>1974.5824645757796</v>
      </c>
      <c r="CL233" s="85">
        <f t="shared" ca="1" si="380"/>
        <v>1901.1894374259618</v>
      </c>
      <c r="CM233" s="85">
        <f t="shared" ca="1" si="381"/>
        <v>2487.2051651937873</v>
      </c>
      <c r="CN233" s="85">
        <f t="shared" ca="1" si="382"/>
        <v>1710.6665139110296</v>
      </c>
      <c r="CO233" s="85">
        <f t="shared" ca="1" si="383"/>
        <v>1952.6490391118821</v>
      </c>
      <c r="CP233" s="85">
        <f t="shared" ca="1" si="384"/>
        <v>2323.5861171157467</v>
      </c>
      <c r="CQ233" s="85">
        <f t="shared" ca="1" si="385"/>
        <v>2093.6168818166016</v>
      </c>
      <c r="CR233" s="85">
        <f t="shared" ca="1" si="386"/>
        <v>2165.5456622587822</v>
      </c>
      <c r="CS233" s="85">
        <f t="shared" ca="1" si="387"/>
        <v>1680.8839187059084</v>
      </c>
      <c r="CT233" s="85">
        <f t="shared" ca="1" si="388"/>
        <v>2024.6167472885443</v>
      </c>
      <c r="CU233" s="85">
        <f t="shared" ca="1" si="389"/>
        <v>2565.2880262533158</v>
      </c>
      <c r="CV233" s="85">
        <f t="shared" ca="1" si="390"/>
        <v>1888.8896416467037</v>
      </c>
      <c r="CW233" s="85">
        <f t="shared" ca="1" si="391"/>
        <v>2074.4663285543161</v>
      </c>
    </row>
    <row r="234" spans="1:101" x14ac:dyDescent="0.2">
      <c r="A234" s="115">
        <v>231</v>
      </c>
      <c r="B234" s="85">
        <f t="shared" ca="1" si="302"/>
        <v>1672.0401402339264</v>
      </c>
      <c r="C234" s="85">
        <f t="shared" ca="1" si="304"/>
        <v>2110.5137790433741</v>
      </c>
      <c r="D234" s="85">
        <f t="shared" ca="1" si="305"/>
        <v>2084.511165893714</v>
      </c>
      <c r="E234" s="85">
        <f t="shared" ca="1" si="306"/>
        <v>1757.9793767475608</v>
      </c>
      <c r="F234" s="85">
        <f t="shared" ca="1" si="307"/>
        <v>2063.8829809148037</v>
      </c>
      <c r="G234" s="85">
        <f t="shared" ca="1" si="308"/>
        <v>2182.902599564095</v>
      </c>
      <c r="H234" s="85">
        <f t="shared" ca="1" si="309"/>
        <v>2135.7159326042015</v>
      </c>
      <c r="I234" s="85">
        <f t="shared" ca="1" si="310"/>
        <v>2333.2421634600614</v>
      </c>
      <c r="J234" s="85">
        <f t="shared" ca="1" si="311"/>
        <v>1939.9853290788319</v>
      </c>
      <c r="K234" s="85">
        <f t="shared" ca="1" si="312"/>
        <v>2238.7917076119284</v>
      </c>
      <c r="L234" s="85">
        <f t="shared" ca="1" si="313"/>
        <v>2418.6012892067733</v>
      </c>
      <c r="M234" s="85">
        <f t="shared" ca="1" si="314"/>
        <v>1840.7179455978021</v>
      </c>
      <c r="N234" s="85">
        <f t="shared" ca="1" si="315"/>
        <v>2001.1755727738455</v>
      </c>
      <c r="O234" s="85">
        <f t="shared" ca="1" si="316"/>
        <v>2176.5460948479454</v>
      </c>
      <c r="P234" s="85">
        <f t="shared" ca="1" si="317"/>
        <v>2212.6757543371864</v>
      </c>
      <c r="Q234" s="85">
        <f t="shared" ca="1" si="318"/>
        <v>2325.9818511656454</v>
      </c>
      <c r="R234" s="85">
        <f t="shared" ca="1" si="319"/>
        <v>1957.13145608579</v>
      </c>
      <c r="S234" s="85">
        <f t="shared" ca="1" si="320"/>
        <v>2277.2007929408919</v>
      </c>
      <c r="T234" s="85">
        <f t="shared" ca="1" si="321"/>
        <v>2048.8404239193242</v>
      </c>
      <c r="U234" s="85">
        <f t="shared" ca="1" si="322"/>
        <v>1899.7958035675313</v>
      </c>
      <c r="V234" s="85">
        <f t="shared" ca="1" si="323"/>
        <v>2510.7259188858529</v>
      </c>
      <c r="W234" s="85">
        <f t="shared" ca="1" si="324"/>
        <v>1973.7664022968977</v>
      </c>
      <c r="X234" s="85">
        <f t="shared" ca="1" si="325"/>
        <v>2242.921068659211</v>
      </c>
      <c r="Y234" s="85">
        <f t="shared" ca="1" si="326"/>
        <v>2055.0751009768264</v>
      </c>
      <c r="Z234" s="85">
        <f t="shared" ca="1" si="327"/>
        <v>2204.2853480432886</v>
      </c>
      <c r="AA234" s="85">
        <f t="shared" ca="1" si="328"/>
        <v>1818.232728688934</v>
      </c>
      <c r="AB234" s="85">
        <f t="shared" ca="1" si="329"/>
        <v>2464.8054600756664</v>
      </c>
      <c r="AC234" s="85">
        <f t="shared" ca="1" si="330"/>
        <v>2280.8439930487052</v>
      </c>
      <c r="AD234" s="85">
        <f t="shared" ca="1" si="331"/>
        <v>2378.6394543995234</v>
      </c>
      <c r="AE234" s="85">
        <f t="shared" ca="1" si="332"/>
        <v>2690.3860072687494</v>
      </c>
      <c r="AF234" s="85">
        <f t="shared" ca="1" si="333"/>
        <v>1763.7573913815575</v>
      </c>
      <c r="AG234" s="85">
        <f t="shared" ca="1" si="334"/>
        <v>2400.3634017658637</v>
      </c>
      <c r="AH234" s="85">
        <f t="shared" ca="1" si="335"/>
        <v>1981.9631177157601</v>
      </c>
      <c r="AI234" s="85">
        <f t="shared" ca="1" si="336"/>
        <v>2220.4502875307571</v>
      </c>
      <c r="AJ234" s="85">
        <f t="shared" ca="1" si="337"/>
        <v>2419.6210819395255</v>
      </c>
      <c r="AK234" s="85">
        <f t="shared" ca="1" si="338"/>
        <v>2083.4383347274529</v>
      </c>
      <c r="AL234" s="85">
        <f t="shared" ca="1" si="339"/>
        <v>2056.2105005316816</v>
      </c>
      <c r="AM234" s="85">
        <f t="shared" ca="1" si="340"/>
        <v>2166.3672216253372</v>
      </c>
      <c r="AN234" s="85">
        <f t="shared" ca="1" si="341"/>
        <v>2236.7698426202232</v>
      </c>
      <c r="AO234" s="85">
        <f t="shared" ca="1" si="342"/>
        <v>2753.4067060856883</v>
      </c>
      <c r="AP234" s="85">
        <f t="shared" ca="1" si="343"/>
        <v>2341.8725757802026</v>
      </c>
      <c r="AQ234" s="85">
        <f t="shared" ca="1" si="344"/>
        <v>1927.5638165073808</v>
      </c>
      <c r="AR234" s="85">
        <f t="shared" ca="1" si="345"/>
        <v>2420.0859223758171</v>
      </c>
      <c r="AS234" s="85">
        <f t="shared" ca="1" si="346"/>
        <v>2015.4739747530714</v>
      </c>
      <c r="AT234" s="85">
        <f t="shared" ca="1" si="347"/>
        <v>2120.8782811914825</v>
      </c>
      <c r="AU234" s="85">
        <f t="shared" ca="1" si="348"/>
        <v>2014.9257945628876</v>
      </c>
      <c r="AV234" s="85">
        <f t="shared" ca="1" si="349"/>
        <v>2242.4969506408174</v>
      </c>
      <c r="AW234" s="85">
        <f t="shared" ca="1" si="350"/>
        <v>2130.6136678339562</v>
      </c>
      <c r="AX234" s="85">
        <f t="shared" ca="1" si="351"/>
        <v>2799.386869937251</v>
      </c>
      <c r="AY234" s="85">
        <f t="shared" ca="1" si="352"/>
        <v>2503.6205715859996</v>
      </c>
      <c r="AZ234" s="85">
        <f t="shared" ca="1" si="353"/>
        <v>2381.5978469746615</v>
      </c>
      <c r="BA234" s="85">
        <f t="shared" ca="1" si="354"/>
        <v>2411.90477050441</v>
      </c>
      <c r="BB234" s="85">
        <f t="shared" ca="1" si="355"/>
        <v>1951.5060552565812</v>
      </c>
      <c r="BC234" s="85">
        <f t="shared" ca="1" si="356"/>
        <v>2531.4508029501958</v>
      </c>
      <c r="BD234" s="85">
        <f t="shared" ca="1" si="357"/>
        <v>2282.6843126419203</v>
      </c>
      <c r="BE234" s="85">
        <f t="shared" ca="1" si="358"/>
        <v>1951.0056931923759</v>
      </c>
      <c r="BF234" s="85">
        <f t="shared" ca="1" si="359"/>
        <v>1855.1201699754356</v>
      </c>
      <c r="BG234" s="85">
        <f t="shared" ca="1" si="360"/>
        <v>1716.6295857615953</v>
      </c>
      <c r="BH234" s="85">
        <f t="shared" ca="1" si="361"/>
        <v>2190.0324795057068</v>
      </c>
      <c r="BI234" s="85">
        <f t="shared" ca="1" si="362"/>
        <v>1942.2937499192394</v>
      </c>
      <c r="BJ234" s="85">
        <f t="shared" ca="1" si="363"/>
        <v>2054.7848238003303</v>
      </c>
      <c r="BK234" s="85">
        <f t="shared" ca="1" si="364"/>
        <v>2022.0968669340855</v>
      </c>
      <c r="BL234" s="85">
        <f t="shared" ca="1" si="365"/>
        <v>1913.5517010046351</v>
      </c>
      <c r="BM234" s="85">
        <f t="shared" ca="1" si="366"/>
        <v>2007.3879094583692</v>
      </c>
      <c r="BN234" s="85">
        <f t="shared" ca="1" si="303"/>
        <v>2362.0392420408848</v>
      </c>
      <c r="BO234" s="85">
        <f t="shared" ca="1" si="392"/>
        <v>2479.291960589379</v>
      </c>
      <c r="BP234" s="85">
        <f t="shared" ca="1" si="393"/>
        <v>2035.9435704763036</v>
      </c>
      <c r="BQ234" s="85">
        <f t="shared" ca="1" si="394"/>
        <v>2243.6983839385721</v>
      </c>
      <c r="BR234" s="85">
        <f t="shared" ca="1" si="395"/>
        <v>1873.8844007911264</v>
      </c>
      <c r="BS234" s="85">
        <f t="shared" ca="1" si="396"/>
        <v>2231.2556615726103</v>
      </c>
      <c r="BT234" s="85">
        <f t="shared" ca="1" si="397"/>
        <v>2544.9697453031963</v>
      </c>
      <c r="BU234" s="85">
        <f t="shared" ca="1" si="398"/>
        <v>1905.1185544691734</v>
      </c>
      <c r="BV234" s="85">
        <f t="shared" ca="1" si="399"/>
        <v>2038.1100474504574</v>
      </c>
      <c r="BW234" s="85">
        <f t="shared" ca="1" si="400"/>
        <v>2292.7103786678645</v>
      </c>
      <c r="BX234" s="85">
        <f t="shared" ca="1" si="401"/>
        <v>2405.2114923155041</v>
      </c>
      <c r="BY234" s="85">
        <f t="shared" ca="1" si="367"/>
        <v>1869.3004972679212</v>
      </c>
      <c r="BZ234" s="85">
        <f t="shared" ca="1" si="368"/>
        <v>2117.7357721868912</v>
      </c>
      <c r="CA234" s="85">
        <f t="shared" ca="1" si="369"/>
        <v>2269.3656143351573</v>
      </c>
      <c r="CB234" s="85">
        <f t="shared" ca="1" si="370"/>
        <v>2030.3649036524498</v>
      </c>
      <c r="CC234" s="85">
        <f t="shared" ca="1" si="371"/>
        <v>2337.3614760064088</v>
      </c>
      <c r="CD234" s="85">
        <f t="shared" ca="1" si="372"/>
        <v>2350.9411579808393</v>
      </c>
      <c r="CE234" s="85">
        <f t="shared" ca="1" si="373"/>
        <v>2030.380255968452</v>
      </c>
      <c r="CF234" s="85">
        <f t="shared" ca="1" si="374"/>
        <v>2391.8139020395915</v>
      </c>
      <c r="CG234" s="85">
        <f t="shared" ca="1" si="375"/>
        <v>1705.3240526005845</v>
      </c>
      <c r="CH234" s="85">
        <f t="shared" ca="1" si="376"/>
        <v>2093.9498413273727</v>
      </c>
      <c r="CI234" s="85">
        <f t="shared" ca="1" si="377"/>
        <v>1865.9771186052049</v>
      </c>
      <c r="CJ234" s="85">
        <f t="shared" ca="1" si="378"/>
        <v>1865.2179470521135</v>
      </c>
      <c r="CK234" s="85">
        <f t="shared" ca="1" si="379"/>
        <v>2017.7008712271413</v>
      </c>
      <c r="CL234" s="85">
        <f t="shared" ca="1" si="380"/>
        <v>1940.5767226028461</v>
      </c>
      <c r="CM234" s="85">
        <f t="shared" ca="1" si="381"/>
        <v>2511.2853536884122</v>
      </c>
      <c r="CN234" s="85">
        <f t="shared" ca="1" si="382"/>
        <v>1738.0337218174363</v>
      </c>
      <c r="CO234" s="85">
        <f t="shared" ca="1" si="383"/>
        <v>1983.0147637487544</v>
      </c>
      <c r="CP234" s="85">
        <f t="shared" ca="1" si="384"/>
        <v>2335.8242365959691</v>
      </c>
      <c r="CQ234" s="85">
        <f t="shared" ca="1" si="385"/>
        <v>2127.4187056259316</v>
      </c>
      <c r="CR234" s="85">
        <f t="shared" ca="1" si="386"/>
        <v>2165.781885045717</v>
      </c>
      <c r="CS234" s="85">
        <f t="shared" ca="1" si="387"/>
        <v>1691.8600808854844</v>
      </c>
      <c r="CT234" s="85">
        <f t="shared" ca="1" si="388"/>
        <v>2050.1140619674147</v>
      </c>
      <c r="CU234" s="85">
        <f t="shared" ca="1" si="389"/>
        <v>2591.6773559146495</v>
      </c>
      <c r="CV234" s="85">
        <f t="shared" ca="1" si="390"/>
        <v>1905.7529173588077</v>
      </c>
      <c r="CW234" s="85">
        <f t="shared" ca="1" si="391"/>
        <v>2101.6779099741825</v>
      </c>
    </row>
    <row r="235" spans="1:101" x14ac:dyDescent="0.2">
      <c r="A235" s="115">
        <v>232</v>
      </c>
      <c r="B235" s="85">
        <f t="shared" ca="1" si="302"/>
        <v>1699.6089059106762</v>
      </c>
      <c r="C235" s="85">
        <f t="shared" ca="1" si="304"/>
        <v>2125.491436918227</v>
      </c>
      <c r="D235" s="85">
        <f t="shared" ca="1" si="305"/>
        <v>2104.9058970892124</v>
      </c>
      <c r="E235" s="85">
        <f t="shared" ca="1" si="306"/>
        <v>1795.7320692616709</v>
      </c>
      <c r="F235" s="85">
        <f t="shared" ca="1" si="307"/>
        <v>2097.0351400255813</v>
      </c>
      <c r="G235" s="85">
        <f t="shared" ca="1" si="308"/>
        <v>2232.272915230426</v>
      </c>
      <c r="H235" s="85">
        <f t="shared" ca="1" si="309"/>
        <v>2183.5748981726433</v>
      </c>
      <c r="I235" s="85">
        <f t="shared" ca="1" si="310"/>
        <v>2365.1008923061681</v>
      </c>
      <c r="J235" s="85">
        <f t="shared" ca="1" si="311"/>
        <v>1984.0385570698461</v>
      </c>
      <c r="K235" s="85">
        <f t="shared" ca="1" si="312"/>
        <v>2274.1151721627807</v>
      </c>
      <c r="L235" s="85">
        <f t="shared" ca="1" si="313"/>
        <v>2442.9027197348869</v>
      </c>
      <c r="M235" s="85">
        <f t="shared" ca="1" si="314"/>
        <v>1839.0291247036216</v>
      </c>
      <c r="N235" s="85">
        <f t="shared" ca="1" si="315"/>
        <v>2048.3065492397268</v>
      </c>
      <c r="O235" s="85">
        <f t="shared" ca="1" si="316"/>
        <v>2218.8446345602774</v>
      </c>
      <c r="P235" s="85">
        <f t="shared" ca="1" si="317"/>
        <v>2225.349578959353</v>
      </c>
      <c r="Q235" s="85">
        <f t="shared" ca="1" si="318"/>
        <v>2361.8486384747284</v>
      </c>
      <c r="R235" s="85">
        <f t="shared" ca="1" si="319"/>
        <v>2004.3358781536822</v>
      </c>
      <c r="S235" s="85">
        <f t="shared" ca="1" si="320"/>
        <v>2312.8693316891327</v>
      </c>
      <c r="T235" s="85">
        <f t="shared" ca="1" si="321"/>
        <v>2091.3098297070405</v>
      </c>
      <c r="U235" s="85">
        <f t="shared" ca="1" si="322"/>
        <v>1903.9873830316608</v>
      </c>
      <c r="V235" s="85">
        <f t="shared" ca="1" si="323"/>
        <v>2553.8097808842708</v>
      </c>
      <c r="W235" s="85">
        <f t="shared" ca="1" si="324"/>
        <v>2001.1344160208935</v>
      </c>
      <c r="X235" s="85">
        <f t="shared" ca="1" si="325"/>
        <v>2303.5167868906665</v>
      </c>
      <c r="Y235" s="85">
        <f t="shared" ca="1" si="326"/>
        <v>2079.4328766385725</v>
      </c>
      <c r="Z235" s="85">
        <f t="shared" ca="1" si="327"/>
        <v>2227.6779267872403</v>
      </c>
      <c r="AA235" s="85">
        <f t="shared" ca="1" si="328"/>
        <v>1820.207894203334</v>
      </c>
      <c r="AB235" s="85">
        <f t="shared" ca="1" si="329"/>
        <v>2494.7368236493653</v>
      </c>
      <c r="AC235" s="85">
        <f t="shared" ca="1" si="330"/>
        <v>2341.7783038489215</v>
      </c>
      <c r="AD235" s="85">
        <f t="shared" ca="1" si="331"/>
        <v>2378.973489162905</v>
      </c>
      <c r="AE235" s="85">
        <f t="shared" ca="1" si="332"/>
        <v>2714.8516691407431</v>
      </c>
      <c r="AF235" s="85">
        <f t="shared" ca="1" si="333"/>
        <v>1791.4950971878727</v>
      </c>
      <c r="AG235" s="85">
        <f t="shared" ca="1" si="334"/>
        <v>2427.3468793571656</v>
      </c>
      <c r="AH235" s="85">
        <f t="shared" ca="1" si="335"/>
        <v>2023.3410081986285</v>
      </c>
      <c r="AI235" s="85">
        <f t="shared" ca="1" si="336"/>
        <v>2244.918228459444</v>
      </c>
      <c r="AJ235" s="85">
        <f t="shared" ca="1" si="337"/>
        <v>2411.3730653064322</v>
      </c>
      <c r="AK235" s="85">
        <f t="shared" ca="1" si="338"/>
        <v>2115.5400799744157</v>
      </c>
      <c r="AL235" s="85">
        <f t="shared" ca="1" si="339"/>
        <v>2078.1028172105316</v>
      </c>
      <c r="AM235" s="85">
        <f t="shared" ca="1" si="340"/>
        <v>2194.9715182051245</v>
      </c>
      <c r="AN235" s="85">
        <f t="shared" ca="1" si="341"/>
        <v>2248.7175408870885</v>
      </c>
      <c r="AO235" s="85">
        <f t="shared" ca="1" si="342"/>
        <v>2794.0417178105013</v>
      </c>
      <c r="AP235" s="85">
        <f t="shared" ca="1" si="343"/>
        <v>2371.0125154087364</v>
      </c>
      <c r="AQ235" s="85">
        <f t="shared" ca="1" si="344"/>
        <v>1950.5490085799549</v>
      </c>
      <c r="AR235" s="85">
        <f t="shared" ca="1" si="345"/>
        <v>2452.8146958728912</v>
      </c>
      <c r="AS235" s="85">
        <f t="shared" ca="1" si="346"/>
        <v>2043.3215926348932</v>
      </c>
      <c r="AT235" s="85">
        <f t="shared" ca="1" si="347"/>
        <v>2142.2428507871473</v>
      </c>
      <c r="AU235" s="85">
        <f t="shared" ca="1" si="348"/>
        <v>2071.1950819525978</v>
      </c>
      <c r="AV235" s="85">
        <f t="shared" ca="1" si="349"/>
        <v>2278.5137076734586</v>
      </c>
      <c r="AW235" s="85">
        <f t="shared" ca="1" si="350"/>
        <v>2166.7950507171554</v>
      </c>
      <c r="AX235" s="85">
        <f t="shared" ca="1" si="351"/>
        <v>2846.0762518736469</v>
      </c>
      <c r="AY235" s="85">
        <f t="shared" ca="1" si="352"/>
        <v>2574.5588094396649</v>
      </c>
      <c r="AZ235" s="85">
        <f t="shared" ca="1" si="353"/>
        <v>2406.9686230279563</v>
      </c>
      <c r="BA235" s="85">
        <f t="shared" ca="1" si="354"/>
        <v>2470.6953588191927</v>
      </c>
      <c r="BB235" s="85">
        <f t="shared" ca="1" si="355"/>
        <v>1990.6088226330241</v>
      </c>
      <c r="BC235" s="85">
        <f t="shared" ca="1" si="356"/>
        <v>2579.0235221098146</v>
      </c>
      <c r="BD235" s="85">
        <f t="shared" ca="1" si="357"/>
        <v>2277.8971855856871</v>
      </c>
      <c r="BE235" s="85">
        <f t="shared" ca="1" si="358"/>
        <v>1977.0932113894528</v>
      </c>
      <c r="BF235" s="85">
        <f t="shared" ca="1" si="359"/>
        <v>1870.0292096602714</v>
      </c>
      <c r="BG235" s="85">
        <f t="shared" ca="1" si="360"/>
        <v>1753.5361797752246</v>
      </c>
      <c r="BH235" s="85">
        <f t="shared" ca="1" si="361"/>
        <v>2230.9917991101624</v>
      </c>
      <c r="BI235" s="85">
        <f t="shared" ca="1" si="362"/>
        <v>1984.5817530322795</v>
      </c>
      <c r="BJ235" s="85">
        <f t="shared" ca="1" si="363"/>
        <v>2086.4095306006411</v>
      </c>
      <c r="BK235" s="85">
        <f t="shared" ca="1" si="364"/>
        <v>2041.176726403758</v>
      </c>
      <c r="BL235" s="85">
        <f t="shared" ca="1" si="365"/>
        <v>1937.1356374732993</v>
      </c>
      <c r="BM235" s="85">
        <f t="shared" ca="1" si="366"/>
        <v>2024.5384733627595</v>
      </c>
      <c r="BN235" s="85">
        <f t="shared" ca="1" si="303"/>
        <v>2357.931591704822</v>
      </c>
      <c r="BO235" s="85">
        <f t="shared" ca="1" si="392"/>
        <v>2500.2448370738439</v>
      </c>
      <c r="BP235" s="85">
        <f t="shared" ca="1" si="393"/>
        <v>2056.9844795247941</v>
      </c>
      <c r="BQ235" s="85">
        <f t="shared" ca="1" si="394"/>
        <v>2274.5511171703406</v>
      </c>
      <c r="BR235" s="85">
        <f t="shared" ca="1" si="395"/>
        <v>1904.0399004885007</v>
      </c>
      <c r="BS235" s="85">
        <f t="shared" ca="1" si="396"/>
        <v>2265.4954831145728</v>
      </c>
      <c r="BT235" s="85">
        <f t="shared" ca="1" si="397"/>
        <v>2573.8736137291626</v>
      </c>
      <c r="BU235" s="85">
        <f t="shared" ca="1" si="398"/>
        <v>1920.0568089237795</v>
      </c>
      <c r="BV235" s="85">
        <f t="shared" ca="1" si="399"/>
        <v>2071.5958785517228</v>
      </c>
      <c r="BW235" s="85">
        <f t="shared" ca="1" si="400"/>
        <v>2334.6233166031479</v>
      </c>
      <c r="BX235" s="85">
        <f t="shared" ca="1" si="401"/>
        <v>2443.0018998171763</v>
      </c>
      <c r="BY235" s="85">
        <f t="shared" ca="1" si="367"/>
        <v>1909.5611651706392</v>
      </c>
      <c r="BZ235" s="85">
        <f t="shared" ca="1" si="368"/>
        <v>2113.0899771008262</v>
      </c>
      <c r="CA235" s="85">
        <f t="shared" ca="1" si="369"/>
        <v>2297.3526382608129</v>
      </c>
      <c r="CB235" s="85">
        <f t="shared" ca="1" si="370"/>
        <v>2012.0402529956809</v>
      </c>
      <c r="CC235" s="85">
        <f t="shared" ca="1" si="371"/>
        <v>2369.8221550857334</v>
      </c>
      <c r="CD235" s="85">
        <f t="shared" ca="1" si="372"/>
        <v>2373.6743119644916</v>
      </c>
      <c r="CE235" s="85">
        <f t="shared" ca="1" si="373"/>
        <v>2084.0556922496398</v>
      </c>
      <c r="CF235" s="85">
        <f t="shared" ca="1" si="374"/>
        <v>2406.9559482028612</v>
      </c>
      <c r="CG235" s="85">
        <f t="shared" ca="1" si="375"/>
        <v>1707.2906523596519</v>
      </c>
      <c r="CH235" s="85">
        <f t="shared" ca="1" si="376"/>
        <v>2122.5067713461467</v>
      </c>
      <c r="CI235" s="85">
        <f t="shared" ca="1" si="377"/>
        <v>1880.323253387731</v>
      </c>
      <c r="CJ235" s="85">
        <f t="shared" ca="1" si="378"/>
        <v>1886.8145174484166</v>
      </c>
      <c r="CK235" s="85">
        <f t="shared" ca="1" si="379"/>
        <v>2032.0251716086448</v>
      </c>
      <c r="CL235" s="85">
        <f t="shared" ca="1" si="380"/>
        <v>1967.6922031794156</v>
      </c>
      <c r="CM235" s="85">
        <f t="shared" ca="1" si="381"/>
        <v>2533.4709892111969</v>
      </c>
      <c r="CN235" s="85">
        <f t="shared" ca="1" si="382"/>
        <v>1772.0249230318573</v>
      </c>
      <c r="CO235" s="85">
        <f t="shared" ca="1" si="383"/>
        <v>2005.7614532849975</v>
      </c>
      <c r="CP235" s="85">
        <f t="shared" ca="1" si="384"/>
        <v>2372.1832763487855</v>
      </c>
      <c r="CQ235" s="85">
        <f t="shared" ca="1" si="385"/>
        <v>2174.6455782746125</v>
      </c>
      <c r="CR235" s="85">
        <f t="shared" ca="1" si="386"/>
        <v>2194.1687137564663</v>
      </c>
      <c r="CS235" s="85">
        <f t="shared" ca="1" si="387"/>
        <v>1722.1390753028938</v>
      </c>
      <c r="CT235" s="85">
        <f t="shared" ca="1" si="388"/>
        <v>2085.7449299640693</v>
      </c>
      <c r="CU235" s="85">
        <f t="shared" ca="1" si="389"/>
        <v>2606.2900117325544</v>
      </c>
      <c r="CV235" s="85">
        <f t="shared" ca="1" si="390"/>
        <v>1938.5875355922237</v>
      </c>
      <c r="CW235" s="85">
        <f t="shared" ca="1" si="391"/>
        <v>2149.5844986503848</v>
      </c>
    </row>
    <row r="236" spans="1:101" x14ac:dyDescent="0.2">
      <c r="A236" s="115">
        <v>233</v>
      </c>
      <c r="B236" s="85">
        <f t="shared" ca="1" si="302"/>
        <v>1745.7237096815636</v>
      </c>
      <c r="C236" s="85">
        <f t="shared" ca="1" si="304"/>
        <v>2131.6072145803851</v>
      </c>
      <c r="D236" s="85">
        <f t="shared" ca="1" si="305"/>
        <v>2159.5874959512621</v>
      </c>
      <c r="E236" s="85">
        <f t="shared" ca="1" si="306"/>
        <v>1817.0017201259466</v>
      </c>
      <c r="F236" s="85">
        <f t="shared" ca="1" si="307"/>
        <v>2105.8348102418599</v>
      </c>
      <c r="G236" s="85">
        <f t="shared" ca="1" si="308"/>
        <v>2230.682810685189</v>
      </c>
      <c r="H236" s="85">
        <f t="shared" ca="1" si="309"/>
        <v>2200.9275616238606</v>
      </c>
      <c r="I236" s="85">
        <f t="shared" ca="1" si="310"/>
        <v>2385.604694258268</v>
      </c>
      <c r="J236" s="85">
        <f t="shared" ca="1" si="311"/>
        <v>2028.7682422139346</v>
      </c>
      <c r="K236" s="85">
        <f t="shared" ca="1" si="312"/>
        <v>2297.2857719893746</v>
      </c>
      <c r="L236" s="85">
        <f t="shared" ca="1" si="313"/>
        <v>2449.8139833482651</v>
      </c>
      <c r="M236" s="85">
        <f t="shared" ca="1" si="314"/>
        <v>1865.1644342367088</v>
      </c>
      <c r="N236" s="85">
        <f t="shared" ca="1" si="315"/>
        <v>2076.9894655018988</v>
      </c>
      <c r="O236" s="85">
        <f t="shared" ca="1" si="316"/>
        <v>2248.2786649354343</v>
      </c>
      <c r="P236" s="85">
        <f t="shared" ca="1" si="317"/>
        <v>2264.8783661054053</v>
      </c>
      <c r="Q236" s="85">
        <f t="shared" ca="1" si="318"/>
        <v>2404.3601300883302</v>
      </c>
      <c r="R236" s="85">
        <f t="shared" ca="1" si="319"/>
        <v>2023.224453022601</v>
      </c>
      <c r="S236" s="85">
        <f t="shared" ca="1" si="320"/>
        <v>2342.1404851250368</v>
      </c>
      <c r="T236" s="85">
        <f t="shared" ca="1" si="321"/>
        <v>2137.916514441154</v>
      </c>
      <c r="U236" s="85">
        <f t="shared" ca="1" si="322"/>
        <v>1910.2699505394294</v>
      </c>
      <c r="V236" s="85">
        <f t="shared" ca="1" si="323"/>
        <v>2562.9919074258241</v>
      </c>
      <c r="W236" s="85">
        <f t="shared" ca="1" si="324"/>
        <v>2032.1410354208858</v>
      </c>
      <c r="X236" s="85">
        <f t="shared" ca="1" si="325"/>
        <v>2336.0266747993401</v>
      </c>
      <c r="Y236" s="85">
        <f t="shared" ca="1" si="326"/>
        <v>2100.1373044675884</v>
      </c>
      <c r="Z236" s="85">
        <f t="shared" ca="1" si="327"/>
        <v>2258.0909052714651</v>
      </c>
      <c r="AA236" s="85">
        <f t="shared" ca="1" si="328"/>
        <v>1855.1366924352046</v>
      </c>
      <c r="AB236" s="85">
        <f t="shared" ca="1" si="329"/>
        <v>2532.8192093000371</v>
      </c>
      <c r="AC236" s="85">
        <f t="shared" ca="1" si="330"/>
        <v>2343.7309397455665</v>
      </c>
      <c r="AD236" s="85">
        <f t="shared" ca="1" si="331"/>
        <v>2415.4519049536943</v>
      </c>
      <c r="AE236" s="85">
        <f t="shared" ca="1" si="332"/>
        <v>2755.0429146040815</v>
      </c>
      <c r="AF236" s="85">
        <f t="shared" ca="1" si="333"/>
        <v>1821.0460873237503</v>
      </c>
      <c r="AG236" s="85">
        <f t="shared" ca="1" si="334"/>
        <v>2450.5352473241082</v>
      </c>
      <c r="AH236" s="85">
        <f t="shared" ca="1" si="335"/>
        <v>2051.4138007326369</v>
      </c>
      <c r="AI236" s="85">
        <f t="shared" ca="1" si="336"/>
        <v>2285.6160020240045</v>
      </c>
      <c r="AJ236" s="85">
        <f t="shared" ca="1" si="337"/>
        <v>2456.5689597198257</v>
      </c>
      <c r="AK236" s="85">
        <f t="shared" ca="1" si="338"/>
        <v>2152.0447983772447</v>
      </c>
      <c r="AL236" s="85">
        <f t="shared" ca="1" si="339"/>
        <v>2071.9807984726963</v>
      </c>
      <c r="AM236" s="85">
        <f t="shared" ca="1" si="340"/>
        <v>2192.6828099809745</v>
      </c>
      <c r="AN236" s="85">
        <f t="shared" ca="1" si="341"/>
        <v>2269.1084675541906</v>
      </c>
      <c r="AO236" s="85">
        <f t="shared" ca="1" si="342"/>
        <v>2837.9629032589528</v>
      </c>
      <c r="AP236" s="85">
        <f t="shared" ca="1" si="343"/>
        <v>2391.023765937709</v>
      </c>
      <c r="AQ236" s="85">
        <f t="shared" ca="1" si="344"/>
        <v>1965.5517963972736</v>
      </c>
      <c r="AR236" s="85">
        <f t="shared" ca="1" si="345"/>
        <v>2494.6020599039316</v>
      </c>
      <c r="AS236" s="85">
        <f t="shared" ca="1" si="346"/>
        <v>2103.6944758417949</v>
      </c>
      <c r="AT236" s="85">
        <f t="shared" ca="1" si="347"/>
        <v>2196.2554359189339</v>
      </c>
      <c r="AU236" s="85">
        <f t="shared" ca="1" si="348"/>
        <v>2112.0720523224527</v>
      </c>
      <c r="AV236" s="85">
        <f t="shared" ca="1" si="349"/>
        <v>2332.6303349484078</v>
      </c>
      <c r="AW236" s="85">
        <f t="shared" ca="1" si="350"/>
        <v>2176.8244805745821</v>
      </c>
      <c r="AX236" s="85">
        <f t="shared" ca="1" si="351"/>
        <v>2897.7831894908863</v>
      </c>
      <c r="AY236" s="85">
        <f t="shared" ca="1" si="352"/>
        <v>2637.7425928163607</v>
      </c>
      <c r="AZ236" s="85">
        <f t="shared" ca="1" si="353"/>
        <v>2426.2715130483721</v>
      </c>
      <c r="BA236" s="85">
        <f t="shared" ca="1" si="354"/>
        <v>2484.0479320040031</v>
      </c>
      <c r="BB236" s="85">
        <f t="shared" ca="1" si="355"/>
        <v>2015.6838193323345</v>
      </c>
      <c r="BC236" s="85">
        <f t="shared" ca="1" si="356"/>
        <v>2621.9080240344015</v>
      </c>
      <c r="BD236" s="85">
        <f t="shared" ca="1" si="357"/>
        <v>2288.1113736960715</v>
      </c>
      <c r="BE236" s="85">
        <f t="shared" ca="1" si="358"/>
        <v>2010.1494551561907</v>
      </c>
      <c r="BF236" s="85">
        <f t="shared" ca="1" si="359"/>
        <v>1903.8351555623317</v>
      </c>
      <c r="BG236" s="85">
        <f t="shared" ca="1" si="360"/>
        <v>1778.9858635975256</v>
      </c>
      <c r="BH236" s="85">
        <f t="shared" ca="1" si="361"/>
        <v>2241.605677352984</v>
      </c>
      <c r="BI236" s="85">
        <f t="shared" ca="1" si="362"/>
        <v>2026.4296072570323</v>
      </c>
      <c r="BJ236" s="85">
        <f t="shared" ca="1" si="363"/>
        <v>2118.6440618473339</v>
      </c>
      <c r="BK236" s="85">
        <f t="shared" ca="1" si="364"/>
        <v>2064.1608153851043</v>
      </c>
      <c r="BL236" s="85">
        <f t="shared" ca="1" si="365"/>
        <v>1954.9612590046536</v>
      </c>
      <c r="BM236" s="85">
        <f t="shared" ca="1" si="366"/>
        <v>2079.9192105964767</v>
      </c>
      <c r="BN236" s="85">
        <f t="shared" ca="1" si="303"/>
        <v>2387.1839936437777</v>
      </c>
      <c r="BO236" s="85">
        <f t="shared" ca="1" si="392"/>
        <v>2488.3798440233713</v>
      </c>
      <c r="BP236" s="85">
        <f t="shared" ca="1" si="393"/>
        <v>2075.8689732865009</v>
      </c>
      <c r="BQ236" s="85">
        <f t="shared" ca="1" si="394"/>
        <v>2313.6312026319852</v>
      </c>
      <c r="BR236" s="85">
        <f t="shared" ca="1" si="395"/>
        <v>1947.2534188781485</v>
      </c>
      <c r="BS236" s="85">
        <f t="shared" ca="1" si="396"/>
        <v>2283.0599450894488</v>
      </c>
      <c r="BT236" s="85">
        <f t="shared" ca="1" si="397"/>
        <v>2607.7804833241789</v>
      </c>
      <c r="BU236" s="85">
        <f t="shared" ca="1" si="398"/>
        <v>1930.2119517362009</v>
      </c>
      <c r="BV236" s="85">
        <f t="shared" ca="1" si="399"/>
        <v>2076.1933263827054</v>
      </c>
      <c r="BW236" s="85">
        <f t="shared" ca="1" si="400"/>
        <v>2368.5231613397527</v>
      </c>
      <c r="BX236" s="85">
        <f t="shared" ca="1" si="401"/>
        <v>2481.0280307173512</v>
      </c>
      <c r="BY236" s="85">
        <f t="shared" ca="1" si="367"/>
        <v>1940.0396383610457</v>
      </c>
      <c r="BZ236" s="85">
        <f t="shared" ca="1" si="368"/>
        <v>2148.4985731820911</v>
      </c>
      <c r="CA236" s="85">
        <f t="shared" ca="1" si="369"/>
        <v>2325.54660671796</v>
      </c>
      <c r="CB236" s="85">
        <f t="shared" ca="1" si="370"/>
        <v>2064.5685380334062</v>
      </c>
      <c r="CC236" s="85">
        <f t="shared" ca="1" si="371"/>
        <v>2407.1882373165708</v>
      </c>
      <c r="CD236" s="85">
        <f t="shared" ca="1" si="372"/>
        <v>2397.8553525853326</v>
      </c>
      <c r="CE236" s="85">
        <f t="shared" ca="1" si="373"/>
        <v>2096.6120575516888</v>
      </c>
      <c r="CF236" s="85">
        <f t="shared" ca="1" si="374"/>
        <v>2465.4105980319837</v>
      </c>
      <c r="CG236" s="85">
        <f t="shared" ca="1" si="375"/>
        <v>1750.9235107859695</v>
      </c>
      <c r="CH236" s="85">
        <f t="shared" ca="1" si="376"/>
        <v>2178.9551078610843</v>
      </c>
      <c r="CI236" s="85">
        <f t="shared" ca="1" si="377"/>
        <v>1894.5570253375777</v>
      </c>
      <c r="CJ236" s="85">
        <f t="shared" ca="1" si="378"/>
        <v>1905.6783953116092</v>
      </c>
      <c r="CK236" s="85">
        <f t="shared" ca="1" si="379"/>
        <v>2064.3273553321415</v>
      </c>
      <c r="CL236" s="85">
        <f t="shared" ca="1" si="380"/>
        <v>1988.353552834159</v>
      </c>
      <c r="CM236" s="85">
        <f t="shared" ca="1" si="381"/>
        <v>2535.0760739692214</v>
      </c>
      <c r="CN236" s="85">
        <f t="shared" ca="1" si="382"/>
        <v>1800.9059112482189</v>
      </c>
      <c r="CO236" s="85">
        <f t="shared" ca="1" si="383"/>
        <v>2037.8721674450528</v>
      </c>
      <c r="CP236" s="85">
        <f t="shared" ca="1" si="384"/>
        <v>2405.2041968685403</v>
      </c>
      <c r="CQ236" s="85">
        <f t="shared" ca="1" si="385"/>
        <v>2224.8787763526311</v>
      </c>
      <c r="CR236" s="85">
        <f t="shared" ca="1" si="386"/>
        <v>2221.2040421525699</v>
      </c>
      <c r="CS236" s="85">
        <f t="shared" ca="1" si="387"/>
        <v>1728.9531797358438</v>
      </c>
      <c r="CT236" s="85">
        <f t="shared" ca="1" si="388"/>
        <v>2106.9492714662624</v>
      </c>
      <c r="CU236" s="85">
        <f t="shared" ca="1" si="389"/>
        <v>2633.1869765317538</v>
      </c>
      <c r="CV236" s="85">
        <f t="shared" ca="1" si="390"/>
        <v>1961.0466418628107</v>
      </c>
      <c r="CW236" s="85">
        <f t="shared" ca="1" si="391"/>
        <v>2173.1078461075635</v>
      </c>
    </row>
    <row r="237" spans="1:101" x14ac:dyDescent="0.2">
      <c r="A237" s="115">
        <v>234</v>
      </c>
      <c r="B237" s="85">
        <f t="shared" ca="1" si="302"/>
        <v>1730.5537035798459</v>
      </c>
      <c r="C237" s="85">
        <f t="shared" ca="1" si="304"/>
        <v>2181.9803973538683</v>
      </c>
      <c r="D237" s="85">
        <f t="shared" ca="1" si="305"/>
        <v>2197.3022592556154</v>
      </c>
      <c r="E237" s="85">
        <f t="shared" ca="1" si="306"/>
        <v>1840.0767353653221</v>
      </c>
      <c r="F237" s="85">
        <f t="shared" ca="1" si="307"/>
        <v>2128.5248671805621</v>
      </c>
      <c r="G237" s="85">
        <f t="shared" ca="1" si="308"/>
        <v>2254.4893921090679</v>
      </c>
      <c r="H237" s="85">
        <f t="shared" ca="1" si="309"/>
        <v>2247.8442757443549</v>
      </c>
      <c r="I237" s="85">
        <f t="shared" ca="1" si="310"/>
        <v>2411.4175049152632</v>
      </c>
      <c r="J237" s="85">
        <f t="shared" ca="1" si="311"/>
        <v>2056.7898978980697</v>
      </c>
      <c r="K237" s="85">
        <f t="shared" ca="1" si="312"/>
        <v>2322.900045109026</v>
      </c>
      <c r="L237" s="85">
        <f t="shared" ca="1" si="313"/>
        <v>2487.6594933373926</v>
      </c>
      <c r="M237" s="85">
        <f t="shared" ca="1" si="314"/>
        <v>1892.4223606023222</v>
      </c>
      <c r="N237" s="85">
        <f t="shared" ca="1" si="315"/>
        <v>2109.5639337816783</v>
      </c>
      <c r="O237" s="85">
        <f t="shared" ca="1" si="316"/>
        <v>2244.642281308586</v>
      </c>
      <c r="P237" s="85">
        <f t="shared" ca="1" si="317"/>
        <v>2304.8069075267554</v>
      </c>
      <c r="Q237" s="85">
        <f t="shared" ca="1" si="318"/>
        <v>2455.1867238919731</v>
      </c>
      <c r="R237" s="85">
        <f t="shared" ca="1" si="319"/>
        <v>2062.8569724670328</v>
      </c>
      <c r="S237" s="85">
        <f t="shared" ca="1" si="320"/>
        <v>2364.1341411634285</v>
      </c>
      <c r="T237" s="85">
        <f t="shared" ca="1" si="321"/>
        <v>2172.9389841780348</v>
      </c>
      <c r="U237" s="85">
        <f t="shared" ca="1" si="322"/>
        <v>1949.903174924372</v>
      </c>
      <c r="V237" s="85">
        <f t="shared" ca="1" si="323"/>
        <v>2608.3444744588264</v>
      </c>
      <c r="W237" s="85">
        <f t="shared" ca="1" si="324"/>
        <v>2071.5931509624879</v>
      </c>
      <c r="X237" s="85">
        <f t="shared" ca="1" si="325"/>
        <v>2371.487798539511</v>
      </c>
      <c r="Y237" s="85">
        <f t="shared" ca="1" si="326"/>
        <v>2110.1840608390353</v>
      </c>
      <c r="Z237" s="85">
        <f t="shared" ca="1" si="327"/>
        <v>2300.3922486296019</v>
      </c>
      <c r="AA237" s="85">
        <f t="shared" ca="1" si="328"/>
        <v>1887.9387156187295</v>
      </c>
      <c r="AB237" s="85">
        <f t="shared" ca="1" si="329"/>
        <v>2563.3484350259282</v>
      </c>
      <c r="AC237" s="85">
        <f t="shared" ca="1" si="330"/>
        <v>2387.1743671371746</v>
      </c>
      <c r="AD237" s="85">
        <f t="shared" ca="1" si="331"/>
        <v>2444.9687962308572</v>
      </c>
      <c r="AE237" s="85">
        <f t="shared" ca="1" si="332"/>
        <v>2781.1197749149769</v>
      </c>
      <c r="AF237" s="85">
        <f t="shared" ca="1" si="333"/>
        <v>1824.0526965399174</v>
      </c>
      <c r="AG237" s="85">
        <f t="shared" ca="1" si="334"/>
        <v>2476.1926229293658</v>
      </c>
      <c r="AH237" s="85">
        <f t="shared" ca="1" si="335"/>
        <v>2097.2753823289663</v>
      </c>
      <c r="AI237" s="85">
        <f t="shared" ca="1" si="336"/>
        <v>2305.5277935049821</v>
      </c>
      <c r="AJ237" s="85">
        <f t="shared" ca="1" si="337"/>
        <v>2465.3985971077304</v>
      </c>
      <c r="AK237" s="85">
        <f t="shared" ca="1" si="338"/>
        <v>2198.1168853127065</v>
      </c>
      <c r="AL237" s="85">
        <f t="shared" ca="1" si="339"/>
        <v>2105.7573688541911</v>
      </c>
      <c r="AM237" s="85">
        <f t="shared" ca="1" si="340"/>
        <v>2250.6867787267529</v>
      </c>
      <c r="AN237" s="85">
        <f t="shared" ca="1" si="341"/>
        <v>2281.5612508518884</v>
      </c>
      <c r="AO237" s="85">
        <f t="shared" ca="1" si="342"/>
        <v>2871.698808589068</v>
      </c>
      <c r="AP237" s="85">
        <f t="shared" ca="1" si="343"/>
        <v>2395.8442226364527</v>
      </c>
      <c r="AQ237" s="85">
        <f t="shared" ca="1" si="344"/>
        <v>2012.6924442855322</v>
      </c>
      <c r="AR237" s="85">
        <f t="shared" ca="1" si="345"/>
        <v>2535.4781415167754</v>
      </c>
      <c r="AS237" s="85">
        <f t="shared" ca="1" si="346"/>
        <v>2133.6524172634377</v>
      </c>
      <c r="AT237" s="85">
        <f t="shared" ca="1" si="347"/>
        <v>2206.3120259903571</v>
      </c>
      <c r="AU237" s="85">
        <f t="shared" ca="1" si="348"/>
        <v>2119.7215647738772</v>
      </c>
      <c r="AV237" s="85">
        <f t="shared" ca="1" si="349"/>
        <v>2370.0318892808059</v>
      </c>
      <c r="AW237" s="85">
        <f t="shared" ca="1" si="350"/>
        <v>2183.9938711593177</v>
      </c>
      <c r="AX237" s="85">
        <f t="shared" ca="1" si="351"/>
        <v>2940.2799975994935</v>
      </c>
      <c r="AY237" s="85">
        <f t="shared" ca="1" si="352"/>
        <v>2657.190513601282</v>
      </c>
      <c r="AZ237" s="85">
        <f t="shared" ca="1" si="353"/>
        <v>2468.9580546687207</v>
      </c>
      <c r="BA237" s="85">
        <f t="shared" ca="1" si="354"/>
        <v>2514.6580806467432</v>
      </c>
      <c r="BB237" s="85">
        <f t="shared" ca="1" si="355"/>
        <v>2053.1171843672096</v>
      </c>
      <c r="BC237" s="85">
        <f t="shared" ca="1" si="356"/>
        <v>2611.5160592214684</v>
      </c>
      <c r="BD237" s="85">
        <f t="shared" ca="1" si="357"/>
        <v>2323.8902701446464</v>
      </c>
      <c r="BE237" s="85">
        <f t="shared" ca="1" si="358"/>
        <v>2015.2127721216939</v>
      </c>
      <c r="BF237" s="85">
        <f t="shared" ca="1" si="359"/>
        <v>1913.3801846263677</v>
      </c>
      <c r="BG237" s="85">
        <f t="shared" ca="1" si="360"/>
        <v>1801.9867742483557</v>
      </c>
      <c r="BH237" s="85">
        <f t="shared" ca="1" si="361"/>
        <v>2260.0593430280533</v>
      </c>
      <c r="BI237" s="85">
        <f t="shared" ca="1" si="362"/>
        <v>2054.8413185951094</v>
      </c>
      <c r="BJ237" s="85">
        <f t="shared" ca="1" si="363"/>
        <v>2115.1066837671656</v>
      </c>
      <c r="BK237" s="85">
        <f t="shared" ca="1" si="364"/>
        <v>2089.8296800739272</v>
      </c>
      <c r="BL237" s="85">
        <f t="shared" ca="1" si="365"/>
        <v>1979.3922996926324</v>
      </c>
      <c r="BM237" s="85">
        <f t="shared" ca="1" si="366"/>
        <v>2097.0050822120866</v>
      </c>
      <c r="BN237" s="85">
        <f t="shared" ca="1" si="303"/>
        <v>2413.6923167959799</v>
      </c>
      <c r="BO237" s="85">
        <f t="shared" ca="1" si="392"/>
        <v>2520.6584728604439</v>
      </c>
      <c r="BP237" s="85">
        <f t="shared" ca="1" si="393"/>
        <v>2120.9393305044409</v>
      </c>
      <c r="BQ237" s="85">
        <f t="shared" ca="1" si="394"/>
        <v>2321.2886044880406</v>
      </c>
      <c r="BR237" s="85">
        <f t="shared" ca="1" si="395"/>
        <v>1961.3919302549477</v>
      </c>
      <c r="BS237" s="85">
        <f t="shared" ca="1" si="396"/>
        <v>2314.3217552505976</v>
      </c>
      <c r="BT237" s="85">
        <f t="shared" ca="1" si="397"/>
        <v>2644.9443154809942</v>
      </c>
      <c r="BU237" s="85">
        <f t="shared" ca="1" si="398"/>
        <v>1953.842190197124</v>
      </c>
      <c r="BV237" s="85">
        <f t="shared" ca="1" si="399"/>
        <v>2116.9126252265687</v>
      </c>
      <c r="BW237" s="85">
        <f t="shared" ca="1" si="400"/>
        <v>2386.9216781016348</v>
      </c>
      <c r="BX237" s="85">
        <f t="shared" ca="1" si="401"/>
        <v>2525.0707271494662</v>
      </c>
      <c r="BY237" s="85">
        <f t="shared" ca="1" si="367"/>
        <v>1963.9435733294467</v>
      </c>
      <c r="BZ237" s="85">
        <f t="shared" ca="1" si="368"/>
        <v>2165.5770636035904</v>
      </c>
      <c r="CA237" s="85">
        <f t="shared" ca="1" si="369"/>
        <v>2351.7550714100262</v>
      </c>
      <c r="CB237" s="85">
        <f t="shared" ca="1" si="370"/>
        <v>2120.1232452114937</v>
      </c>
      <c r="CC237" s="85">
        <f t="shared" ca="1" si="371"/>
        <v>2440.9422076814021</v>
      </c>
      <c r="CD237" s="85">
        <f t="shared" ca="1" si="372"/>
        <v>2436.3079706231028</v>
      </c>
      <c r="CE237" s="85">
        <f t="shared" ca="1" si="373"/>
        <v>2134.7790615598747</v>
      </c>
      <c r="CF237" s="85">
        <f t="shared" ca="1" si="374"/>
        <v>2492.8544408939811</v>
      </c>
      <c r="CG237" s="85">
        <f t="shared" ca="1" si="375"/>
        <v>1771.6092449994228</v>
      </c>
      <c r="CH237" s="85">
        <f t="shared" ca="1" si="376"/>
        <v>2245.8555209372498</v>
      </c>
      <c r="CI237" s="85">
        <f t="shared" ca="1" si="377"/>
        <v>1915.9034514836214</v>
      </c>
      <c r="CJ237" s="85">
        <f t="shared" ca="1" si="378"/>
        <v>1918.8260627392722</v>
      </c>
      <c r="CK237" s="85">
        <f t="shared" ca="1" si="379"/>
        <v>2127.3340417608811</v>
      </c>
      <c r="CL237" s="85">
        <f t="shared" ca="1" si="380"/>
        <v>2028.4427819863135</v>
      </c>
      <c r="CM237" s="85">
        <f t="shared" ca="1" si="381"/>
        <v>2566.2688324775845</v>
      </c>
      <c r="CN237" s="85">
        <f t="shared" ca="1" si="382"/>
        <v>1794.0997265019628</v>
      </c>
      <c r="CO237" s="85">
        <f t="shared" ca="1" si="383"/>
        <v>2055.0256033663268</v>
      </c>
      <c r="CP237" s="85">
        <f t="shared" ca="1" si="384"/>
        <v>2421.2357766311366</v>
      </c>
      <c r="CQ237" s="85">
        <f t="shared" ca="1" si="385"/>
        <v>2257.7032012624609</v>
      </c>
      <c r="CR237" s="85">
        <f t="shared" ca="1" si="386"/>
        <v>2247.6112826175086</v>
      </c>
      <c r="CS237" s="85">
        <f t="shared" ca="1" si="387"/>
        <v>1749.306876115945</v>
      </c>
      <c r="CT237" s="85">
        <f t="shared" ca="1" si="388"/>
        <v>2116.1075502561093</v>
      </c>
      <c r="CU237" s="85">
        <f t="shared" ca="1" si="389"/>
        <v>2707.744773404499</v>
      </c>
      <c r="CV237" s="85">
        <f t="shared" ca="1" si="390"/>
        <v>1983.8687574899618</v>
      </c>
      <c r="CW237" s="85">
        <f t="shared" ca="1" si="391"/>
        <v>2210.2745820676537</v>
      </c>
    </row>
    <row r="238" spans="1:101" x14ac:dyDescent="0.2">
      <c r="A238" s="115">
        <v>235</v>
      </c>
      <c r="B238" s="85">
        <f t="shared" ca="1" si="302"/>
        <v>1744.7444085978375</v>
      </c>
      <c r="C238" s="85">
        <f t="shared" ca="1" si="304"/>
        <v>2219.4668296530645</v>
      </c>
      <c r="D238" s="85">
        <f t="shared" ca="1" si="305"/>
        <v>2224.4200385357076</v>
      </c>
      <c r="E238" s="85">
        <f t="shared" ca="1" si="306"/>
        <v>1863.3391624607525</v>
      </c>
      <c r="F238" s="85">
        <f t="shared" ca="1" si="307"/>
        <v>2138.4852260392408</v>
      </c>
      <c r="G238" s="85">
        <f t="shared" ca="1" si="308"/>
        <v>2273.5026787535198</v>
      </c>
      <c r="H238" s="85">
        <f t="shared" ca="1" si="309"/>
        <v>2272.2275192018442</v>
      </c>
      <c r="I238" s="85">
        <f t="shared" ca="1" si="310"/>
        <v>2442.3742695812907</v>
      </c>
      <c r="J238" s="85">
        <f t="shared" ca="1" si="311"/>
        <v>2080.8482567149586</v>
      </c>
      <c r="K238" s="85">
        <f t="shared" ca="1" si="312"/>
        <v>2325.8993839618961</v>
      </c>
      <c r="L238" s="85">
        <f t="shared" ca="1" si="313"/>
        <v>2521.0075902921512</v>
      </c>
      <c r="M238" s="85">
        <f t="shared" ca="1" si="314"/>
        <v>1945.4516364951814</v>
      </c>
      <c r="N238" s="85">
        <f t="shared" ca="1" si="315"/>
        <v>2140.6281096423145</v>
      </c>
      <c r="O238" s="85">
        <f t="shared" ca="1" si="316"/>
        <v>2265.8723612312056</v>
      </c>
      <c r="P238" s="85">
        <f t="shared" ca="1" si="317"/>
        <v>2326.048800059476</v>
      </c>
      <c r="Q238" s="85">
        <f t="shared" ca="1" si="318"/>
        <v>2514.4568872063301</v>
      </c>
      <c r="R238" s="85">
        <f t="shared" ca="1" si="319"/>
        <v>2084.8388933780379</v>
      </c>
      <c r="S238" s="85">
        <f t="shared" ca="1" si="320"/>
        <v>2393.304538488444</v>
      </c>
      <c r="T238" s="85">
        <f t="shared" ca="1" si="321"/>
        <v>2200.5160448728693</v>
      </c>
      <c r="U238" s="85">
        <f t="shared" ca="1" si="322"/>
        <v>1981.0827327959912</v>
      </c>
      <c r="V238" s="85">
        <f t="shared" ca="1" si="323"/>
        <v>2640.4396787952237</v>
      </c>
      <c r="W238" s="85">
        <f t="shared" ca="1" si="324"/>
        <v>2095.9158234702081</v>
      </c>
      <c r="X238" s="85">
        <f t="shared" ca="1" si="325"/>
        <v>2415.5098423495733</v>
      </c>
      <c r="Y238" s="85">
        <f t="shared" ca="1" si="326"/>
        <v>2141.2138048294946</v>
      </c>
      <c r="Z238" s="85">
        <f t="shared" ca="1" si="327"/>
        <v>2343.3715722281017</v>
      </c>
      <c r="AA238" s="85">
        <f t="shared" ca="1" si="328"/>
        <v>1897.4183496640892</v>
      </c>
      <c r="AB238" s="85">
        <f t="shared" ca="1" si="329"/>
        <v>2582.3971300169214</v>
      </c>
      <c r="AC238" s="85">
        <f t="shared" ca="1" si="330"/>
        <v>2408.263425206776</v>
      </c>
      <c r="AD238" s="85">
        <f t="shared" ca="1" si="331"/>
        <v>2461.5445311357175</v>
      </c>
      <c r="AE238" s="85">
        <f t="shared" ca="1" si="332"/>
        <v>2817.5640374271693</v>
      </c>
      <c r="AF238" s="85">
        <f t="shared" ca="1" si="333"/>
        <v>1858.4653635199172</v>
      </c>
      <c r="AG238" s="85">
        <f t="shared" ca="1" si="334"/>
        <v>2508.4168898458488</v>
      </c>
      <c r="AH238" s="85">
        <f t="shared" ca="1" si="335"/>
        <v>2127.3048332376416</v>
      </c>
      <c r="AI238" s="85">
        <f t="shared" ca="1" si="336"/>
        <v>2360.5974042325261</v>
      </c>
      <c r="AJ238" s="85">
        <f t="shared" ca="1" si="337"/>
        <v>2508.9970099547718</v>
      </c>
      <c r="AK238" s="85">
        <f t="shared" ca="1" si="338"/>
        <v>2253.6725771988436</v>
      </c>
      <c r="AL238" s="85">
        <f t="shared" ca="1" si="339"/>
        <v>2112.6608538090945</v>
      </c>
      <c r="AM238" s="85">
        <f t="shared" ca="1" si="340"/>
        <v>2275.6278424462903</v>
      </c>
      <c r="AN238" s="85">
        <f t="shared" ca="1" si="341"/>
        <v>2314.1461399446844</v>
      </c>
      <c r="AO238" s="85">
        <f t="shared" ca="1" si="342"/>
        <v>2907.2717159604772</v>
      </c>
      <c r="AP238" s="85">
        <f t="shared" ca="1" si="343"/>
        <v>2428.2167872463451</v>
      </c>
      <c r="AQ238" s="85">
        <f t="shared" ca="1" si="344"/>
        <v>2038.0902248430555</v>
      </c>
      <c r="AR238" s="85">
        <f t="shared" ca="1" si="345"/>
        <v>2587.5230597253844</v>
      </c>
      <c r="AS238" s="85">
        <f t="shared" ca="1" si="346"/>
        <v>2144.3137725679499</v>
      </c>
      <c r="AT238" s="85">
        <f t="shared" ca="1" si="347"/>
        <v>2238.9995916466705</v>
      </c>
      <c r="AU238" s="85">
        <f t="shared" ca="1" si="348"/>
        <v>2175.7411278851241</v>
      </c>
      <c r="AV238" s="85">
        <f t="shared" ca="1" si="349"/>
        <v>2399.6046875094767</v>
      </c>
      <c r="AW238" s="85">
        <f t="shared" ca="1" si="350"/>
        <v>2225.1609070229874</v>
      </c>
      <c r="AX238" s="85">
        <f t="shared" ca="1" si="351"/>
        <v>2934.8126115297937</v>
      </c>
      <c r="AY238" s="85">
        <f t="shared" ca="1" si="352"/>
        <v>2673.7787469241016</v>
      </c>
      <c r="AZ238" s="85">
        <f t="shared" ca="1" si="353"/>
        <v>2489.8702904110628</v>
      </c>
      <c r="BA238" s="85">
        <f t="shared" ca="1" si="354"/>
        <v>2530.4546159570414</v>
      </c>
      <c r="BB238" s="85">
        <f t="shared" ca="1" si="355"/>
        <v>2074.8578161088431</v>
      </c>
      <c r="BC238" s="85">
        <f t="shared" ca="1" si="356"/>
        <v>2654.2850083567714</v>
      </c>
      <c r="BD238" s="85">
        <f t="shared" ca="1" si="357"/>
        <v>2391.9726960092999</v>
      </c>
      <c r="BE238" s="85">
        <f t="shared" ca="1" si="358"/>
        <v>2054.2724167448287</v>
      </c>
      <c r="BF238" s="85">
        <f t="shared" ca="1" si="359"/>
        <v>1920.7320219253982</v>
      </c>
      <c r="BG238" s="85">
        <f t="shared" ca="1" si="360"/>
        <v>1827.7894221558147</v>
      </c>
      <c r="BH238" s="85">
        <f t="shared" ca="1" si="361"/>
        <v>2284.9700730550835</v>
      </c>
      <c r="BI238" s="85">
        <f t="shared" ca="1" si="362"/>
        <v>2088.6511974816194</v>
      </c>
      <c r="BJ238" s="85">
        <f t="shared" ca="1" si="363"/>
        <v>2176.2380249134517</v>
      </c>
      <c r="BK238" s="85">
        <f t="shared" ca="1" si="364"/>
        <v>2124.7510899367512</v>
      </c>
      <c r="BL238" s="85">
        <f t="shared" ca="1" si="365"/>
        <v>2018.9452034226022</v>
      </c>
      <c r="BM238" s="85">
        <f t="shared" ca="1" si="366"/>
        <v>2156.1738053421068</v>
      </c>
      <c r="BN238" s="85">
        <f t="shared" ca="1" si="303"/>
        <v>2459.1596844347796</v>
      </c>
      <c r="BO238" s="85">
        <f t="shared" ca="1" si="392"/>
        <v>2563.5974142361806</v>
      </c>
      <c r="BP238" s="85">
        <f t="shared" ca="1" si="393"/>
        <v>2151.0739759184094</v>
      </c>
      <c r="BQ238" s="85">
        <f t="shared" ca="1" si="394"/>
        <v>2379.5485255507942</v>
      </c>
      <c r="BR238" s="85">
        <f t="shared" ca="1" si="395"/>
        <v>1992.9645045556001</v>
      </c>
      <c r="BS238" s="85">
        <f t="shared" ca="1" si="396"/>
        <v>2345.3642050328763</v>
      </c>
      <c r="BT238" s="85">
        <f t="shared" ca="1" si="397"/>
        <v>2675.5690855322732</v>
      </c>
      <c r="BU238" s="85">
        <f t="shared" ca="1" si="398"/>
        <v>1954.7239293514613</v>
      </c>
      <c r="BV238" s="85">
        <f t="shared" ca="1" si="399"/>
        <v>2131.9787821065852</v>
      </c>
      <c r="BW238" s="85">
        <f t="shared" ca="1" si="400"/>
        <v>2442.1516226538261</v>
      </c>
      <c r="BX238" s="85">
        <f t="shared" ca="1" si="401"/>
        <v>2563.4791512803445</v>
      </c>
      <c r="BY238" s="85">
        <f t="shared" ca="1" si="367"/>
        <v>1979.9161440484472</v>
      </c>
      <c r="BZ238" s="85">
        <f t="shared" ca="1" si="368"/>
        <v>2187.0799184329589</v>
      </c>
      <c r="CA238" s="85">
        <f t="shared" ca="1" si="369"/>
        <v>2385.9649379667403</v>
      </c>
      <c r="CB238" s="85">
        <f t="shared" ca="1" si="370"/>
        <v>2158.6642365077641</v>
      </c>
      <c r="CC238" s="85">
        <f t="shared" ca="1" si="371"/>
        <v>2479.0579597649703</v>
      </c>
      <c r="CD238" s="85">
        <f t="shared" ca="1" si="372"/>
        <v>2483.5432893981124</v>
      </c>
      <c r="CE238" s="85">
        <f t="shared" ca="1" si="373"/>
        <v>2181.4100897663984</v>
      </c>
      <c r="CF238" s="85">
        <f t="shared" ca="1" si="374"/>
        <v>2567.311273595094</v>
      </c>
      <c r="CG238" s="85">
        <f t="shared" ca="1" si="375"/>
        <v>1809.9450802393858</v>
      </c>
      <c r="CH238" s="85">
        <f t="shared" ca="1" si="376"/>
        <v>2271.642796719284</v>
      </c>
      <c r="CI238" s="85">
        <f t="shared" ca="1" si="377"/>
        <v>1949.9693887362237</v>
      </c>
      <c r="CJ238" s="85">
        <f t="shared" ca="1" si="378"/>
        <v>1967.6597578225419</v>
      </c>
      <c r="CK238" s="85">
        <f t="shared" ca="1" si="379"/>
        <v>2161.6847545580899</v>
      </c>
      <c r="CL238" s="85">
        <f t="shared" ca="1" si="380"/>
        <v>2035.9301308225886</v>
      </c>
      <c r="CM238" s="85">
        <f t="shared" ca="1" si="381"/>
        <v>2603.3816967173038</v>
      </c>
      <c r="CN238" s="85">
        <f t="shared" ca="1" si="382"/>
        <v>1831.2147012981929</v>
      </c>
      <c r="CO238" s="85">
        <f t="shared" ca="1" si="383"/>
        <v>2078.7449474245764</v>
      </c>
      <c r="CP238" s="85">
        <f t="shared" ca="1" si="384"/>
        <v>2433.7253868425346</v>
      </c>
      <c r="CQ238" s="85">
        <f t="shared" ca="1" si="385"/>
        <v>2302.6289828720933</v>
      </c>
      <c r="CR238" s="85">
        <f t="shared" ca="1" si="386"/>
        <v>2266.8474116162665</v>
      </c>
      <c r="CS238" s="85">
        <f t="shared" ca="1" si="387"/>
        <v>1776.2162151866248</v>
      </c>
      <c r="CT238" s="85">
        <f t="shared" ca="1" si="388"/>
        <v>2148.8836111327869</v>
      </c>
      <c r="CU238" s="85">
        <f t="shared" ca="1" si="389"/>
        <v>2716.1799938647205</v>
      </c>
      <c r="CV238" s="85">
        <f t="shared" ca="1" si="390"/>
        <v>2024.2244347157357</v>
      </c>
      <c r="CW238" s="85">
        <f t="shared" ca="1" si="391"/>
        <v>2230.849997253018</v>
      </c>
    </row>
    <row r="239" spans="1:101" x14ac:dyDescent="0.2">
      <c r="A239" s="115">
        <v>236</v>
      </c>
      <c r="B239" s="85">
        <f t="shared" ca="1" si="302"/>
        <v>1755.2750998863132</v>
      </c>
      <c r="C239" s="85">
        <f t="shared" ca="1" si="304"/>
        <v>2247.7256639235397</v>
      </c>
      <c r="D239" s="85">
        <f t="shared" ca="1" si="305"/>
        <v>2232.9767474646956</v>
      </c>
      <c r="E239" s="85">
        <f t="shared" ca="1" si="306"/>
        <v>1905.6151116525232</v>
      </c>
      <c r="F239" s="85">
        <f t="shared" ca="1" si="307"/>
        <v>2152.1351665533534</v>
      </c>
      <c r="G239" s="85">
        <f t="shared" ca="1" si="308"/>
        <v>2288.1339494717454</v>
      </c>
      <c r="H239" s="85">
        <f t="shared" ca="1" si="309"/>
        <v>2316.8246252774384</v>
      </c>
      <c r="I239" s="85">
        <f t="shared" ca="1" si="310"/>
        <v>2488.0313643105819</v>
      </c>
      <c r="J239" s="85">
        <f t="shared" ca="1" si="311"/>
        <v>2133.032630322668</v>
      </c>
      <c r="K239" s="85">
        <f t="shared" ca="1" si="312"/>
        <v>2373.0501760464554</v>
      </c>
      <c r="L239" s="85">
        <f t="shared" ca="1" si="313"/>
        <v>2546.5305017108758</v>
      </c>
      <c r="M239" s="85">
        <f t="shared" ca="1" si="314"/>
        <v>1973.0978242326096</v>
      </c>
      <c r="N239" s="85">
        <f t="shared" ca="1" si="315"/>
        <v>2188.1870641254154</v>
      </c>
      <c r="O239" s="85">
        <f t="shared" ca="1" si="316"/>
        <v>2289.7858271474306</v>
      </c>
      <c r="P239" s="85">
        <f t="shared" ca="1" si="317"/>
        <v>2365.7677675603036</v>
      </c>
      <c r="Q239" s="85">
        <f t="shared" ca="1" si="318"/>
        <v>2534.7530762240317</v>
      </c>
      <c r="R239" s="85">
        <f t="shared" ca="1" si="319"/>
        <v>2123.0331469994198</v>
      </c>
      <c r="S239" s="85">
        <f t="shared" ca="1" si="320"/>
        <v>2447.7113546342343</v>
      </c>
      <c r="T239" s="85">
        <f t="shared" ca="1" si="321"/>
        <v>2221.8895232773043</v>
      </c>
      <c r="U239" s="85">
        <f t="shared" ca="1" si="322"/>
        <v>2023.5172583516887</v>
      </c>
      <c r="V239" s="85">
        <f t="shared" ca="1" si="323"/>
        <v>2668.6136056953374</v>
      </c>
      <c r="W239" s="85">
        <f t="shared" ca="1" si="324"/>
        <v>2113.419913380028</v>
      </c>
      <c r="X239" s="85">
        <f t="shared" ca="1" si="325"/>
        <v>2454.0144529235986</v>
      </c>
      <c r="Y239" s="85">
        <f t="shared" ca="1" si="326"/>
        <v>2149.0599636413544</v>
      </c>
      <c r="Z239" s="85">
        <f t="shared" ca="1" si="327"/>
        <v>2378.4005211923904</v>
      </c>
      <c r="AA239" s="85">
        <f t="shared" ca="1" si="328"/>
        <v>1921.1353701440535</v>
      </c>
      <c r="AB239" s="85">
        <f t="shared" ca="1" si="329"/>
        <v>2627.3497404119271</v>
      </c>
      <c r="AC239" s="85">
        <f t="shared" ca="1" si="330"/>
        <v>2414.9063644200364</v>
      </c>
      <c r="AD239" s="85">
        <f t="shared" ca="1" si="331"/>
        <v>2512.2719853238659</v>
      </c>
      <c r="AE239" s="85">
        <f t="shared" ca="1" si="332"/>
        <v>2887.8646262214852</v>
      </c>
      <c r="AF239" s="85">
        <f t="shared" ca="1" si="333"/>
        <v>1877.6080309004933</v>
      </c>
      <c r="AG239" s="85">
        <f t="shared" ca="1" si="334"/>
        <v>2551.2548563649821</v>
      </c>
      <c r="AH239" s="85">
        <f t="shared" ca="1" si="335"/>
        <v>2197.5765894787924</v>
      </c>
      <c r="AI239" s="85">
        <f t="shared" ca="1" si="336"/>
        <v>2380.6720783306641</v>
      </c>
      <c r="AJ239" s="85">
        <f t="shared" ca="1" si="337"/>
        <v>2530.3167662073602</v>
      </c>
      <c r="AK239" s="85">
        <f t="shared" ca="1" si="338"/>
        <v>2289.7487699712319</v>
      </c>
      <c r="AL239" s="85">
        <f t="shared" ca="1" si="339"/>
        <v>2127.1557921864346</v>
      </c>
      <c r="AM239" s="85">
        <f t="shared" ca="1" si="340"/>
        <v>2276.2217746368246</v>
      </c>
      <c r="AN239" s="85">
        <f t="shared" ca="1" si="341"/>
        <v>2336.1116570365452</v>
      </c>
      <c r="AO239" s="85">
        <f t="shared" ca="1" si="342"/>
        <v>2944.0946963411247</v>
      </c>
      <c r="AP239" s="85">
        <f t="shared" ca="1" si="343"/>
        <v>2452.401929984484</v>
      </c>
      <c r="AQ239" s="85">
        <f t="shared" ca="1" si="344"/>
        <v>2052.540647387726</v>
      </c>
      <c r="AR239" s="85">
        <f t="shared" ca="1" si="345"/>
        <v>2635.7831272489821</v>
      </c>
      <c r="AS239" s="85">
        <f t="shared" ca="1" si="346"/>
        <v>2152.7557358790818</v>
      </c>
      <c r="AT239" s="85">
        <f t="shared" ca="1" si="347"/>
        <v>2261.1276417287222</v>
      </c>
      <c r="AU239" s="85">
        <f t="shared" ca="1" si="348"/>
        <v>2173.052806829171</v>
      </c>
      <c r="AV239" s="85">
        <f t="shared" ca="1" si="349"/>
        <v>2456.6577786928056</v>
      </c>
      <c r="AW239" s="85">
        <f t="shared" ca="1" si="350"/>
        <v>2246.1595915815806</v>
      </c>
      <c r="AX239" s="85">
        <f t="shared" ca="1" si="351"/>
        <v>2983.9327251808281</v>
      </c>
      <c r="AY239" s="85">
        <f t="shared" ca="1" si="352"/>
        <v>2741.1479444661636</v>
      </c>
      <c r="AZ239" s="85">
        <f t="shared" ca="1" si="353"/>
        <v>2538.0214150119182</v>
      </c>
      <c r="BA239" s="85">
        <f t="shared" ca="1" si="354"/>
        <v>2579.4415406910684</v>
      </c>
      <c r="BB239" s="85">
        <f t="shared" ca="1" si="355"/>
        <v>2102.9194984774076</v>
      </c>
      <c r="BC239" s="85">
        <f t="shared" ca="1" si="356"/>
        <v>2671.183678607114</v>
      </c>
      <c r="BD239" s="85">
        <f t="shared" ca="1" si="357"/>
        <v>2451.5167636149672</v>
      </c>
      <c r="BE239" s="85">
        <f t="shared" ca="1" si="358"/>
        <v>2080.8598290096384</v>
      </c>
      <c r="BF239" s="85">
        <f t="shared" ca="1" si="359"/>
        <v>1954.0432353415033</v>
      </c>
      <c r="BG239" s="85">
        <f t="shared" ca="1" si="360"/>
        <v>1846.746990132229</v>
      </c>
      <c r="BH239" s="85">
        <f t="shared" ca="1" si="361"/>
        <v>2299.3358177576183</v>
      </c>
      <c r="BI239" s="85">
        <f t="shared" ca="1" si="362"/>
        <v>2109.1709202731699</v>
      </c>
      <c r="BJ239" s="85">
        <f t="shared" ca="1" si="363"/>
        <v>2218.3281639516972</v>
      </c>
      <c r="BK239" s="85">
        <f t="shared" ca="1" si="364"/>
        <v>2156.469760069469</v>
      </c>
      <c r="BL239" s="85">
        <f t="shared" ca="1" si="365"/>
        <v>2040.1991413125329</v>
      </c>
      <c r="BM239" s="85">
        <f t="shared" ca="1" si="366"/>
        <v>2178.2076128026997</v>
      </c>
      <c r="BN239" s="85">
        <f t="shared" ca="1" si="303"/>
        <v>2499.8136610591409</v>
      </c>
      <c r="BO239" s="85">
        <f t="shared" ca="1" si="392"/>
        <v>2622.1677176618859</v>
      </c>
      <c r="BP239" s="85">
        <f t="shared" ca="1" si="393"/>
        <v>2167.7202321089767</v>
      </c>
      <c r="BQ239" s="85">
        <f t="shared" ca="1" si="394"/>
        <v>2426.0674990274943</v>
      </c>
      <c r="BR239" s="85">
        <f t="shared" ca="1" si="395"/>
        <v>2040.7743678025874</v>
      </c>
      <c r="BS239" s="85">
        <f t="shared" ca="1" si="396"/>
        <v>2407.4017654907934</v>
      </c>
      <c r="BT239" s="85">
        <f t="shared" ca="1" si="397"/>
        <v>2721.4936406019997</v>
      </c>
      <c r="BU239" s="85">
        <f t="shared" ca="1" si="398"/>
        <v>1985.1808493694703</v>
      </c>
      <c r="BV239" s="85">
        <f t="shared" ca="1" si="399"/>
        <v>2169.214683123821</v>
      </c>
      <c r="BW239" s="85">
        <f t="shared" ca="1" si="400"/>
        <v>2479.2221900282598</v>
      </c>
      <c r="BX239" s="85">
        <f t="shared" ca="1" si="401"/>
        <v>2580.7682236118026</v>
      </c>
      <c r="BY239" s="85">
        <f t="shared" ca="1" si="367"/>
        <v>2032.4201524584391</v>
      </c>
      <c r="BZ239" s="85">
        <f t="shared" ca="1" si="368"/>
        <v>2209.9640473170484</v>
      </c>
      <c r="CA239" s="85">
        <f t="shared" ca="1" si="369"/>
        <v>2394.5701416593547</v>
      </c>
      <c r="CB239" s="85">
        <f t="shared" ca="1" si="370"/>
        <v>2170.7534203385985</v>
      </c>
      <c r="CC239" s="85">
        <f t="shared" ca="1" si="371"/>
        <v>2524.0787704291974</v>
      </c>
      <c r="CD239" s="85">
        <f t="shared" ca="1" si="372"/>
        <v>2527.2750823204306</v>
      </c>
      <c r="CE239" s="85">
        <f t="shared" ca="1" si="373"/>
        <v>2220.6889514263776</v>
      </c>
      <c r="CF239" s="85">
        <f t="shared" ca="1" si="374"/>
        <v>2602.4389204051322</v>
      </c>
      <c r="CG239" s="85">
        <f t="shared" ca="1" si="375"/>
        <v>1826.7582053194926</v>
      </c>
      <c r="CH239" s="85">
        <f t="shared" ca="1" si="376"/>
        <v>2306.212326626558</v>
      </c>
      <c r="CI239" s="85">
        <f t="shared" ca="1" si="377"/>
        <v>1967.125929725785</v>
      </c>
      <c r="CJ239" s="85">
        <f t="shared" ca="1" si="378"/>
        <v>1993.8112009069316</v>
      </c>
      <c r="CK239" s="85">
        <f t="shared" ca="1" si="379"/>
        <v>2221.0975082110463</v>
      </c>
      <c r="CL239" s="85">
        <f t="shared" ca="1" si="380"/>
        <v>2088.5818038654165</v>
      </c>
      <c r="CM239" s="85">
        <f t="shared" ca="1" si="381"/>
        <v>2646.4852500190041</v>
      </c>
      <c r="CN239" s="85">
        <f t="shared" ca="1" si="382"/>
        <v>1854.5503029485892</v>
      </c>
      <c r="CO239" s="85">
        <f t="shared" ca="1" si="383"/>
        <v>2084.4404615705766</v>
      </c>
      <c r="CP239" s="85">
        <f t="shared" ca="1" si="384"/>
        <v>2457.2363667199556</v>
      </c>
      <c r="CQ239" s="85">
        <f t="shared" ca="1" si="385"/>
        <v>2338.3454120175693</v>
      </c>
      <c r="CR239" s="85">
        <f t="shared" ca="1" si="386"/>
        <v>2316.6937880558471</v>
      </c>
      <c r="CS239" s="85">
        <f t="shared" ca="1" si="387"/>
        <v>1819.5344826089165</v>
      </c>
      <c r="CT239" s="85">
        <f t="shared" ca="1" si="388"/>
        <v>2180.244215549134</v>
      </c>
      <c r="CU239" s="85">
        <f t="shared" ca="1" si="389"/>
        <v>2747.5697141780206</v>
      </c>
      <c r="CV239" s="85">
        <f t="shared" ca="1" si="390"/>
        <v>2050.8850846148875</v>
      </c>
      <c r="CW239" s="85">
        <f t="shared" ca="1" si="391"/>
        <v>2268.7080552524826</v>
      </c>
    </row>
    <row r="240" spans="1:101" x14ac:dyDescent="0.2">
      <c r="A240" s="115">
        <v>237</v>
      </c>
      <c r="B240" s="85">
        <f t="shared" ca="1" si="302"/>
        <v>1767.7220307851951</v>
      </c>
      <c r="C240" s="85">
        <f t="shared" ca="1" si="304"/>
        <v>2283.3658192612502</v>
      </c>
      <c r="D240" s="85">
        <f t="shared" ca="1" si="305"/>
        <v>2278.3519313739293</v>
      </c>
      <c r="E240" s="85">
        <f t="shared" ca="1" si="306"/>
        <v>1911.9350458538836</v>
      </c>
      <c r="F240" s="85">
        <f t="shared" ca="1" si="307"/>
        <v>2173.6709830532623</v>
      </c>
      <c r="G240" s="85">
        <f t="shared" ca="1" si="308"/>
        <v>2306.4819225105748</v>
      </c>
      <c r="H240" s="85">
        <f t="shared" ca="1" si="309"/>
        <v>2324.6105516290163</v>
      </c>
      <c r="I240" s="85">
        <f t="shared" ca="1" si="310"/>
        <v>2495.5014265480195</v>
      </c>
      <c r="J240" s="85">
        <f t="shared" ca="1" si="311"/>
        <v>2159.1026258918901</v>
      </c>
      <c r="K240" s="85">
        <f t="shared" ca="1" si="312"/>
        <v>2406.7488781608431</v>
      </c>
      <c r="L240" s="85">
        <f t="shared" ca="1" si="313"/>
        <v>2585.0697541850996</v>
      </c>
      <c r="M240" s="85">
        <f t="shared" ca="1" si="314"/>
        <v>2005.1329494983561</v>
      </c>
      <c r="N240" s="85">
        <f t="shared" ca="1" si="315"/>
        <v>2218.3400053346027</v>
      </c>
      <c r="O240" s="85">
        <f t="shared" ca="1" si="316"/>
        <v>2336.0901212134563</v>
      </c>
      <c r="P240" s="85">
        <f t="shared" ca="1" si="317"/>
        <v>2387.147920458422</v>
      </c>
      <c r="Q240" s="85">
        <f t="shared" ca="1" si="318"/>
        <v>2585.6131770942688</v>
      </c>
      <c r="R240" s="85">
        <f t="shared" ca="1" si="319"/>
        <v>2175.4100165544528</v>
      </c>
      <c r="S240" s="85">
        <f t="shared" ca="1" si="320"/>
        <v>2502.2002612376209</v>
      </c>
      <c r="T240" s="85">
        <f t="shared" ca="1" si="321"/>
        <v>2244.9522257712883</v>
      </c>
      <c r="U240" s="85">
        <f t="shared" ca="1" si="322"/>
        <v>2069.3016729759133</v>
      </c>
      <c r="V240" s="85">
        <f t="shared" ca="1" si="323"/>
        <v>2699.775956468452</v>
      </c>
      <c r="W240" s="85">
        <f t="shared" ca="1" si="324"/>
        <v>2131.5973798146783</v>
      </c>
      <c r="X240" s="85">
        <f t="shared" ca="1" si="325"/>
        <v>2469.097044501917</v>
      </c>
      <c r="Y240" s="85">
        <f t="shared" ca="1" si="326"/>
        <v>2217.9706902740231</v>
      </c>
      <c r="Z240" s="85">
        <f t="shared" ca="1" si="327"/>
        <v>2396.0750315278888</v>
      </c>
      <c r="AA240" s="85">
        <f t="shared" ca="1" si="328"/>
        <v>1962.4334085013129</v>
      </c>
      <c r="AB240" s="85">
        <f t="shared" ca="1" si="329"/>
        <v>2648.9764119862107</v>
      </c>
      <c r="AC240" s="85">
        <f t="shared" ca="1" si="330"/>
        <v>2443.8868246509687</v>
      </c>
      <c r="AD240" s="85">
        <f t="shared" ca="1" si="331"/>
        <v>2520.0871827323986</v>
      </c>
      <c r="AE240" s="85">
        <f t="shared" ca="1" si="332"/>
        <v>2920.5970249463917</v>
      </c>
      <c r="AF240" s="85">
        <f t="shared" ca="1" si="333"/>
        <v>1890.4433356735465</v>
      </c>
      <c r="AG240" s="85">
        <f t="shared" ca="1" si="334"/>
        <v>2584.4830237302494</v>
      </c>
      <c r="AH240" s="85">
        <f t="shared" ca="1" si="335"/>
        <v>2229.2402157699889</v>
      </c>
      <c r="AI240" s="85">
        <f t="shared" ca="1" si="336"/>
        <v>2424.4636794492103</v>
      </c>
      <c r="AJ240" s="85">
        <f t="shared" ca="1" si="337"/>
        <v>2547.6842703127968</v>
      </c>
      <c r="AK240" s="85">
        <f t="shared" ca="1" si="338"/>
        <v>2312.3460344495529</v>
      </c>
      <c r="AL240" s="85">
        <f t="shared" ca="1" si="339"/>
        <v>2150.0567125684738</v>
      </c>
      <c r="AM240" s="85">
        <f t="shared" ca="1" si="340"/>
        <v>2313.077645776581</v>
      </c>
      <c r="AN240" s="85">
        <f t="shared" ca="1" si="341"/>
        <v>2398.156898269327</v>
      </c>
      <c r="AO240" s="85">
        <f t="shared" ca="1" si="342"/>
        <v>3009.1252413231673</v>
      </c>
      <c r="AP240" s="85">
        <f t="shared" ca="1" si="343"/>
        <v>2493.4846184700573</v>
      </c>
      <c r="AQ240" s="85">
        <f t="shared" ca="1" si="344"/>
        <v>2074.899622543338</v>
      </c>
      <c r="AR240" s="85">
        <f t="shared" ca="1" si="345"/>
        <v>2660.6991799751122</v>
      </c>
      <c r="AS240" s="85">
        <f t="shared" ca="1" si="346"/>
        <v>2165.9622518861133</v>
      </c>
      <c r="AT240" s="85">
        <f t="shared" ca="1" si="347"/>
        <v>2306.3824708925085</v>
      </c>
      <c r="AU240" s="85">
        <f t="shared" ca="1" si="348"/>
        <v>2211.4710526525728</v>
      </c>
      <c r="AV240" s="85">
        <f t="shared" ca="1" si="349"/>
        <v>2486.5751741618164</v>
      </c>
      <c r="AW240" s="85">
        <f t="shared" ca="1" si="350"/>
        <v>2269.8414531129229</v>
      </c>
      <c r="AX240" s="85">
        <f t="shared" ca="1" si="351"/>
        <v>3065.4108909935462</v>
      </c>
      <c r="AY240" s="85">
        <f t="shared" ca="1" si="352"/>
        <v>2760.6473046373367</v>
      </c>
      <c r="AZ240" s="85">
        <f t="shared" ca="1" si="353"/>
        <v>2576.9269446538851</v>
      </c>
      <c r="BA240" s="85">
        <f t="shared" ca="1" si="354"/>
        <v>2610.1653183043145</v>
      </c>
      <c r="BB240" s="85">
        <f t="shared" ca="1" si="355"/>
        <v>2147.2439633041095</v>
      </c>
      <c r="BC240" s="85">
        <f t="shared" ca="1" si="356"/>
        <v>2684.9839906315706</v>
      </c>
      <c r="BD240" s="85">
        <f t="shared" ca="1" si="357"/>
        <v>2480.760355353641</v>
      </c>
      <c r="BE240" s="85">
        <f t="shared" ca="1" si="358"/>
        <v>2117.5986354480424</v>
      </c>
      <c r="BF240" s="85">
        <f t="shared" ca="1" si="359"/>
        <v>1991.3550146384118</v>
      </c>
      <c r="BG240" s="85">
        <f t="shared" ca="1" si="360"/>
        <v>1899.0974746422064</v>
      </c>
      <c r="BH240" s="85">
        <f t="shared" ca="1" si="361"/>
        <v>2329.7545028196337</v>
      </c>
      <c r="BI240" s="85">
        <f t="shared" ca="1" si="362"/>
        <v>2127.2378019183652</v>
      </c>
      <c r="BJ240" s="85">
        <f t="shared" ca="1" si="363"/>
        <v>2242.7840765657425</v>
      </c>
      <c r="BK240" s="85">
        <f t="shared" ca="1" si="364"/>
        <v>2197.9865002544461</v>
      </c>
      <c r="BL240" s="85">
        <f t="shared" ca="1" si="365"/>
        <v>2049.9514789644195</v>
      </c>
      <c r="BM240" s="85">
        <f t="shared" ca="1" si="366"/>
        <v>2207.2447747154224</v>
      </c>
      <c r="BN240" s="85">
        <f t="shared" ca="1" si="303"/>
        <v>2528.7498827115651</v>
      </c>
      <c r="BO240" s="85">
        <f t="shared" ca="1" si="392"/>
        <v>2671.4851835776471</v>
      </c>
      <c r="BP240" s="85">
        <f t="shared" ca="1" si="393"/>
        <v>2218.6235198567942</v>
      </c>
      <c r="BQ240" s="85">
        <f t="shared" ca="1" si="394"/>
        <v>2455.9180770550784</v>
      </c>
      <c r="BR240" s="85">
        <f t="shared" ca="1" si="395"/>
        <v>2057.5558691664937</v>
      </c>
      <c r="BS240" s="85">
        <f t="shared" ca="1" si="396"/>
        <v>2431.3682035186566</v>
      </c>
      <c r="BT240" s="85">
        <f t="shared" ca="1" si="397"/>
        <v>2769.3101188150358</v>
      </c>
      <c r="BU240" s="85">
        <f t="shared" ca="1" si="398"/>
        <v>2009.0608770661722</v>
      </c>
      <c r="BV240" s="85">
        <f t="shared" ca="1" si="399"/>
        <v>2204.5740893295042</v>
      </c>
      <c r="BW240" s="85">
        <f t="shared" ca="1" si="400"/>
        <v>2491.9377031849708</v>
      </c>
      <c r="BX240" s="85">
        <f t="shared" ca="1" si="401"/>
        <v>2639.328180812829</v>
      </c>
      <c r="BY240" s="85">
        <f t="shared" ca="1" si="367"/>
        <v>2050.6813610887793</v>
      </c>
      <c r="BZ240" s="85">
        <f t="shared" ca="1" si="368"/>
        <v>2224.9911848059164</v>
      </c>
      <c r="CA240" s="85">
        <f t="shared" ca="1" si="369"/>
        <v>2403.9963162916447</v>
      </c>
      <c r="CB240" s="85">
        <f t="shared" ca="1" si="370"/>
        <v>2217.8333157352095</v>
      </c>
      <c r="CC240" s="85">
        <f t="shared" ca="1" si="371"/>
        <v>2534.6471447884633</v>
      </c>
      <c r="CD240" s="85">
        <f t="shared" ca="1" si="372"/>
        <v>2558.2639422214993</v>
      </c>
      <c r="CE240" s="85">
        <f t="shared" ca="1" si="373"/>
        <v>2233.912019741756</v>
      </c>
      <c r="CF240" s="85">
        <f t="shared" ca="1" si="374"/>
        <v>2647.635761724061</v>
      </c>
      <c r="CG240" s="85">
        <f t="shared" ca="1" si="375"/>
        <v>1872.0130735053363</v>
      </c>
      <c r="CH240" s="85">
        <f t="shared" ca="1" si="376"/>
        <v>2326.8208361737911</v>
      </c>
      <c r="CI240" s="85">
        <f t="shared" ca="1" si="377"/>
        <v>2004.1256284695089</v>
      </c>
      <c r="CJ240" s="85">
        <f t="shared" ca="1" si="378"/>
        <v>2027.7324401494304</v>
      </c>
      <c r="CK240" s="85">
        <f t="shared" ca="1" si="379"/>
        <v>2249.9983895610903</v>
      </c>
      <c r="CL240" s="85">
        <f t="shared" ca="1" si="380"/>
        <v>2122.643772022408</v>
      </c>
      <c r="CM240" s="85">
        <f t="shared" ca="1" si="381"/>
        <v>2679.3598170363798</v>
      </c>
      <c r="CN240" s="85">
        <f t="shared" ca="1" si="382"/>
        <v>1869.5462278551474</v>
      </c>
      <c r="CO240" s="85">
        <f t="shared" ca="1" si="383"/>
        <v>2090.8615679117634</v>
      </c>
      <c r="CP240" s="85">
        <f t="shared" ca="1" si="384"/>
        <v>2460.9508668924059</v>
      </c>
      <c r="CQ240" s="85">
        <f t="shared" ca="1" si="385"/>
        <v>2337.262523420075</v>
      </c>
      <c r="CR240" s="85">
        <f t="shared" ca="1" si="386"/>
        <v>2368.3983390363055</v>
      </c>
      <c r="CS240" s="85">
        <f t="shared" ca="1" si="387"/>
        <v>1855.1445133432749</v>
      </c>
      <c r="CT240" s="85">
        <f t="shared" ca="1" si="388"/>
        <v>2209.7400861036249</v>
      </c>
      <c r="CU240" s="85">
        <f t="shared" ca="1" si="389"/>
        <v>2794.8493871063079</v>
      </c>
      <c r="CV240" s="85">
        <f t="shared" ca="1" si="390"/>
        <v>2093.3532846327798</v>
      </c>
      <c r="CW240" s="85">
        <f t="shared" ca="1" si="391"/>
        <v>2305.4036872193506</v>
      </c>
    </row>
    <row r="241" spans="1:101" x14ac:dyDescent="0.2">
      <c r="A241" s="115">
        <v>238</v>
      </c>
      <c r="B241" s="85">
        <f t="shared" ca="1" si="302"/>
        <v>1800.21301189214</v>
      </c>
      <c r="C241" s="85">
        <f t="shared" ca="1" si="304"/>
        <v>2317.5227688963564</v>
      </c>
      <c r="D241" s="85">
        <f t="shared" ca="1" si="305"/>
        <v>2305.0637440157348</v>
      </c>
      <c r="E241" s="85">
        <f t="shared" ca="1" si="306"/>
        <v>1934.0819160511076</v>
      </c>
      <c r="F241" s="85">
        <f t="shared" ca="1" si="307"/>
        <v>2229.3015315927973</v>
      </c>
      <c r="G241" s="85">
        <f t="shared" ca="1" si="308"/>
        <v>2337.8778713743927</v>
      </c>
      <c r="H241" s="85">
        <f t="shared" ca="1" si="309"/>
        <v>2368.829443251856</v>
      </c>
      <c r="I241" s="85">
        <f t="shared" ca="1" si="310"/>
        <v>2546.3917656953845</v>
      </c>
      <c r="J241" s="85">
        <f t="shared" ca="1" si="311"/>
        <v>2183.755964230239</v>
      </c>
      <c r="K241" s="85">
        <f t="shared" ca="1" si="312"/>
        <v>2444.945784531847</v>
      </c>
      <c r="L241" s="85">
        <f t="shared" ca="1" si="313"/>
        <v>2609.2130769625201</v>
      </c>
      <c r="M241" s="85">
        <f t="shared" ca="1" si="314"/>
        <v>2050.5674778879743</v>
      </c>
      <c r="N241" s="85">
        <f t="shared" ca="1" si="315"/>
        <v>2231.2743735166177</v>
      </c>
      <c r="O241" s="85">
        <f t="shared" ca="1" si="316"/>
        <v>2385.2534643712356</v>
      </c>
      <c r="P241" s="85">
        <f t="shared" ca="1" si="317"/>
        <v>2410.8373285959237</v>
      </c>
      <c r="Q241" s="85">
        <f t="shared" ca="1" si="318"/>
        <v>2613.3139947034024</v>
      </c>
      <c r="R241" s="85">
        <f t="shared" ca="1" si="319"/>
        <v>2204.6350364877189</v>
      </c>
      <c r="S241" s="85">
        <f t="shared" ca="1" si="320"/>
        <v>2525.2904890680934</v>
      </c>
      <c r="T241" s="85">
        <f t="shared" ca="1" si="321"/>
        <v>2305.9183880685514</v>
      </c>
      <c r="U241" s="85">
        <f t="shared" ca="1" si="322"/>
        <v>2112.5032867558211</v>
      </c>
      <c r="V241" s="85">
        <f t="shared" ca="1" si="323"/>
        <v>2726.8157252778856</v>
      </c>
      <c r="W241" s="85">
        <f t="shared" ca="1" si="324"/>
        <v>2174.1588550238507</v>
      </c>
      <c r="X241" s="85">
        <f t="shared" ca="1" si="325"/>
        <v>2497.1114816752961</v>
      </c>
      <c r="Y241" s="85">
        <f t="shared" ca="1" si="326"/>
        <v>2243.0485556914637</v>
      </c>
      <c r="Z241" s="85">
        <f t="shared" ca="1" si="327"/>
        <v>2427.2219021944265</v>
      </c>
      <c r="AA241" s="85">
        <f t="shared" ca="1" si="328"/>
        <v>1986.4163396034737</v>
      </c>
      <c r="AB241" s="85">
        <f t="shared" ca="1" si="329"/>
        <v>2637.4911173346545</v>
      </c>
      <c r="AC241" s="85">
        <f t="shared" ca="1" si="330"/>
        <v>2461.7827455651595</v>
      </c>
      <c r="AD241" s="85">
        <f t="shared" ca="1" si="331"/>
        <v>2517.4159400597991</v>
      </c>
      <c r="AE241" s="85">
        <f t="shared" ca="1" si="332"/>
        <v>2955.2816081964957</v>
      </c>
      <c r="AF241" s="85">
        <f t="shared" ca="1" si="333"/>
        <v>1921.4923564746891</v>
      </c>
      <c r="AG241" s="85">
        <f t="shared" ca="1" si="334"/>
        <v>2606.3216795223375</v>
      </c>
      <c r="AH241" s="85">
        <f t="shared" ca="1" si="335"/>
        <v>2273.8333066004893</v>
      </c>
      <c r="AI241" s="85">
        <f t="shared" ca="1" si="336"/>
        <v>2443.4285520363992</v>
      </c>
      <c r="AJ241" s="85">
        <f t="shared" ca="1" si="337"/>
        <v>2558.8027998459347</v>
      </c>
      <c r="AK241" s="85">
        <f t="shared" ca="1" si="338"/>
        <v>2345.1054228721996</v>
      </c>
      <c r="AL241" s="85">
        <f t="shared" ca="1" si="339"/>
        <v>2173.5202766746133</v>
      </c>
      <c r="AM241" s="85">
        <f t="shared" ca="1" si="340"/>
        <v>2316.8737381111305</v>
      </c>
      <c r="AN241" s="85">
        <f t="shared" ca="1" si="341"/>
        <v>2428.1216604353663</v>
      </c>
      <c r="AO241" s="85">
        <f t="shared" ca="1" si="342"/>
        <v>3038.9406191077874</v>
      </c>
      <c r="AP241" s="85">
        <f t="shared" ca="1" si="343"/>
        <v>2542.2154329519985</v>
      </c>
      <c r="AQ241" s="85">
        <f t="shared" ca="1" si="344"/>
        <v>2104.126476376412</v>
      </c>
      <c r="AR241" s="85">
        <f t="shared" ca="1" si="345"/>
        <v>2686.8333631401651</v>
      </c>
      <c r="AS241" s="85">
        <f t="shared" ca="1" si="346"/>
        <v>2193.2992446004573</v>
      </c>
      <c r="AT241" s="85">
        <f t="shared" ca="1" si="347"/>
        <v>2335.4264161468141</v>
      </c>
      <c r="AU241" s="85">
        <f t="shared" ca="1" si="348"/>
        <v>2271.0547476311672</v>
      </c>
      <c r="AV241" s="85">
        <f t="shared" ca="1" si="349"/>
        <v>2540.6029467328412</v>
      </c>
      <c r="AW241" s="85">
        <f t="shared" ca="1" si="350"/>
        <v>2298.9855447342729</v>
      </c>
      <c r="AX241" s="85">
        <f t="shared" ca="1" si="351"/>
        <v>3091.6277244754697</v>
      </c>
      <c r="AY241" s="85">
        <f t="shared" ca="1" si="352"/>
        <v>2807.049472496974</v>
      </c>
      <c r="AZ241" s="85">
        <f t="shared" ca="1" si="353"/>
        <v>2611.006850445744</v>
      </c>
      <c r="BA241" s="85">
        <f t="shared" ca="1" si="354"/>
        <v>2665.0041268631908</v>
      </c>
      <c r="BB241" s="85">
        <f t="shared" ca="1" si="355"/>
        <v>2166.2669762900382</v>
      </c>
      <c r="BC241" s="85">
        <f t="shared" ca="1" si="356"/>
        <v>2700.3587549394856</v>
      </c>
      <c r="BD241" s="85">
        <f t="shared" ca="1" si="357"/>
        <v>2524.6613026347186</v>
      </c>
      <c r="BE241" s="85">
        <f t="shared" ca="1" si="358"/>
        <v>2119.9384690132224</v>
      </c>
      <c r="BF241" s="85">
        <f t="shared" ca="1" si="359"/>
        <v>2000.7452918889608</v>
      </c>
      <c r="BG241" s="85">
        <f t="shared" ca="1" si="360"/>
        <v>1945.6873530078915</v>
      </c>
      <c r="BH241" s="85">
        <f t="shared" ca="1" si="361"/>
        <v>2355.2526908139203</v>
      </c>
      <c r="BI241" s="85">
        <f t="shared" ca="1" si="362"/>
        <v>2156.5353004344342</v>
      </c>
      <c r="BJ241" s="85">
        <f t="shared" ca="1" si="363"/>
        <v>2266.1369276284327</v>
      </c>
      <c r="BK241" s="85">
        <f t="shared" ca="1" si="364"/>
        <v>2219.3709091023184</v>
      </c>
      <c r="BL241" s="85">
        <f t="shared" ca="1" si="365"/>
        <v>2081.6621435164166</v>
      </c>
      <c r="BM241" s="85">
        <f t="shared" ca="1" si="366"/>
        <v>2246.3952115978877</v>
      </c>
      <c r="BN241" s="85">
        <f t="shared" ca="1" si="303"/>
        <v>2561.7466854530412</v>
      </c>
      <c r="BO241" s="85">
        <f t="shared" ca="1" si="392"/>
        <v>2706.7904690848413</v>
      </c>
      <c r="BP241" s="85">
        <f t="shared" ca="1" si="393"/>
        <v>2234.8845227595452</v>
      </c>
      <c r="BQ241" s="85">
        <f t="shared" ca="1" si="394"/>
        <v>2476.402775268898</v>
      </c>
      <c r="BR241" s="85">
        <f t="shared" ca="1" si="395"/>
        <v>2105.9034723785953</v>
      </c>
      <c r="BS241" s="85">
        <f t="shared" ca="1" si="396"/>
        <v>2463.0023700851534</v>
      </c>
      <c r="BT241" s="85">
        <f t="shared" ca="1" si="397"/>
        <v>2798.276335514855</v>
      </c>
      <c r="BU241" s="85">
        <f t="shared" ca="1" si="398"/>
        <v>2040.3630812887898</v>
      </c>
      <c r="BV241" s="85">
        <f t="shared" ca="1" si="399"/>
        <v>2204.3507141059786</v>
      </c>
      <c r="BW241" s="85">
        <f t="shared" ca="1" si="400"/>
        <v>2529.8168631999124</v>
      </c>
      <c r="BX241" s="85">
        <f t="shared" ca="1" si="401"/>
        <v>2681.6190213609784</v>
      </c>
      <c r="BY241" s="85">
        <f t="shared" ca="1" si="367"/>
        <v>2080.7543854715091</v>
      </c>
      <c r="BZ241" s="85">
        <f t="shared" ca="1" si="368"/>
        <v>2245.6832743193318</v>
      </c>
      <c r="CA241" s="85">
        <f t="shared" ca="1" si="369"/>
        <v>2412.7377346957069</v>
      </c>
      <c r="CB241" s="85">
        <f t="shared" ca="1" si="370"/>
        <v>2260.9466620880803</v>
      </c>
      <c r="CC241" s="85">
        <f t="shared" ca="1" si="371"/>
        <v>2570.5400124055318</v>
      </c>
      <c r="CD241" s="85">
        <f t="shared" ca="1" si="372"/>
        <v>2604.4631668060979</v>
      </c>
      <c r="CE241" s="85">
        <f t="shared" ca="1" si="373"/>
        <v>2276.023001825743</v>
      </c>
      <c r="CF241" s="85">
        <f t="shared" ca="1" si="374"/>
        <v>2697.3145788215675</v>
      </c>
      <c r="CG241" s="85">
        <f t="shared" ca="1" si="375"/>
        <v>1907.8522476411158</v>
      </c>
      <c r="CH241" s="85">
        <f t="shared" ca="1" si="376"/>
        <v>2347.9145018808358</v>
      </c>
      <c r="CI241" s="85">
        <f t="shared" ca="1" si="377"/>
        <v>2055.5177882959683</v>
      </c>
      <c r="CJ241" s="85">
        <f t="shared" ca="1" si="378"/>
        <v>2050.1151302087251</v>
      </c>
      <c r="CK241" s="85">
        <f t="shared" ca="1" si="379"/>
        <v>2307.954349485587</v>
      </c>
      <c r="CL241" s="85">
        <f t="shared" ca="1" si="380"/>
        <v>2145.5253569908841</v>
      </c>
      <c r="CM241" s="85">
        <f t="shared" ca="1" si="381"/>
        <v>2664.0323439015465</v>
      </c>
      <c r="CN241" s="85">
        <f t="shared" ca="1" si="382"/>
        <v>1904.0653982278513</v>
      </c>
      <c r="CO241" s="85">
        <f t="shared" ca="1" si="383"/>
        <v>2125.8607341024299</v>
      </c>
      <c r="CP241" s="85">
        <f t="shared" ca="1" si="384"/>
        <v>2468.9086209294451</v>
      </c>
      <c r="CQ241" s="85">
        <f t="shared" ca="1" si="385"/>
        <v>2370.5394297479374</v>
      </c>
      <c r="CR241" s="85">
        <f t="shared" ca="1" si="386"/>
        <v>2425.0730901559141</v>
      </c>
      <c r="CS241" s="85">
        <f t="shared" ca="1" si="387"/>
        <v>1892.7948605909014</v>
      </c>
      <c r="CT241" s="85">
        <f t="shared" ca="1" si="388"/>
        <v>2243.5355935147395</v>
      </c>
      <c r="CU241" s="85">
        <f t="shared" ca="1" si="389"/>
        <v>2805.9971272261987</v>
      </c>
      <c r="CV241" s="85">
        <f t="shared" ca="1" si="390"/>
        <v>2131.7649526114064</v>
      </c>
      <c r="CW241" s="85">
        <f t="shared" ca="1" si="391"/>
        <v>2359.832640478447</v>
      </c>
    </row>
    <row r="242" spans="1:101" x14ac:dyDescent="0.2">
      <c r="A242" s="115">
        <v>239</v>
      </c>
      <c r="B242" s="85">
        <f t="shared" ca="1" si="302"/>
        <v>1826.3611631627791</v>
      </c>
      <c r="C242" s="85">
        <f t="shared" ca="1" si="304"/>
        <v>2353.6054222081771</v>
      </c>
      <c r="D242" s="85">
        <f t="shared" ca="1" si="305"/>
        <v>2344.6075655871491</v>
      </c>
      <c r="E242" s="85">
        <f t="shared" ca="1" si="306"/>
        <v>1949.1881690951932</v>
      </c>
      <c r="F242" s="85">
        <f t="shared" ca="1" si="307"/>
        <v>2272.1795821318019</v>
      </c>
      <c r="G242" s="85">
        <f t="shared" ca="1" si="308"/>
        <v>2376.3946727040752</v>
      </c>
      <c r="H242" s="85">
        <f t="shared" ca="1" si="309"/>
        <v>2407.2790248072656</v>
      </c>
      <c r="I242" s="85">
        <f t="shared" ca="1" si="310"/>
        <v>2594.4390372110438</v>
      </c>
      <c r="J242" s="85">
        <f t="shared" ca="1" si="311"/>
        <v>2217.427438244013</v>
      </c>
      <c r="K242" s="85">
        <f t="shared" ca="1" si="312"/>
        <v>2456.6197374052886</v>
      </c>
      <c r="L242" s="85">
        <f t="shared" ca="1" si="313"/>
        <v>2661.6702996918302</v>
      </c>
      <c r="M242" s="85">
        <f t="shared" ca="1" si="314"/>
        <v>2069.7404666497227</v>
      </c>
      <c r="N242" s="85">
        <f t="shared" ca="1" si="315"/>
        <v>2271.0368239372197</v>
      </c>
      <c r="O242" s="85">
        <f t="shared" ca="1" si="316"/>
        <v>2424.3098110291962</v>
      </c>
      <c r="P242" s="85">
        <f t="shared" ca="1" si="317"/>
        <v>2431.6417199934158</v>
      </c>
      <c r="Q242" s="85">
        <f t="shared" ca="1" si="318"/>
        <v>2649.3047013521509</v>
      </c>
      <c r="R242" s="85">
        <f t="shared" ca="1" si="319"/>
        <v>2204.4538600155197</v>
      </c>
      <c r="S242" s="85">
        <f t="shared" ca="1" si="320"/>
        <v>2552.4456978001926</v>
      </c>
      <c r="T242" s="85">
        <f t="shared" ca="1" si="321"/>
        <v>2334.8875477514794</v>
      </c>
      <c r="U242" s="85">
        <f t="shared" ca="1" si="322"/>
        <v>2113.2418389021263</v>
      </c>
      <c r="V242" s="85">
        <f t="shared" ca="1" si="323"/>
        <v>2790.8985636769398</v>
      </c>
      <c r="W242" s="85">
        <f t="shared" ca="1" si="324"/>
        <v>2215.681915038675</v>
      </c>
      <c r="X242" s="85">
        <f t="shared" ca="1" si="325"/>
        <v>2541.1614481319693</v>
      </c>
      <c r="Y242" s="85">
        <f t="shared" ca="1" si="326"/>
        <v>2247.2603057217584</v>
      </c>
      <c r="Z242" s="85">
        <f t="shared" ca="1" si="327"/>
        <v>2483.0117078044686</v>
      </c>
      <c r="AA242" s="85">
        <f t="shared" ca="1" si="328"/>
        <v>2030.7712032045958</v>
      </c>
      <c r="AB242" s="85">
        <f t="shared" ca="1" si="329"/>
        <v>2677.2425628320525</v>
      </c>
      <c r="AC242" s="85">
        <f t="shared" ca="1" si="330"/>
        <v>2502.8305078253511</v>
      </c>
      <c r="AD242" s="85">
        <f t="shared" ca="1" si="331"/>
        <v>2522.6918630217128</v>
      </c>
      <c r="AE242" s="85">
        <f t="shared" ca="1" si="332"/>
        <v>2969.8549845540774</v>
      </c>
      <c r="AF242" s="85">
        <f t="shared" ca="1" si="333"/>
        <v>1912.4242797884947</v>
      </c>
      <c r="AG242" s="85">
        <f t="shared" ca="1" si="334"/>
        <v>2615.905577411786</v>
      </c>
      <c r="AH242" s="85">
        <f t="shared" ca="1" si="335"/>
        <v>2305.7611075372333</v>
      </c>
      <c r="AI242" s="85">
        <f t="shared" ca="1" si="336"/>
        <v>2493.2180349926025</v>
      </c>
      <c r="AJ242" s="85">
        <f t="shared" ca="1" si="337"/>
        <v>2597.4403344397474</v>
      </c>
      <c r="AK242" s="85">
        <f t="shared" ca="1" si="338"/>
        <v>2366.2253784189288</v>
      </c>
      <c r="AL242" s="85">
        <f t="shared" ca="1" si="339"/>
        <v>2204.2587050671696</v>
      </c>
      <c r="AM242" s="85">
        <f t="shared" ca="1" si="340"/>
        <v>2354.3457381180092</v>
      </c>
      <c r="AN242" s="85">
        <f t="shared" ca="1" si="341"/>
        <v>2464.9251174334136</v>
      </c>
      <c r="AO242" s="85">
        <f t="shared" ca="1" si="342"/>
        <v>3072.5289159773893</v>
      </c>
      <c r="AP242" s="85">
        <f t="shared" ca="1" si="343"/>
        <v>2576.4800827096456</v>
      </c>
      <c r="AQ242" s="85">
        <f t="shared" ca="1" si="344"/>
        <v>2130.7213520047012</v>
      </c>
      <c r="AR242" s="85">
        <f t="shared" ca="1" si="345"/>
        <v>2732.7824330976646</v>
      </c>
      <c r="AS242" s="85">
        <f t="shared" ca="1" si="346"/>
        <v>2219.6966557213286</v>
      </c>
      <c r="AT242" s="85">
        <f t="shared" ca="1" si="347"/>
        <v>2384.788152939353</v>
      </c>
      <c r="AU242" s="85">
        <f t="shared" ca="1" si="348"/>
        <v>2291.5038875078781</v>
      </c>
      <c r="AV242" s="85">
        <f t="shared" ca="1" si="349"/>
        <v>2565.1859044350131</v>
      </c>
      <c r="AW242" s="85">
        <f t="shared" ca="1" si="350"/>
        <v>2322.4952708524675</v>
      </c>
      <c r="AX242" s="85">
        <f t="shared" ca="1" si="351"/>
        <v>3104.7641360469011</v>
      </c>
      <c r="AY242" s="85">
        <f t="shared" ca="1" si="352"/>
        <v>2848.5010819180752</v>
      </c>
      <c r="AZ242" s="85">
        <f t="shared" ca="1" si="353"/>
        <v>2663.1110694407262</v>
      </c>
      <c r="BA242" s="85">
        <f t="shared" ca="1" si="354"/>
        <v>2672.6689305368632</v>
      </c>
      <c r="BB242" s="85">
        <f t="shared" ca="1" si="355"/>
        <v>2193.6968663499697</v>
      </c>
      <c r="BC242" s="85">
        <f t="shared" ca="1" si="356"/>
        <v>2719.255720261061</v>
      </c>
      <c r="BD242" s="85">
        <f t="shared" ca="1" si="357"/>
        <v>2546.5285225102775</v>
      </c>
      <c r="BE242" s="85">
        <f t="shared" ca="1" si="358"/>
        <v>2169.8129494885579</v>
      </c>
      <c r="BF242" s="85">
        <f t="shared" ca="1" si="359"/>
        <v>2019.1924590442868</v>
      </c>
      <c r="BG242" s="85">
        <f t="shared" ca="1" si="360"/>
        <v>1946.471898503147</v>
      </c>
      <c r="BH242" s="85">
        <f t="shared" ca="1" si="361"/>
        <v>2375.1690066683627</v>
      </c>
      <c r="BI242" s="85">
        <f t="shared" ca="1" si="362"/>
        <v>2187.1424939569447</v>
      </c>
      <c r="BJ242" s="85">
        <f t="shared" ca="1" si="363"/>
        <v>2312.5603564171524</v>
      </c>
      <c r="BK242" s="85">
        <f t="shared" ca="1" si="364"/>
        <v>2255.3902043639878</v>
      </c>
      <c r="BL242" s="85">
        <f t="shared" ca="1" si="365"/>
        <v>2123.7638227667326</v>
      </c>
      <c r="BM242" s="85">
        <f t="shared" ca="1" si="366"/>
        <v>2275.1870013055964</v>
      </c>
      <c r="BN242" s="85">
        <f t="shared" ca="1" si="303"/>
        <v>2627.7778046892772</v>
      </c>
      <c r="BO242" s="85">
        <f t="shared" ca="1" si="392"/>
        <v>2751.7112983515785</v>
      </c>
      <c r="BP242" s="85">
        <f t="shared" ca="1" si="393"/>
        <v>2267.0939682915141</v>
      </c>
      <c r="BQ242" s="85">
        <f t="shared" ca="1" si="394"/>
        <v>2517.4902498941833</v>
      </c>
      <c r="BR242" s="85">
        <f t="shared" ca="1" si="395"/>
        <v>2116.7420797834584</v>
      </c>
      <c r="BS242" s="85">
        <f t="shared" ca="1" si="396"/>
        <v>2484.9707985458581</v>
      </c>
      <c r="BT242" s="85">
        <f t="shared" ca="1" si="397"/>
        <v>2849.5887522941125</v>
      </c>
      <c r="BU242" s="85">
        <f t="shared" ca="1" si="398"/>
        <v>2080.6839295925956</v>
      </c>
      <c r="BV242" s="85">
        <f t="shared" ca="1" si="399"/>
        <v>2248.0359356226359</v>
      </c>
      <c r="BW242" s="85">
        <f t="shared" ca="1" si="400"/>
        <v>2558.2279343167679</v>
      </c>
      <c r="BX242" s="85">
        <f t="shared" ca="1" si="401"/>
        <v>2697.2641055052086</v>
      </c>
      <c r="BY242" s="85">
        <f t="shared" ca="1" si="367"/>
        <v>2120.6374986326055</v>
      </c>
      <c r="BZ242" s="85">
        <f t="shared" ca="1" si="368"/>
        <v>2294.2630694538052</v>
      </c>
      <c r="CA242" s="85">
        <f t="shared" ca="1" si="369"/>
        <v>2442.4435606155162</v>
      </c>
      <c r="CB242" s="85">
        <f t="shared" ca="1" si="370"/>
        <v>2268.53718729408</v>
      </c>
      <c r="CC242" s="85">
        <f t="shared" ca="1" si="371"/>
        <v>2615.9434650199109</v>
      </c>
      <c r="CD242" s="85">
        <f t="shared" ca="1" si="372"/>
        <v>2634.8379624055419</v>
      </c>
      <c r="CE242" s="85">
        <f t="shared" ca="1" si="373"/>
        <v>2296.0974917107201</v>
      </c>
      <c r="CF242" s="85">
        <f t="shared" ca="1" si="374"/>
        <v>2743.5811303326077</v>
      </c>
      <c r="CG242" s="85">
        <f t="shared" ca="1" si="375"/>
        <v>1941.9498535368054</v>
      </c>
      <c r="CH242" s="85">
        <f t="shared" ca="1" si="376"/>
        <v>2406.9556174265217</v>
      </c>
      <c r="CI242" s="85">
        <f t="shared" ca="1" si="377"/>
        <v>2101.6269185927817</v>
      </c>
      <c r="CJ242" s="85">
        <f t="shared" ca="1" si="378"/>
        <v>2068.9142848881515</v>
      </c>
      <c r="CK242" s="85">
        <f t="shared" ca="1" si="379"/>
        <v>2344.3608746748928</v>
      </c>
      <c r="CL242" s="85">
        <f t="shared" ca="1" si="380"/>
        <v>2175.2619148995154</v>
      </c>
      <c r="CM242" s="85">
        <f t="shared" ca="1" si="381"/>
        <v>2695.601705685001</v>
      </c>
      <c r="CN242" s="85">
        <f t="shared" ca="1" si="382"/>
        <v>1952.7340541115711</v>
      </c>
      <c r="CO242" s="85">
        <f t="shared" ca="1" si="383"/>
        <v>2185.9968975465863</v>
      </c>
      <c r="CP242" s="85">
        <f t="shared" ca="1" si="384"/>
        <v>2512.4279628970553</v>
      </c>
      <c r="CQ242" s="85">
        <f t="shared" ca="1" si="385"/>
        <v>2384.0824987398855</v>
      </c>
      <c r="CR242" s="85">
        <f t="shared" ca="1" si="386"/>
        <v>2443.5302788865301</v>
      </c>
      <c r="CS242" s="85">
        <f t="shared" ca="1" si="387"/>
        <v>1914.7696176968097</v>
      </c>
      <c r="CT242" s="85">
        <f t="shared" ca="1" si="388"/>
        <v>2256.9282343876098</v>
      </c>
      <c r="CU242" s="85">
        <f t="shared" ca="1" si="389"/>
        <v>2846.6460529238707</v>
      </c>
      <c r="CV242" s="85">
        <f t="shared" ca="1" si="390"/>
        <v>2156.7090211839877</v>
      </c>
      <c r="CW242" s="85">
        <f t="shared" ca="1" si="391"/>
        <v>2399.7495409662474</v>
      </c>
    </row>
    <row r="243" spans="1:101" x14ac:dyDescent="0.2">
      <c r="A243" s="115">
        <v>240</v>
      </c>
      <c r="B243" s="85">
        <f t="shared" ca="1" si="302"/>
        <v>1841.5336157382283</v>
      </c>
      <c r="C243" s="85">
        <f t="shared" ca="1" si="304"/>
        <v>2398.1193858684078</v>
      </c>
      <c r="D243" s="85">
        <f t="shared" ca="1" si="305"/>
        <v>2376.0627384049826</v>
      </c>
      <c r="E243" s="85">
        <f t="shared" ca="1" si="306"/>
        <v>1958.7250859840651</v>
      </c>
      <c r="F243" s="85">
        <f t="shared" ca="1" si="307"/>
        <v>2320.7342598917617</v>
      </c>
      <c r="G243" s="85">
        <f t="shared" ca="1" si="308"/>
        <v>2422.3339114914993</v>
      </c>
      <c r="H243" s="85">
        <f t="shared" ca="1" si="309"/>
        <v>2384.691700172561</v>
      </c>
      <c r="I243" s="85">
        <f t="shared" ca="1" si="310"/>
        <v>2588.5073911692011</v>
      </c>
      <c r="J243" s="85">
        <f t="shared" ca="1" si="311"/>
        <v>2214.3866864608153</v>
      </c>
      <c r="K243" s="85">
        <f t="shared" ca="1" si="312"/>
        <v>2499.6256383618334</v>
      </c>
      <c r="L243" s="85">
        <f t="shared" ca="1" si="313"/>
        <v>2706.2713673344251</v>
      </c>
      <c r="M243" s="85">
        <f t="shared" ca="1" si="314"/>
        <v>2099.8221849158085</v>
      </c>
      <c r="N243" s="85">
        <f t="shared" ca="1" si="315"/>
        <v>2291.4881058825667</v>
      </c>
      <c r="O243" s="85">
        <f t="shared" ca="1" si="316"/>
        <v>2458.9094279081819</v>
      </c>
      <c r="P243" s="85">
        <f t="shared" ca="1" si="317"/>
        <v>2474.5418525985374</v>
      </c>
      <c r="Q243" s="85">
        <f t="shared" ca="1" si="318"/>
        <v>2679.6305848233883</v>
      </c>
      <c r="R243" s="85">
        <f t="shared" ca="1" si="319"/>
        <v>2250.4605784620253</v>
      </c>
      <c r="S243" s="85">
        <f t="shared" ca="1" si="320"/>
        <v>2576.3551513054686</v>
      </c>
      <c r="T243" s="85">
        <f t="shared" ca="1" si="321"/>
        <v>2389.4978748121121</v>
      </c>
      <c r="U243" s="85">
        <f t="shared" ca="1" si="322"/>
        <v>2150.6014586571555</v>
      </c>
      <c r="V243" s="85">
        <f t="shared" ca="1" si="323"/>
        <v>2841.8756732739416</v>
      </c>
      <c r="W243" s="85">
        <f t="shared" ca="1" si="324"/>
        <v>2241.941526527949</v>
      </c>
      <c r="X243" s="85">
        <f t="shared" ca="1" si="325"/>
        <v>2562.0397607813388</v>
      </c>
      <c r="Y243" s="85">
        <f t="shared" ca="1" si="326"/>
        <v>2258.8715933546991</v>
      </c>
      <c r="Z243" s="85">
        <f t="shared" ca="1" si="327"/>
        <v>2499.2790214911583</v>
      </c>
      <c r="AA243" s="85">
        <f t="shared" ca="1" si="328"/>
        <v>2029.9644850105674</v>
      </c>
      <c r="AB243" s="85">
        <f t="shared" ca="1" si="329"/>
        <v>2742.0524064008928</v>
      </c>
      <c r="AC243" s="85">
        <f t="shared" ca="1" si="330"/>
        <v>2531.8017737284722</v>
      </c>
      <c r="AD243" s="85">
        <f t="shared" ca="1" si="331"/>
        <v>2564.5340485682659</v>
      </c>
      <c r="AE243" s="85">
        <f t="shared" ca="1" si="332"/>
        <v>2998.2558864608427</v>
      </c>
      <c r="AF243" s="85">
        <f t="shared" ca="1" si="333"/>
        <v>1934.7474568753642</v>
      </c>
      <c r="AG243" s="85">
        <f t="shared" ca="1" si="334"/>
        <v>2654.6982433499184</v>
      </c>
      <c r="AH243" s="85">
        <f t="shared" ca="1" si="335"/>
        <v>2344.0665766122884</v>
      </c>
      <c r="AI243" s="85">
        <f t="shared" ca="1" si="336"/>
        <v>2537.1960257191458</v>
      </c>
      <c r="AJ243" s="85">
        <f t="shared" ca="1" si="337"/>
        <v>2622.7209609133147</v>
      </c>
      <c r="AK243" s="85">
        <f t="shared" ca="1" si="338"/>
        <v>2401.7633316680713</v>
      </c>
      <c r="AL243" s="85">
        <f t="shared" ca="1" si="339"/>
        <v>2235.5994457493007</v>
      </c>
      <c r="AM243" s="85">
        <f t="shared" ca="1" si="340"/>
        <v>2373.2454706160092</v>
      </c>
      <c r="AN243" s="85">
        <f t="shared" ca="1" si="341"/>
        <v>2487.7306927063182</v>
      </c>
      <c r="AO243" s="85">
        <f t="shared" ca="1" si="342"/>
        <v>3114.3370788791358</v>
      </c>
      <c r="AP243" s="85">
        <f t="shared" ca="1" si="343"/>
        <v>2642.2430512013275</v>
      </c>
      <c r="AQ243" s="85">
        <f t="shared" ca="1" si="344"/>
        <v>2147.5837864381133</v>
      </c>
      <c r="AR243" s="85">
        <f t="shared" ca="1" si="345"/>
        <v>2756.2438576834543</v>
      </c>
      <c r="AS243" s="85">
        <f t="shared" ca="1" si="346"/>
        <v>2255.5061133153504</v>
      </c>
      <c r="AT243" s="85">
        <f t="shared" ca="1" si="347"/>
        <v>2407.6139172408189</v>
      </c>
      <c r="AU243" s="85">
        <f t="shared" ca="1" si="348"/>
        <v>2317.9738849975033</v>
      </c>
      <c r="AV243" s="85">
        <f t="shared" ca="1" si="349"/>
        <v>2591.722239665723</v>
      </c>
      <c r="AW243" s="85">
        <f t="shared" ca="1" si="350"/>
        <v>2361.4230516758862</v>
      </c>
      <c r="AX243" s="85">
        <f t="shared" ca="1" si="351"/>
        <v>3149.8326560627379</v>
      </c>
      <c r="AY243" s="85">
        <f t="shared" ca="1" si="352"/>
        <v>2912.2699558456875</v>
      </c>
      <c r="AZ243" s="85">
        <f t="shared" ca="1" si="353"/>
        <v>2687.3113631833671</v>
      </c>
      <c r="BA243" s="85">
        <f t="shared" ca="1" si="354"/>
        <v>2723.8008635104611</v>
      </c>
      <c r="BB243" s="85">
        <f t="shared" ca="1" si="355"/>
        <v>2246.7666260689534</v>
      </c>
      <c r="BC243" s="85">
        <f t="shared" ca="1" si="356"/>
        <v>2801.6988198186114</v>
      </c>
      <c r="BD243" s="85">
        <f t="shared" ca="1" si="357"/>
        <v>2611.2379028011637</v>
      </c>
      <c r="BE243" s="85">
        <f t="shared" ca="1" si="358"/>
        <v>2231.2786512867779</v>
      </c>
      <c r="BF243" s="85">
        <f t="shared" ca="1" si="359"/>
        <v>2041.0445615123913</v>
      </c>
      <c r="BG243" s="85">
        <f t="shared" ca="1" si="360"/>
        <v>1990.1938181800613</v>
      </c>
      <c r="BH243" s="85">
        <f t="shared" ca="1" si="361"/>
        <v>2383.2939512123085</v>
      </c>
      <c r="BI243" s="85">
        <f t="shared" ca="1" si="362"/>
        <v>2199.7478507938049</v>
      </c>
      <c r="BJ243" s="85">
        <f t="shared" ca="1" si="363"/>
        <v>2337.8823224844468</v>
      </c>
      <c r="BK243" s="85">
        <f t="shared" ca="1" si="364"/>
        <v>2311.130179455974</v>
      </c>
      <c r="BL243" s="85">
        <f t="shared" ca="1" si="365"/>
        <v>2166.4950205795722</v>
      </c>
      <c r="BM243" s="85">
        <f t="shared" ca="1" si="366"/>
        <v>2313.5500019463038</v>
      </c>
      <c r="BN243" s="85">
        <f t="shared" ca="1" si="303"/>
        <v>2669.0408095780135</v>
      </c>
      <c r="BO243" s="85">
        <f t="shared" ca="1" si="392"/>
        <v>2814.6104804742859</v>
      </c>
      <c r="BP243" s="85">
        <f t="shared" ca="1" si="393"/>
        <v>2308.3029526841588</v>
      </c>
      <c r="BQ243" s="85">
        <f t="shared" ca="1" si="394"/>
        <v>2542.222116613716</v>
      </c>
      <c r="BR243" s="85">
        <f t="shared" ca="1" si="395"/>
        <v>2130.8872676972323</v>
      </c>
      <c r="BS243" s="85">
        <f t="shared" ca="1" si="396"/>
        <v>2520.5151648216865</v>
      </c>
      <c r="BT243" s="85">
        <f t="shared" ca="1" si="397"/>
        <v>2854.0078620743279</v>
      </c>
      <c r="BU243" s="85">
        <f t="shared" ca="1" si="398"/>
        <v>2097.9280492544722</v>
      </c>
      <c r="BV243" s="85">
        <f t="shared" ca="1" si="399"/>
        <v>2293.4450040727575</v>
      </c>
      <c r="BW243" s="85">
        <f t="shared" ca="1" si="400"/>
        <v>2625.9639582751574</v>
      </c>
      <c r="BX243" s="85">
        <f t="shared" ca="1" si="401"/>
        <v>2732.0689089102389</v>
      </c>
      <c r="BY243" s="85">
        <f t="shared" ca="1" si="367"/>
        <v>2138.7709646983221</v>
      </c>
      <c r="BZ243" s="85">
        <f t="shared" ca="1" si="368"/>
        <v>2325.0707182658161</v>
      </c>
      <c r="CA243" s="85">
        <f t="shared" ca="1" si="369"/>
        <v>2472.5120810655098</v>
      </c>
      <c r="CB243" s="85">
        <f t="shared" ca="1" si="370"/>
        <v>2282.4310906445326</v>
      </c>
      <c r="CC243" s="85">
        <f t="shared" ca="1" si="371"/>
        <v>2615.5377470098715</v>
      </c>
      <c r="CD243" s="85">
        <f t="shared" ca="1" si="372"/>
        <v>2669.7596006514341</v>
      </c>
      <c r="CE243" s="85">
        <f t="shared" ca="1" si="373"/>
        <v>2322.4772668375499</v>
      </c>
      <c r="CF243" s="85">
        <f t="shared" ca="1" si="374"/>
        <v>2784.0262368043773</v>
      </c>
      <c r="CG243" s="85">
        <f t="shared" ca="1" si="375"/>
        <v>1975.5166617565944</v>
      </c>
      <c r="CH243" s="85">
        <f t="shared" ca="1" si="376"/>
        <v>2442.9820717205384</v>
      </c>
      <c r="CI243" s="85">
        <f t="shared" ca="1" si="377"/>
        <v>2106.5487051167133</v>
      </c>
      <c r="CJ243" s="85">
        <f t="shared" ca="1" si="378"/>
        <v>2116.8233202797001</v>
      </c>
      <c r="CK243" s="85">
        <f t="shared" ca="1" si="379"/>
        <v>2361.313056267707</v>
      </c>
      <c r="CL243" s="85">
        <f t="shared" ca="1" si="380"/>
        <v>2211.8178232456721</v>
      </c>
      <c r="CM243" s="85">
        <f t="shared" ca="1" si="381"/>
        <v>2716.3003902522919</v>
      </c>
      <c r="CN243" s="85">
        <f t="shared" ca="1" si="382"/>
        <v>1997.5283282392159</v>
      </c>
      <c r="CO243" s="85">
        <f t="shared" ca="1" si="383"/>
        <v>2237.3751851080901</v>
      </c>
      <c r="CP243" s="85">
        <f t="shared" ca="1" si="384"/>
        <v>2552.3806149262323</v>
      </c>
      <c r="CQ243" s="85">
        <f t="shared" ca="1" si="385"/>
        <v>2388.1448173203175</v>
      </c>
      <c r="CR243" s="85">
        <f t="shared" ca="1" si="386"/>
        <v>2458.8583120612675</v>
      </c>
      <c r="CS243" s="85">
        <f t="shared" ca="1" si="387"/>
        <v>1953.9872276382723</v>
      </c>
      <c r="CT243" s="85">
        <f t="shared" ca="1" si="388"/>
        <v>2277.9538662225286</v>
      </c>
      <c r="CU243" s="85">
        <f t="shared" ca="1" si="389"/>
        <v>2865.3676759763835</v>
      </c>
      <c r="CV243" s="85">
        <f t="shared" ca="1" si="390"/>
        <v>2199.0950617011695</v>
      </c>
      <c r="CW243" s="85">
        <f t="shared" ca="1" si="391"/>
        <v>2443.3374356947979</v>
      </c>
    </row>
    <row r="244" spans="1:101" x14ac:dyDescent="0.2">
      <c r="A244" s="115">
        <v>241</v>
      </c>
      <c r="B244" s="85">
        <f t="shared" ca="1" si="302"/>
        <v>1863.2192185140102</v>
      </c>
      <c r="C244" s="85">
        <f t="shared" ca="1" si="304"/>
        <v>2411.5289312858836</v>
      </c>
      <c r="D244" s="85">
        <f t="shared" ca="1" si="305"/>
        <v>2417.5615585076162</v>
      </c>
      <c r="E244" s="85">
        <f t="shared" ca="1" si="306"/>
        <v>1981.4414477266955</v>
      </c>
      <c r="F244" s="85">
        <f t="shared" ca="1" si="307"/>
        <v>2351.5892275001338</v>
      </c>
      <c r="G244" s="85">
        <f t="shared" ca="1" si="308"/>
        <v>2475.5106177954654</v>
      </c>
      <c r="H244" s="85">
        <f t="shared" ca="1" si="309"/>
        <v>2426.8203027435998</v>
      </c>
      <c r="I244" s="85">
        <f t="shared" ca="1" si="310"/>
        <v>2612.7736231051213</v>
      </c>
      <c r="J244" s="85">
        <f t="shared" ca="1" si="311"/>
        <v>2228.3725620473488</v>
      </c>
      <c r="K244" s="85">
        <f t="shared" ca="1" si="312"/>
        <v>2517.7841595630712</v>
      </c>
      <c r="L244" s="85">
        <f t="shared" ca="1" si="313"/>
        <v>2766.1064591200052</v>
      </c>
      <c r="M244" s="85">
        <f t="shared" ca="1" si="314"/>
        <v>2139.2669240133159</v>
      </c>
      <c r="N244" s="85">
        <f t="shared" ca="1" si="315"/>
        <v>2337.8809174752073</v>
      </c>
      <c r="O244" s="85">
        <f t="shared" ca="1" si="316"/>
        <v>2482.7603763448319</v>
      </c>
      <c r="P244" s="85">
        <f t="shared" ca="1" si="317"/>
        <v>2528.3010384206841</v>
      </c>
      <c r="Q244" s="85">
        <f t="shared" ca="1" si="318"/>
        <v>2716.4568337093115</v>
      </c>
      <c r="R244" s="85">
        <f t="shared" ca="1" si="319"/>
        <v>2277.8592923233505</v>
      </c>
      <c r="S244" s="85">
        <f t="shared" ca="1" si="320"/>
        <v>2585.1022204257574</v>
      </c>
      <c r="T244" s="85">
        <f t="shared" ca="1" si="321"/>
        <v>2401.1269823235739</v>
      </c>
      <c r="U244" s="85">
        <f t="shared" ca="1" si="322"/>
        <v>2143.2055663620345</v>
      </c>
      <c r="V244" s="85">
        <f t="shared" ca="1" si="323"/>
        <v>2892.9537186360271</v>
      </c>
      <c r="W244" s="85">
        <f t="shared" ca="1" si="324"/>
        <v>2248.5008678047925</v>
      </c>
      <c r="X244" s="85">
        <f t="shared" ca="1" si="325"/>
        <v>2603.7367895367574</v>
      </c>
      <c r="Y244" s="85">
        <f t="shared" ca="1" si="326"/>
        <v>2296.8417227297264</v>
      </c>
      <c r="Z244" s="85">
        <f t="shared" ca="1" si="327"/>
        <v>2533.3221194530829</v>
      </c>
      <c r="AA244" s="85">
        <f t="shared" ca="1" si="328"/>
        <v>2060.5670068872873</v>
      </c>
      <c r="AB244" s="85">
        <f t="shared" ca="1" si="329"/>
        <v>2760.593057788747</v>
      </c>
      <c r="AC244" s="85">
        <f t="shared" ca="1" si="330"/>
        <v>2606.3986053234003</v>
      </c>
      <c r="AD244" s="85">
        <f t="shared" ca="1" si="331"/>
        <v>2591.2050416773177</v>
      </c>
      <c r="AE244" s="85">
        <f t="shared" ca="1" si="332"/>
        <v>3041.360062661251</v>
      </c>
      <c r="AF244" s="85">
        <f t="shared" ca="1" si="333"/>
        <v>1972.5765105400069</v>
      </c>
      <c r="AG244" s="85">
        <f t="shared" ca="1" si="334"/>
        <v>2658.9226525145687</v>
      </c>
      <c r="AH244" s="85">
        <f t="shared" ca="1" si="335"/>
        <v>2357.1114100059449</v>
      </c>
      <c r="AI244" s="85">
        <f t="shared" ca="1" si="336"/>
        <v>2570.1800677657843</v>
      </c>
      <c r="AJ244" s="85">
        <f t="shared" ca="1" si="337"/>
        <v>2634.3285628345593</v>
      </c>
      <c r="AK244" s="85">
        <f t="shared" ca="1" si="338"/>
        <v>2416.0460742353571</v>
      </c>
      <c r="AL244" s="85">
        <f t="shared" ca="1" si="339"/>
        <v>2280.8186022833374</v>
      </c>
      <c r="AM244" s="85">
        <f t="shared" ca="1" si="340"/>
        <v>2389.6813470736556</v>
      </c>
      <c r="AN244" s="85">
        <f t="shared" ca="1" si="341"/>
        <v>2524.1564208329446</v>
      </c>
      <c r="AO244" s="85">
        <f t="shared" ca="1" si="342"/>
        <v>3133.6072664492913</v>
      </c>
      <c r="AP244" s="85">
        <f t="shared" ca="1" si="343"/>
        <v>2665.8806009091804</v>
      </c>
      <c r="AQ244" s="85">
        <f t="shared" ca="1" si="344"/>
        <v>2151.6359700654261</v>
      </c>
      <c r="AR244" s="85">
        <f t="shared" ca="1" si="345"/>
        <v>2795.8957228001009</v>
      </c>
      <c r="AS244" s="85">
        <f t="shared" ca="1" si="346"/>
        <v>2282.216991255656</v>
      </c>
      <c r="AT244" s="85">
        <f t="shared" ca="1" si="347"/>
        <v>2440.5086877058729</v>
      </c>
      <c r="AU244" s="85">
        <f t="shared" ca="1" si="348"/>
        <v>2329.7766192933427</v>
      </c>
      <c r="AV244" s="85">
        <f t="shared" ca="1" si="349"/>
        <v>2638.1761752234293</v>
      </c>
      <c r="AW244" s="85">
        <f t="shared" ca="1" si="350"/>
        <v>2385.3124193824697</v>
      </c>
      <c r="AX244" s="85">
        <f t="shared" ca="1" si="351"/>
        <v>3157.759508787713</v>
      </c>
      <c r="AY244" s="85">
        <f t="shared" ca="1" si="352"/>
        <v>2981.7818557885785</v>
      </c>
      <c r="AZ244" s="85">
        <f t="shared" ca="1" si="353"/>
        <v>2737.9734552452696</v>
      </c>
      <c r="BA244" s="85">
        <f t="shared" ca="1" si="354"/>
        <v>2747.2547237249541</v>
      </c>
      <c r="BB244" s="85">
        <f t="shared" ca="1" si="355"/>
        <v>2289.7611304569455</v>
      </c>
      <c r="BC244" s="85">
        <f t="shared" ca="1" si="356"/>
        <v>2840.2053076716861</v>
      </c>
      <c r="BD244" s="85">
        <f t="shared" ca="1" si="357"/>
        <v>2640.8235090355424</v>
      </c>
      <c r="BE244" s="85">
        <f t="shared" ca="1" si="358"/>
        <v>2289.8038966351041</v>
      </c>
      <c r="BF244" s="85">
        <f t="shared" ca="1" si="359"/>
        <v>2097.9552444236069</v>
      </c>
      <c r="BG244" s="85">
        <f t="shared" ca="1" si="360"/>
        <v>2018.1329362413935</v>
      </c>
      <c r="BH244" s="85">
        <f t="shared" ca="1" si="361"/>
        <v>2409.1935646044185</v>
      </c>
      <c r="BI244" s="85">
        <f t="shared" ca="1" si="362"/>
        <v>2243.8320506014074</v>
      </c>
      <c r="BJ244" s="85">
        <f t="shared" ca="1" si="363"/>
        <v>2377.8579855909338</v>
      </c>
      <c r="BK244" s="85">
        <f t="shared" ca="1" si="364"/>
        <v>2333.919476100923</v>
      </c>
      <c r="BL244" s="85">
        <f t="shared" ca="1" si="365"/>
        <v>2203.7695855602656</v>
      </c>
      <c r="BM244" s="85">
        <f t="shared" ca="1" si="366"/>
        <v>2349.4068124933569</v>
      </c>
      <c r="BN244" s="85">
        <f t="shared" ca="1" si="303"/>
        <v>2711.0202925327731</v>
      </c>
      <c r="BO244" s="85">
        <f t="shared" ca="1" si="392"/>
        <v>2854.7449396915081</v>
      </c>
      <c r="BP244" s="85">
        <f t="shared" ca="1" si="393"/>
        <v>2328.7508012373337</v>
      </c>
      <c r="BQ244" s="85">
        <f t="shared" ca="1" si="394"/>
        <v>2560.4096887280652</v>
      </c>
      <c r="BR244" s="85">
        <f t="shared" ca="1" si="395"/>
        <v>2161.7993467963051</v>
      </c>
      <c r="BS244" s="85">
        <f t="shared" ca="1" si="396"/>
        <v>2574.3093009657341</v>
      </c>
      <c r="BT244" s="85">
        <f t="shared" ca="1" si="397"/>
        <v>2863.4982237852887</v>
      </c>
      <c r="BU244" s="85">
        <f t="shared" ca="1" si="398"/>
        <v>2101.604030215432</v>
      </c>
      <c r="BV244" s="85">
        <f t="shared" ca="1" si="399"/>
        <v>2305.3264424883632</v>
      </c>
      <c r="BW244" s="85">
        <f t="shared" ca="1" si="400"/>
        <v>2653.2847356530033</v>
      </c>
      <c r="BX244" s="85">
        <f t="shared" ca="1" si="401"/>
        <v>2784.9825092929532</v>
      </c>
      <c r="BY244" s="85">
        <f t="shared" ca="1" si="367"/>
        <v>2155.7147347194095</v>
      </c>
      <c r="BZ244" s="85">
        <f t="shared" ca="1" si="368"/>
        <v>2340.9737336304893</v>
      </c>
      <c r="CA244" s="85">
        <f t="shared" ca="1" si="369"/>
        <v>2510.4053366350208</v>
      </c>
      <c r="CB244" s="85">
        <f t="shared" ca="1" si="370"/>
        <v>2293.8073622057154</v>
      </c>
      <c r="CC244" s="85">
        <f t="shared" ca="1" si="371"/>
        <v>2669.4867616500696</v>
      </c>
      <c r="CD244" s="85">
        <f t="shared" ca="1" si="372"/>
        <v>2726.0152004644679</v>
      </c>
      <c r="CE244" s="85">
        <f t="shared" ca="1" si="373"/>
        <v>2361.8771776448198</v>
      </c>
      <c r="CF244" s="85">
        <f t="shared" ca="1" si="374"/>
        <v>2818.0083030182045</v>
      </c>
      <c r="CG244" s="85">
        <f t="shared" ca="1" si="375"/>
        <v>1998.0631773108394</v>
      </c>
      <c r="CH244" s="85">
        <f t="shared" ca="1" si="376"/>
        <v>2457.3055354472544</v>
      </c>
      <c r="CI244" s="85">
        <f t="shared" ca="1" si="377"/>
        <v>2155.0508184479668</v>
      </c>
      <c r="CJ244" s="85">
        <f t="shared" ca="1" si="378"/>
        <v>2135.6025018631731</v>
      </c>
      <c r="CK244" s="85">
        <f t="shared" ca="1" si="379"/>
        <v>2386.9530856848091</v>
      </c>
      <c r="CL244" s="85">
        <f t="shared" ca="1" si="380"/>
        <v>2248.3985323837042</v>
      </c>
      <c r="CM244" s="85">
        <f t="shared" ca="1" si="381"/>
        <v>2752.9977819203855</v>
      </c>
      <c r="CN244" s="85">
        <f t="shared" ca="1" si="382"/>
        <v>2033.118313159325</v>
      </c>
      <c r="CO244" s="85">
        <f t="shared" ca="1" si="383"/>
        <v>2264.307433007632</v>
      </c>
      <c r="CP244" s="85">
        <f t="shared" ca="1" si="384"/>
        <v>2584.1584189879904</v>
      </c>
      <c r="CQ244" s="85">
        <f t="shared" ca="1" si="385"/>
        <v>2396.2720342681801</v>
      </c>
      <c r="CR244" s="85">
        <f t="shared" ca="1" si="386"/>
        <v>2484.5760450132993</v>
      </c>
      <c r="CS244" s="85">
        <f t="shared" ca="1" si="387"/>
        <v>1970.9951490173082</v>
      </c>
      <c r="CT244" s="85">
        <f t="shared" ca="1" si="388"/>
        <v>2292.7588250083409</v>
      </c>
      <c r="CU244" s="85">
        <f t="shared" ca="1" si="389"/>
        <v>2887.1372917710396</v>
      </c>
      <c r="CV244" s="85">
        <f t="shared" ca="1" si="390"/>
        <v>2244.6969630562357</v>
      </c>
      <c r="CW244" s="85">
        <f t="shared" ca="1" si="391"/>
        <v>2471.0078431544139</v>
      </c>
    </row>
    <row r="245" spans="1:101" x14ac:dyDescent="0.2">
      <c r="A245" s="115">
        <v>242</v>
      </c>
      <c r="B245" s="85">
        <f t="shared" ca="1" si="302"/>
        <v>1891.0261059034642</v>
      </c>
      <c r="C245" s="85">
        <f t="shared" ca="1" si="304"/>
        <v>2416.7383803669118</v>
      </c>
      <c r="D245" s="85">
        <f t="shared" ca="1" si="305"/>
        <v>2454.649534640791</v>
      </c>
      <c r="E245" s="85">
        <f t="shared" ca="1" si="306"/>
        <v>2033.9928877280363</v>
      </c>
      <c r="F245" s="85">
        <f t="shared" ca="1" si="307"/>
        <v>2373.0099730505399</v>
      </c>
      <c r="G245" s="85">
        <f t="shared" ca="1" si="308"/>
        <v>2498.9982292632703</v>
      </c>
      <c r="H245" s="85">
        <f t="shared" ca="1" si="309"/>
        <v>2457.8895702312293</v>
      </c>
      <c r="I245" s="85">
        <f t="shared" ca="1" si="310"/>
        <v>2649.6986769235855</v>
      </c>
      <c r="J245" s="85">
        <f t="shared" ca="1" si="311"/>
        <v>2249.6831459866621</v>
      </c>
      <c r="K245" s="85">
        <f t="shared" ca="1" si="312"/>
        <v>2545.524083529659</v>
      </c>
      <c r="L245" s="85">
        <f t="shared" ca="1" si="313"/>
        <v>2783.4314077461022</v>
      </c>
      <c r="M245" s="85">
        <f t="shared" ca="1" si="314"/>
        <v>2163.2301845548968</v>
      </c>
      <c r="N245" s="85">
        <f t="shared" ca="1" si="315"/>
        <v>2379.6892243507937</v>
      </c>
      <c r="O245" s="85">
        <f t="shared" ca="1" si="316"/>
        <v>2541.7784676326301</v>
      </c>
      <c r="P245" s="85">
        <f t="shared" ca="1" si="317"/>
        <v>2566.921069914119</v>
      </c>
      <c r="Q245" s="85">
        <f t="shared" ca="1" si="318"/>
        <v>2735.3525070335131</v>
      </c>
      <c r="R245" s="85">
        <f t="shared" ca="1" si="319"/>
        <v>2301.8102347885824</v>
      </c>
      <c r="S245" s="85">
        <f t="shared" ca="1" si="320"/>
        <v>2635.3592604043392</v>
      </c>
      <c r="T245" s="85">
        <f t="shared" ca="1" si="321"/>
        <v>2429.9798846968688</v>
      </c>
      <c r="U245" s="85">
        <f t="shared" ca="1" si="322"/>
        <v>2188.4172591976071</v>
      </c>
      <c r="V245" s="85">
        <f t="shared" ca="1" si="323"/>
        <v>2916.3396602203297</v>
      </c>
      <c r="W245" s="85">
        <f t="shared" ca="1" si="324"/>
        <v>2286.2180128812042</v>
      </c>
      <c r="X245" s="85">
        <f t="shared" ca="1" si="325"/>
        <v>2636.4607477212876</v>
      </c>
      <c r="Y245" s="85">
        <f t="shared" ca="1" si="326"/>
        <v>2318.4538192763594</v>
      </c>
      <c r="Z245" s="85">
        <f t="shared" ca="1" si="327"/>
        <v>2596.1045600223715</v>
      </c>
      <c r="AA245" s="85">
        <f t="shared" ca="1" si="328"/>
        <v>2077.5927510978108</v>
      </c>
      <c r="AB245" s="85">
        <f t="shared" ca="1" si="329"/>
        <v>2817.7610996289072</v>
      </c>
      <c r="AC245" s="85">
        <f t="shared" ca="1" si="330"/>
        <v>2629.4743267475874</v>
      </c>
      <c r="AD245" s="85">
        <f t="shared" ca="1" si="331"/>
        <v>2621.9677119237454</v>
      </c>
      <c r="AE245" s="85">
        <f t="shared" ca="1" si="332"/>
        <v>3042.0440013429175</v>
      </c>
      <c r="AF245" s="85">
        <f t="shared" ca="1" si="333"/>
        <v>1998.3110545931881</v>
      </c>
      <c r="AG245" s="85">
        <f t="shared" ca="1" si="334"/>
        <v>2683.9313379215323</v>
      </c>
      <c r="AH245" s="85">
        <f t="shared" ca="1" si="335"/>
        <v>2415.4003919640195</v>
      </c>
      <c r="AI245" s="85">
        <f t="shared" ca="1" si="336"/>
        <v>2623.6216871718161</v>
      </c>
      <c r="AJ245" s="85">
        <f t="shared" ca="1" si="337"/>
        <v>2679.5964993315715</v>
      </c>
      <c r="AK245" s="85">
        <f t="shared" ca="1" si="338"/>
        <v>2467.1640599463753</v>
      </c>
      <c r="AL245" s="85">
        <f t="shared" ca="1" si="339"/>
        <v>2317.9966019359695</v>
      </c>
      <c r="AM245" s="85">
        <f t="shared" ca="1" si="340"/>
        <v>2423.6615705975146</v>
      </c>
      <c r="AN245" s="85">
        <f t="shared" ca="1" si="341"/>
        <v>2543.7540890379241</v>
      </c>
      <c r="AO245" s="85">
        <f t="shared" ca="1" si="342"/>
        <v>3216.1051456185069</v>
      </c>
      <c r="AP245" s="85">
        <f t="shared" ca="1" si="343"/>
        <v>2723.3295566116362</v>
      </c>
      <c r="AQ245" s="85">
        <f t="shared" ca="1" si="344"/>
        <v>2186.4921511120883</v>
      </c>
      <c r="AR245" s="85">
        <f t="shared" ca="1" si="345"/>
        <v>2816.372519682126</v>
      </c>
      <c r="AS245" s="85">
        <f t="shared" ca="1" si="346"/>
        <v>2298.5936530714675</v>
      </c>
      <c r="AT245" s="85">
        <f t="shared" ca="1" si="347"/>
        <v>2474.7167436791683</v>
      </c>
      <c r="AU245" s="85">
        <f t="shared" ca="1" si="348"/>
        <v>2346.4471458151111</v>
      </c>
      <c r="AV245" s="85">
        <f t="shared" ca="1" si="349"/>
        <v>2664.6515106144097</v>
      </c>
      <c r="AW245" s="85">
        <f t="shared" ca="1" si="350"/>
        <v>2413.163140546912</v>
      </c>
      <c r="AX245" s="85">
        <f t="shared" ca="1" si="351"/>
        <v>3189.6101175077511</v>
      </c>
      <c r="AY245" s="85">
        <f t="shared" ca="1" si="352"/>
        <v>3012.7554742264101</v>
      </c>
      <c r="AZ245" s="85">
        <f t="shared" ca="1" si="353"/>
        <v>2769.2807755459958</v>
      </c>
      <c r="BA245" s="85">
        <f t="shared" ca="1" si="354"/>
        <v>2794.1943752152588</v>
      </c>
      <c r="BB245" s="85">
        <f t="shared" ca="1" si="355"/>
        <v>2294.0668552015154</v>
      </c>
      <c r="BC245" s="85">
        <f t="shared" ca="1" si="356"/>
        <v>2899.4868585429126</v>
      </c>
      <c r="BD245" s="85">
        <f t="shared" ca="1" si="357"/>
        <v>2693.5924989491041</v>
      </c>
      <c r="BE245" s="85">
        <f t="shared" ca="1" si="358"/>
        <v>2304.6000322763152</v>
      </c>
      <c r="BF245" s="85">
        <f t="shared" ca="1" si="359"/>
        <v>2157.840400559337</v>
      </c>
      <c r="BG245" s="85">
        <f t="shared" ca="1" si="360"/>
        <v>2023.743611969531</v>
      </c>
      <c r="BH245" s="85">
        <f t="shared" ca="1" si="361"/>
        <v>2453.7080334901179</v>
      </c>
      <c r="BI245" s="85">
        <f t="shared" ca="1" si="362"/>
        <v>2252.1951554076095</v>
      </c>
      <c r="BJ245" s="85">
        <f t="shared" ca="1" si="363"/>
        <v>2403.2222372062847</v>
      </c>
      <c r="BK245" s="85">
        <f t="shared" ca="1" si="364"/>
        <v>2361.2864327949046</v>
      </c>
      <c r="BL245" s="85">
        <f t="shared" ca="1" si="365"/>
        <v>2255.6381747582345</v>
      </c>
      <c r="BM245" s="85">
        <f t="shared" ca="1" si="366"/>
        <v>2371.7887710441069</v>
      </c>
      <c r="BN245" s="85">
        <f t="shared" ca="1" si="303"/>
        <v>2770.4353731894507</v>
      </c>
      <c r="BO245" s="85">
        <f t="shared" ca="1" si="392"/>
        <v>2919.7661202124727</v>
      </c>
      <c r="BP245" s="85">
        <f t="shared" ca="1" si="393"/>
        <v>2358.8110504245628</v>
      </c>
      <c r="BQ245" s="85">
        <f t="shared" ca="1" si="394"/>
        <v>2599.4685725121058</v>
      </c>
      <c r="BR245" s="85">
        <f t="shared" ca="1" si="395"/>
        <v>2189.5766745247342</v>
      </c>
      <c r="BS245" s="85">
        <f t="shared" ca="1" si="396"/>
        <v>2607.5021830394176</v>
      </c>
      <c r="BT245" s="85">
        <f t="shared" ca="1" si="397"/>
        <v>2901.9423118668828</v>
      </c>
      <c r="BU245" s="85">
        <f t="shared" ca="1" si="398"/>
        <v>2112.8939724174575</v>
      </c>
      <c r="BV245" s="85">
        <f t="shared" ca="1" si="399"/>
        <v>2321.7517346159129</v>
      </c>
      <c r="BW245" s="85">
        <f t="shared" ca="1" si="400"/>
        <v>2707.5345384369375</v>
      </c>
      <c r="BX245" s="85">
        <f t="shared" ca="1" si="401"/>
        <v>2839.8168008741759</v>
      </c>
      <c r="BY245" s="85">
        <f t="shared" ca="1" si="367"/>
        <v>2185.5440052497943</v>
      </c>
      <c r="BZ245" s="85">
        <f t="shared" ca="1" si="368"/>
        <v>2355.9769216547265</v>
      </c>
      <c r="CA245" s="85">
        <f t="shared" ca="1" si="369"/>
        <v>2545.7709349589563</v>
      </c>
      <c r="CB245" s="85">
        <f t="shared" ca="1" si="370"/>
        <v>2317.2138403154995</v>
      </c>
      <c r="CC245" s="85">
        <f t="shared" ca="1" si="371"/>
        <v>2684.0629951236656</v>
      </c>
      <c r="CD245" s="85">
        <f t="shared" ca="1" si="372"/>
        <v>2768.420263778924</v>
      </c>
      <c r="CE245" s="85">
        <f t="shared" ca="1" si="373"/>
        <v>2391.2301514529481</v>
      </c>
      <c r="CF245" s="85">
        <f t="shared" ca="1" si="374"/>
        <v>2846.6393807047443</v>
      </c>
      <c r="CG245" s="85">
        <f t="shared" ca="1" si="375"/>
        <v>2024.8229008415576</v>
      </c>
      <c r="CH245" s="85">
        <f t="shared" ca="1" si="376"/>
        <v>2483.3613823691021</v>
      </c>
      <c r="CI245" s="85">
        <f t="shared" ca="1" si="377"/>
        <v>2190.1684452647569</v>
      </c>
      <c r="CJ245" s="85">
        <f t="shared" ca="1" si="378"/>
        <v>2128.0292334244359</v>
      </c>
      <c r="CK245" s="85">
        <f t="shared" ca="1" si="379"/>
        <v>2402.6981537111924</v>
      </c>
      <c r="CL245" s="85">
        <f t="shared" ca="1" si="380"/>
        <v>2279.8110202986882</v>
      </c>
      <c r="CM245" s="85">
        <f t="shared" ca="1" si="381"/>
        <v>2805.9215022740264</v>
      </c>
      <c r="CN245" s="85">
        <f t="shared" ca="1" si="382"/>
        <v>2058.466014825246</v>
      </c>
      <c r="CO245" s="85">
        <f t="shared" ca="1" si="383"/>
        <v>2288.0165041054429</v>
      </c>
      <c r="CP245" s="85">
        <f t="shared" ca="1" si="384"/>
        <v>2623.8937708925778</v>
      </c>
      <c r="CQ245" s="85">
        <f t="shared" ca="1" si="385"/>
        <v>2443.3711508968754</v>
      </c>
      <c r="CR245" s="85">
        <f t="shared" ca="1" si="386"/>
        <v>2510.0454132976884</v>
      </c>
      <c r="CS245" s="85">
        <f t="shared" ca="1" si="387"/>
        <v>2000.3365983727228</v>
      </c>
      <c r="CT245" s="85">
        <f t="shared" ca="1" si="388"/>
        <v>2318.4492812050566</v>
      </c>
      <c r="CU245" s="85">
        <f t="shared" ca="1" si="389"/>
        <v>2908.8652458858082</v>
      </c>
      <c r="CV245" s="85">
        <f t="shared" ca="1" si="390"/>
        <v>2286.4545075999208</v>
      </c>
      <c r="CW245" s="85">
        <f t="shared" ca="1" si="391"/>
        <v>2485.9025996347218</v>
      </c>
    </row>
    <row r="246" spans="1:101" x14ac:dyDescent="0.2">
      <c r="A246" s="115">
        <v>243</v>
      </c>
      <c r="B246" s="85">
        <f t="shared" ca="1" si="302"/>
        <v>1904.2548111253584</v>
      </c>
      <c r="C246" s="85">
        <f t="shared" ca="1" si="304"/>
        <v>2448.308036054435</v>
      </c>
      <c r="D246" s="85">
        <f t="shared" ca="1" si="305"/>
        <v>2480.3639102706152</v>
      </c>
      <c r="E246" s="85">
        <f t="shared" ca="1" si="306"/>
        <v>2053.4027609713526</v>
      </c>
      <c r="F246" s="85">
        <f t="shared" ca="1" si="307"/>
        <v>2422.5611363778744</v>
      </c>
      <c r="G246" s="85">
        <f t="shared" ca="1" si="308"/>
        <v>2499.3406388563376</v>
      </c>
      <c r="H246" s="85">
        <f t="shared" ca="1" si="309"/>
        <v>2499.5432248358597</v>
      </c>
      <c r="I246" s="85">
        <f t="shared" ca="1" si="310"/>
        <v>2680.7457911388306</v>
      </c>
      <c r="J246" s="85">
        <f t="shared" ca="1" si="311"/>
        <v>2285.4045482140532</v>
      </c>
      <c r="K246" s="85">
        <f t="shared" ca="1" si="312"/>
        <v>2578.1673036733746</v>
      </c>
      <c r="L246" s="85">
        <f t="shared" ca="1" si="313"/>
        <v>2833.2984033200596</v>
      </c>
      <c r="M246" s="85">
        <f t="shared" ca="1" si="314"/>
        <v>2175.1459464641653</v>
      </c>
      <c r="N246" s="85">
        <f t="shared" ca="1" si="315"/>
        <v>2424.7551646450438</v>
      </c>
      <c r="O246" s="85">
        <f t="shared" ca="1" si="316"/>
        <v>2589.1188338957941</v>
      </c>
      <c r="P246" s="85">
        <f t="shared" ca="1" si="317"/>
        <v>2571.7097667819721</v>
      </c>
      <c r="Q246" s="85">
        <f t="shared" ca="1" si="318"/>
        <v>2798.1500717210274</v>
      </c>
      <c r="R246" s="85">
        <f t="shared" ca="1" si="319"/>
        <v>2332.2895232531009</v>
      </c>
      <c r="S246" s="85">
        <f t="shared" ca="1" si="320"/>
        <v>2660.8074546729176</v>
      </c>
      <c r="T246" s="85">
        <f t="shared" ca="1" si="321"/>
        <v>2451.6914901726063</v>
      </c>
      <c r="U246" s="85">
        <f t="shared" ca="1" si="322"/>
        <v>2211.1105038709006</v>
      </c>
      <c r="V246" s="85">
        <f t="shared" ca="1" si="323"/>
        <v>2968.6902757329622</v>
      </c>
      <c r="W246" s="85">
        <f t="shared" ca="1" si="324"/>
        <v>2315.3026525086361</v>
      </c>
      <c r="X246" s="85">
        <f t="shared" ca="1" si="325"/>
        <v>2665.8822036792953</v>
      </c>
      <c r="Y246" s="85">
        <f t="shared" ca="1" si="326"/>
        <v>2326.1679643132034</v>
      </c>
      <c r="Z246" s="85">
        <f t="shared" ca="1" si="327"/>
        <v>2611.8825032745572</v>
      </c>
      <c r="AA246" s="85">
        <f t="shared" ca="1" si="328"/>
        <v>2114.7201411347301</v>
      </c>
      <c r="AB246" s="85">
        <f t="shared" ca="1" si="329"/>
        <v>2846.9636332388623</v>
      </c>
      <c r="AC246" s="85">
        <f t="shared" ca="1" si="330"/>
        <v>2670.433071550975</v>
      </c>
      <c r="AD246" s="85">
        <f t="shared" ca="1" si="331"/>
        <v>2644.8683515305229</v>
      </c>
      <c r="AE246" s="85">
        <f t="shared" ca="1" si="332"/>
        <v>3104.1829053107153</v>
      </c>
      <c r="AF246" s="85">
        <f t="shared" ca="1" si="333"/>
        <v>2023.3450721168454</v>
      </c>
      <c r="AG246" s="85">
        <f t="shared" ca="1" si="334"/>
        <v>2757.2731323839521</v>
      </c>
      <c r="AH246" s="85">
        <f t="shared" ca="1" si="335"/>
        <v>2445.5687471539545</v>
      </c>
      <c r="AI246" s="85">
        <f t="shared" ca="1" si="336"/>
        <v>2661.0089836333896</v>
      </c>
      <c r="AJ246" s="85">
        <f t="shared" ca="1" si="337"/>
        <v>2738.7377364598783</v>
      </c>
      <c r="AK246" s="85">
        <f t="shared" ca="1" si="338"/>
        <v>2495.4932549676178</v>
      </c>
      <c r="AL246" s="85">
        <f t="shared" ca="1" si="339"/>
        <v>2363.5439680573136</v>
      </c>
      <c r="AM246" s="85">
        <f t="shared" ca="1" si="340"/>
        <v>2430.8030918984032</v>
      </c>
      <c r="AN246" s="85">
        <f t="shared" ca="1" si="341"/>
        <v>2586.6049876251973</v>
      </c>
      <c r="AO246" s="85">
        <f t="shared" ca="1" si="342"/>
        <v>3244.7287218121351</v>
      </c>
      <c r="AP246" s="85">
        <f t="shared" ca="1" si="343"/>
        <v>2755.0925223839185</v>
      </c>
      <c r="AQ246" s="85">
        <f t="shared" ca="1" si="344"/>
        <v>2228.4039677351998</v>
      </c>
      <c r="AR246" s="85">
        <f t="shared" ca="1" si="345"/>
        <v>2850.1258407296277</v>
      </c>
      <c r="AS246" s="85">
        <f t="shared" ca="1" si="346"/>
        <v>2318.0507704507545</v>
      </c>
      <c r="AT246" s="85">
        <f t="shared" ca="1" si="347"/>
        <v>2493.4339379878284</v>
      </c>
      <c r="AU246" s="85">
        <f t="shared" ca="1" si="348"/>
        <v>2395.0351702029511</v>
      </c>
      <c r="AV246" s="85">
        <f t="shared" ca="1" si="349"/>
        <v>2673.4279667025003</v>
      </c>
      <c r="AW246" s="85">
        <f t="shared" ca="1" si="350"/>
        <v>2437.5301847944997</v>
      </c>
      <c r="AX246" s="85">
        <f t="shared" ca="1" si="351"/>
        <v>3220.8786739318639</v>
      </c>
      <c r="AY246" s="85">
        <f t="shared" ca="1" si="352"/>
        <v>3055.3427000127544</v>
      </c>
      <c r="AZ246" s="85">
        <f t="shared" ca="1" si="353"/>
        <v>2821.1855560139411</v>
      </c>
      <c r="BA246" s="85">
        <f t="shared" ca="1" si="354"/>
        <v>2839.4871148036464</v>
      </c>
      <c r="BB246" s="85">
        <f t="shared" ca="1" si="355"/>
        <v>2352.2530005303388</v>
      </c>
      <c r="BC246" s="85">
        <f t="shared" ca="1" si="356"/>
        <v>2910.7767464598796</v>
      </c>
      <c r="BD246" s="85">
        <f t="shared" ca="1" si="357"/>
        <v>2693.5942431410217</v>
      </c>
      <c r="BE246" s="85">
        <f t="shared" ca="1" si="358"/>
        <v>2333.3530328655097</v>
      </c>
      <c r="BF246" s="85">
        <f t="shared" ca="1" si="359"/>
        <v>2193.2736543060614</v>
      </c>
      <c r="BG246" s="85">
        <f t="shared" ca="1" si="360"/>
        <v>2039.3475369163002</v>
      </c>
      <c r="BH246" s="85">
        <f t="shared" ca="1" si="361"/>
        <v>2527.5189840730409</v>
      </c>
      <c r="BI246" s="85">
        <f t="shared" ca="1" si="362"/>
        <v>2256.3197920599468</v>
      </c>
      <c r="BJ246" s="85">
        <f t="shared" ca="1" si="363"/>
        <v>2448.5069299830443</v>
      </c>
      <c r="BK246" s="85">
        <f t="shared" ca="1" si="364"/>
        <v>2425.4796015995248</v>
      </c>
      <c r="BL246" s="85">
        <f t="shared" ca="1" si="365"/>
        <v>2244.4851981906027</v>
      </c>
      <c r="BM246" s="85">
        <f t="shared" ca="1" si="366"/>
        <v>2426.6128811737476</v>
      </c>
      <c r="BN246" s="85">
        <f t="shared" ca="1" si="303"/>
        <v>2814.480665269356</v>
      </c>
      <c r="BO246" s="85">
        <f t="shared" ca="1" si="392"/>
        <v>2926.6244752906659</v>
      </c>
      <c r="BP246" s="85">
        <f t="shared" ca="1" si="393"/>
        <v>2392.8735382588875</v>
      </c>
      <c r="BQ246" s="85">
        <f t="shared" ca="1" si="394"/>
        <v>2606.5223252408227</v>
      </c>
      <c r="BR246" s="85">
        <f t="shared" ca="1" si="395"/>
        <v>2204.3488126013422</v>
      </c>
      <c r="BS246" s="85">
        <f t="shared" ca="1" si="396"/>
        <v>2626.3566619747253</v>
      </c>
      <c r="BT246" s="85">
        <f t="shared" ca="1" si="397"/>
        <v>2919.1463930126465</v>
      </c>
      <c r="BU246" s="85">
        <f t="shared" ca="1" si="398"/>
        <v>2133.7138290351968</v>
      </c>
      <c r="BV246" s="85">
        <f t="shared" ca="1" si="399"/>
        <v>2346.9152126518425</v>
      </c>
      <c r="BW246" s="85">
        <f t="shared" ca="1" si="400"/>
        <v>2746.0683330451857</v>
      </c>
      <c r="BX246" s="85">
        <f t="shared" ca="1" si="401"/>
        <v>2862.2032280906174</v>
      </c>
      <c r="BY246" s="85">
        <f t="shared" ca="1" si="367"/>
        <v>2216.3078094835023</v>
      </c>
      <c r="BZ246" s="85">
        <f t="shared" ca="1" si="368"/>
        <v>2386.9907927926397</v>
      </c>
      <c r="CA246" s="85">
        <f t="shared" ca="1" si="369"/>
        <v>2594.5111046113675</v>
      </c>
      <c r="CB246" s="85">
        <f t="shared" ca="1" si="370"/>
        <v>2352.6923883815789</v>
      </c>
      <c r="CC246" s="85">
        <f t="shared" ca="1" si="371"/>
        <v>2736.1386360358151</v>
      </c>
      <c r="CD246" s="85">
        <f t="shared" ca="1" si="372"/>
        <v>2819.8690660160055</v>
      </c>
      <c r="CE246" s="85">
        <f t="shared" ca="1" si="373"/>
        <v>2411.2617166652849</v>
      </c>
      <c r="CF246" s="85">
        <f t="shared" ca="1" si="374"/>
        <v>2898.7110253557962</v>
      </c>
      <c r="CG246" s="85">
        <f t="shared" ca="1" si="375"/>
        <v>2046.8299678105211</v>
      </c>
      <c r="CH246" s="85">
        <f t="shared" ca="1" si="376"/>
        <v>2529.3723887938595</v>
      </c>
      <c r="CI246" s="85">
        <f t="shared" ca="1" si="377"/>
        <v>2244.7405776693827</v>
      </c>
      <c r="CJ246" s="85">
        <f t="shared" ca="1" si="378"/>
        <v>2198.077938657148</v>
      </c>
      <c r="CK246" s="85">
        <f t="shared" ca="1" si="379"/>
        <v>2427.1801319221531</v>
      </c>
      <c r="CL246" s="85">
        <f t="shared" ca="1" si="380"/>
        <v>2301.0365359334846</v>
      </c>
      <c r="CM246" s="85">
        <f t="shared" ca="1" si="381"/>
        <v>2831.8036829149833</v>
      </c>
      <c r="CN246" s="85">
        <f t="shared" ca="1" si="382"/>
        <v>2061.444398626465</v>
      </c>
      <c r="CO246" s="85">
        <f t="shared" ca="1" si="383"/>
        <v>2329.1350305146048</v>
      </c>
      <c r="CP246" s="85">
        <f t="shared" ca="1" si="384"/>
        <v>2656.913648177946</v>
      </c>
      <c r="CQ246" s="85">
        <f t="shared" ca="1" si="385"/>
        <v>2464.5669771718985</v>
      </c>
      <c r="CR246" s="85">
        <f t="shared" ca="1" si="386"/>
        <v>2535.5595375988592</v>
      </c>
      <c r="CS246" s="85">
        <f t="shared" ca="1" si="387"/>
        <v>2017.4426096250925</v>
      </c>
      <c r="CT246" s="85">
        <f t="shared" ca="1" si="388"/>
        <v>2343.838489217434</v>
      </c>
      <c r="CU246" s="85">
        <f t="shared" ca="1" si="389"/>
        <v>2936.1380742554616</v>
      </c>
      <c r="CV246" s="85">
        <f t="shared" ca="1" si="390"/>
        <v>2327.6205882585996</v>
      </c>
      <c r="CW246" s="85">
        <f t="shared" ca="1" si="391"/>
        <v>2527.6840683623527</v>
      </c>
    </row>
    <row r="247" spans="1:101" x14ac:dyDescent="0.2">
      <c r="A247" s="115">
        <v>244</v>
      </c>
      <c r="B247" s="85">
        <f t="shared" ca="1" si="302"/>
        <v>1925.1861064953553</v>
      </c>
      <c r="C247" s="85">
        <f t="shared" ca="1" si="304"/>
        <v>2516.2319901231185</v>
      </c>
      <c r="D247" s="85">
        <f t="shared" ca="1" si="305"/>
        <v>2500.9225133910659</v>
      </c>
      <c r="E247" s="85">
        <f t="shared" ca="1" si="306"/>
        <v>2093.0593816865603</v>
      </c>
      <c r="F247" s="85">
        <f t="shared" ca="1" si="307"/>
        <v>2481.8563004734901</v>
      </c>
      <c r="G247" s="85">
        <f t="shared" ca="1" si="308"/>
        <v>2519.7715469312993</v>
      </c>
      <c r="H247" s="85">
        <f t="shared" ca="1" si="309"/>
        <v>2535.0147215276843</v>
      </c>
      <c r="I247" s="85">
        <f t="shared" ca="1" si="310"/>
        <v>2708.0252610214134</v>
      </c>
      <c r="J247" s="85">
        <f t="shared" ca="1" si="311"/>
        <v>2305.7827399998441</v>
      </c>
      <c r="K247" s="85">
        <f t="shared" ca="1" si="312"/>
        <v>2612.5736232826607</v>
      </c>
      <c r="L247" s="85">
        <f t="shared" ca="1" si="313"/>
        <v>2871.4248999536089</v>
      </c>
      <c r="M247" s="85">
        <f t="shared" ca="1" si="314"/>
        <v>2200.9840836904909</v>
      </c>
      <c r="N247" s="85">
        <f t="shared" ca="1" si="315"/>
        <v>2440.6189369989711</v>
      </c>
      <c r="O247" s="85">
        <f t="shared" ca="1" si="316"/>
        <v>2625.1073441798876</v>
      </c>
      <c r="P247" s="85">
        <f t="shared" ca="1" si="317"/>
        <v>2615.066081070353</v>
      </c>
      <c r="Q247" s="85">
        <f t="shared" ca="1" si="318"/>
        <v>2817.1090761997207</v>
      </c>
      <c r="R247" s="85">
        <f t="shared" ca="1" si="319"/>
        <v>2400.6643319455889</v>
      </c>
      <c r="S247" s="85">
        <f t="shared" ca="1" si="320"/>
        <v>2707.2619784865728</v>
      </c>
      <c r="T247" s="85">
        <f t="shared" ca="1" si="321"/>
        <v>2494.7498890031807</v>
      </c>
      <c r="U247" s="85">
        <f t="shared" ca="1" si="322"/>
        <v>2264.7583531532982</v>
      </c>
      <c r="V247" s="85">
        <f t="shared" ca="1" si="323"/>
        <v>2997.8860727237993</v>
      </c>
      <c r="W247" s="85">
        <f t="shared" ca="1" si="324"/>
        <v>2345.1547164901403</v>
      </c>
      <c r="X247" s="85">
        <f t="shared" ca="1" si="325"/>
        <v>2732.6638611275084</v>
      </c>
      <c r="Y247" s="85">
        <f t="shared" ca="1" si="326"/>
        <v>2315.4201732285969</v>
      </c>
      <c r="Z247" s="85">
        <f t="shared" ca="1" si="327"/>
        <v>2636.9988924859226</v>
      </c>
      <c r="AA247" s="85">
        <f t="shared" ca="1" si="328"/>
        <v>2156.90061886289</v>
      </c>
      <c r="AB247" s="85">
        <f t="shared" ca="1" si="329"/>
        <v>2871.578145611134</v>
      </c>
      <c r="AC247" s="85">
        <f t="shared" ca="1" si="330"/>
        <v>2725.8859355209202</v>
      </c>
      <c r="AD247" s="85">
        <f t="shared" ca="1" si="331"/>
        <v>2705.1258781686429</v>
      </c>
      <c r="AE247" s="85">
        <f t="shared" ca="1" si="332"/>
        <v>3146.1291106321987</v>
      </c>
      <c r="AF247" s="85">
        <f t="shared" ca="1" si="333"/>
        <v>2058.3739133394961</v>
      </c>
      <c r="AG247" s="85">
        <f t="shared" ca="1" si="334"/>
        <v>2772.0481571651326</v>
      </c>
      <c r="AH247" s="85">
        <f t="shared" ca="1" si="335"/>
        <v>2496.2719817743769</v>
      </c>
      <c r="AI247" s="85">
        <f t="shared" ca="1" si="336"/>
        <v>2707.6873883980716</v>
      </c>
      <c r="AJ247" s="85">
        <f t="shared" ca="1" si="337"/>
        <v>2827.4344315014232</v>
      </c>
      <c r="AK247" s="85">
        <f t="shared" ca="1" si="338"/>
        <v>2527.7305854537021</v>
      </c>
      <c r="AL247" s="85">
        <f t="shared" ca="1" si="339"/>
        <v>2387.9032848881538</v>
      </c>
      <c r="AM247" s="85">
        <f t="shared" ca="1" si="340"/>
        <v>2473.3650864825163</v>
      </c>
      <c r="AN247" s="85">
        <f t="shared" ca="1" si="341"/>
        <v>2642.9522054351887</v>
      </c>
      <c r="AO247" s="85">
        <f t="shared" ca="1" si="342"/>
        <v>3278.4943686690485</v>
      </c>
      <c r="AP247" s="85">
        <f t="shared" ca="1" si="343"/>
        <v>2790.7090807411732</v>
      </c>
      <c r="AQ247" s="85">
        <f t="shared" ca="1" si="344"/>
        <v>2237.664500524977</v>
      </c>
      <c r="AR247" s="85">
        <f t="shared" ca="1" si="345"/>
        <v>2880.794538258504</v>
      </c>
      <c r="AS247" s="85">
        <f t="shared" ca="1" si="346"/>
        <v>2373.2659325736067</v>
      </c>
      <c r="AT247" s="85">
        <f t="shared" ca="1" si="347"/>
        <v>2549.2835025225322</v>
      </c>
      <c r="AU247" s="85">
        <f t="shared" ca="1" si="348"/>
        <v>2435.4795315369302</v>
      </c>
      <c r="AV247" s="85">
        <f t="shared" ca="1" si="349"/>
        <v>2715.6567160739901</v>
      </c>
      <c r="AW247" s="85">
        <f t="shared" ca="1" si="350"/>
        <v>2470.9146599190667</v>
      </c>
      <c r="AX247" s="85">
        <f t="shared" ca="1" si="351"/>
        <v>3273.7975701169285</v>
      </c>
      <c r="AY247" s="85">
        <f t="shared" ca="1" si="352"/>
        <v>3100.2078807449025</v>
      </c>
      <c r="AZ247" s="85">
        <f t="shared" ca="1" si="353"/>
        <v>2896.1658416050018</v>
      </c>
      <c r="BA247" s="85">
        <f t="shared" ca="1" si="354"/>
        <v>2893.5950470513299</v>
      </c>
      <c r="BB247" s="85">
        <f t="shared" ca="1" si="355"/>
        <v>2401.5963875089392</v>
      </c>
      <c r="BC247" s="85">
        <f t="shared" ca="1" si="356"/>
        <v>2934.5212313872803</v>
      </c>
      <c r="BD247" s="85">
        <f t="shared" ca="1" si="357"/>
        <v>2747.3622420253655</v>
      </c>
      <c r="BE247" s="85">
        <f t="shared" ca="1" si="358"/>
        <v>2369.6812367354669</v>
      </c>
      <c r="BF247" s="85">
        <f t="shared" ca="1" si="359"/>
        <v>2219.6803349735551</v>
      </c>
      <c r="BG247" s="85">
        <f t="shared" ca="1" si="360"/>
        <v>2068.3826575616708</v>
      </c>
      <c r="BH247" s="85">
        <f t="shared" ca="1" si="361"/>
        <v>2564.161024435321</v>
      </c>
      <c r="BI247" s="85">
        <f t="shared" ca="1" si="362"/>
        <v>2312.9869432231244</v>
      </c>
      <c r="BJ247" s="85">
        <f t="shared" ca="1" si="363"/>
        <v>2479.5990806673285</v>
      </c>
      <c r="BK247" s="85">
        <f t="shared" ca="1" si="364"/>
        <v>2449.6658341276343</v>
      </c>
      <c r="BL247" s="85">
        <f t="shared" ca="1" si="365"/>
        <v>2292.7442056573182</v>
      </c>
      <c r="BM247" s="85">
        <f t="shared" ca="1" si="366"/>
        <v>2471.0405994074704</v>
      </c>
      <c r="BN247" s="85">
        <f t="shared" ca="1" si="303"/>
        <v>2869.641361559402</v>
      </c>
      <c r="BO247" s="85">
        <f t="shared" ca="1" si="392"/>
        <v>2961.62231057284</v>
      </c>
      <c r="BP247" s="85">
        <f t="shared" ca="1" si="393"/>
        <v>2430.5262570169739</v>
      </c>
      <c r="BQ247" s="85">
        <f t="shared" ca="1" si="394"/>
        <v>2628.0566542458851</v>
      </c>
      <c r="BR247" s="85">
        <f t="shared" ca="1" si="395"/>
        <v>2238.7935121178543</v>
      </c>
      <c r="BS247" s="85">
        <f t="shared" ca="1" si="396"/>
        <v>2655.3489538671365</v>
      </c>
      <c r="BT247" s="85">
        <f t="shared" ca="1" si="397"/>
        <v>2932.1898018284792</v>
      </c>
      <c r="BU247" s="85">
        <f t="shared" ca="1" si="398"/>
        <v>2159.8605710716806</v>
      </c>
      <c r="BV247" s="85">
        <f t="shared" ca="1" si="399"/>
        <v>2386.8815103554693</v>
      </c>
      <c r="BW247" s="85">
        <f t="shared" ca="1" si="400"/>
        <v>2784.5161040609837</v>
      </c>
      <c r="BX247" s="85">
        <f t="shared" ca="1" si="401"/>
        <v>2907.7697410966421</v>
      </c>
      <c r="BY247" s="85">
        <f t="shared" ca="1" si="367"/>
        <v>2253.0588925943111</v>
      </c>
      <c r="BZ247" s="85">
        <f t="shared" ca="1" si="368"/>
        <v>2429.4987234038199</v>
      </c>
      <c r="CA247" s="85">
        <f t="shared" ca="1" si="369"/>
        <v>2607.5457937167084</v>
      </c>
      <c r="CB247" s="85">
        <f t="shared" ca="1" si="370"/>
        <v>2385.5508487613029</v>
      </c>
      <c r="CC247" s="85">
        <f t="shared" ca="1" si="371"/>
        <v>2746.2815456323938</v>
      </c>
      <c r="CD247" s="85">
        <f t="shared" ca="1" si="372"/>
        <v>2846.1148601937407</v>
      </c>
      <c r="CE247" s="85">
        <f t="shared" ca="1" si="373"/>
        <v>2443.6476299274436</v>
      </c>
      <c r="CF247" s="85">
        <f t="shared" ca="1" si="374"/>
        <v>2907.3502749520812</v>
      </c>
      <c r="CG247" s="85">
        <f t="shared" ca="1" si="375"/>
        <v>2081.4800206479576</v>
      </c>
      <c r="CH247" s="85">
        <f t="shared" ca="1" si="376"/>
        <v>2571.1621078645667</v>
      </c>
      <c r="CI247" s="85">
        <f t="shared" ca="1" si="377"/>
        <v>2249.1540999520785</v>
      </c>
      <c r="CJ247" s="85">
        <f t="shared" ca="1" si="378"/>
        <v>2239.0600836300923</v>
      </c>
      <c r="CK247" s="85">
        <f t="shared" ca="1" si="379"/>
        <v>2485.6671174103581</v>
      </c>
      <c r="CL247" s="85">
        <f t="shared" ca="1" si="380"/>
        <v>2333.6904076987939</v>
      </c>
      <c r="CM247" s="85">
        <f t="shared" ca="1" si="381"/>
        <v>2863.5740639078622</v>
      </c>
      <c r="CN247" s="85">
        <f t="shared" ca="1" si="382"/>
        <v>2084.9445306751982</v>
      </c>
      <c r="CO247" s="85">
        <f t="shared" ca="1" si="383"/>
        <v>2370.5174634531368</v>
      </c>
      <c r="CP247" s="85">
        <f t="shared" ca="1" si="384"/>
        <v>2698.0513989175383</v>
      </c>
      <c r="CQ247" s="85">
        <f t="shared" ca="1" si="385"/>
        <v>2507.94491756855</v>
      </c>
      <c r="CR247" s="85">
        <f t="shared" ca="1" si="386"/>
        <v>2544.181084918845</v>
      </c>
      <c r="CS247" s="85">
        <f t="shared" ca="1" si="387"/>
        <v>2043.753926673483</v>
      </c>
      <c r="CT247" s="85">
        <f t="shared" ca="1" si="388"/>
        <v>2363.8672369667252</v>
      </c>
      <c r="CU247" s="85">
        <f t="shared" ca="1" si="389"/>
        <v>2940.3537385012937</v>
      </c>
      <c r="CV247" s="85">
        <f t="shared" ca="1" si="390"/>
        <v>2355.1436484505311</v>
      </c>
      <c r="CW247" s="85">
        <f t="shared" ca="1" si="391"/>
        <v>2568.1544089958943</v>
      </c>
    </row>
    <row r="248" spans="1:101" x14ac:dyDescent="0.2">
      <c r="A248" s="115">
        <v>245</v>
      </c>
      <c r="B248" s="85">
        <f t="shared" ca="1" si="302"/>
        <v>1940.8327655615369</v>
      </c>
      <c r="C248" s="85">
        <f t="shared" ca="1" si="304"/>
        <v>2551.3184984549689</v>
      </c>
      <c r="D248" s="85">
        <f t="shared" ca="1" si="305"/>
        <v>2558.5647626960799</v>
      </c>
      <c r="E248" s="85">
        <f t="shared" ca="1" si="306"/>
        <v>2110.0125267708813</v>
      </c>
      <c r="F248" s="85">
        <f t="shared" ca="1" si="307"/>
        <v>2491.7618537159697</v>
      </c>
      <c r="G248" s="85">
        <f t="shared" ca="1" si="308"/>
        <v>2606.423360843658</v>
      </c>
      <c r="H248" s="85">
        <f t="shared" ca="1" si="309"/>
        <v>2549.3091438647402</v>
      </c>
      <c r="I248" s="85">
        <f t="shared" ca="1" si="310"/>
        <v>2705.010032034148</v>
      </c>
      <c r="J248" s="85">
        <f t="shared" ca="1" si="311"/>
        <v>2339.4513001239648</v>
      </c>
      <c r="K248" s="85">
        <f t="shared" ca="1" si="312"/>
        <v>2619.7151568081367</v>
      </c>
      <c r="L248" s="85">
        <f t="shared" ca="1" si="313"/>
        <v>2892.5968506283475</v>
      </c>
      <c r="M248" s="85">
        <f t="shared" ca="1" si="314"/>
        <v>2243.0938539011049</v>
      </c>
      <c r="N248" s="85">
        <f t="shared" ca="1" si="315"/>
        <v>2490.818761158388</v>
      </c>
      <c r="O248" s="85">
        <f t="shared" ca="1" si="316"/>
        <v>2646.2320651075156</v>
      </c>
      <c r="P248" s="85">
        <f t="shared" ca="1" si="317"/>
        <v>2636.4354568696917</v>
      </c>
      <c r="Q248" s="85">
        <f t="shared" ca="1" si="318"/>
        <v>2862.616031445099</v>
      </c>
      <c r="R248" s="85">
        <f t="shared" ca="1" si="319"/>
        <v>2439.9527499890141</v>
      </c>
      <c r="S248" s="85">
        <f t="shared" ca="1" si="320"/>
        <v>2749.2098738806994</v>
      </c>
      <c r="T248" s="85">
        <f t="shared" ca="1" si="321"/>
        <v>2525.7024339547006</v>
      </c>
      <c r="U248" s="85">
        <f t="shared" ca="1" si="322"/>
        <v>2293.3566149992257</v>
      </c>
      <c r="V248" s="85">
        <f t="shared" ca="1" si="323"/>
        <v>2996.3743743516029</v>
      </c>
      <c r="W248" s="85">
        <f t="shared" ca="1" si="324"/>
        <v>2369.428570090563</v>
      </c>
      <c r="X248" s="85">
        <f t="shared" ca="1" si="325"/>
        <v>2758.1252860298937</v>
      </c>
      <c r="Y248" s="85">
        <f t="shared" ca="1" si="326"/>
        <v>2340.1250123237942</v>
      </c>
      <c r="Z248" s="85">
        <f t="shared" ca="1" si="327"/>
        <v>2695.3077875054505</v>
      </c>
      <c r="AA248" s="85">
        <f t="shared" ca="1" si="328"/>
        <v>2201.758704794087</v>
      </c>
      <c r="AB248" s="85">
        <f t="shared" ca="1" si="329"/>
        <v>2924.4379354510043</v>
      </c>
      <c r="AC248" s="85">
        <f t="shared" ca="1" si="330"/>
        <v>2776.6948855700443</v>
      </c>
      <c r="AD248" s="85">
        <f t="shared" ca="1" si="331"/>
        <v>2759.0687576194728</v>
      </c>
      <c r="AE248" s="85">
        <f t="shared" ca="1" si="332"/>
        <v>3192.070896489508</v>
      </c>
      <c r="AF248" s="85">
        <f t="shared" ca="1" si="333"/>
        <v>2098.7298318332619</v>
      </c>
      <c r="AG248" s="85">
        <f t="shared" ca="1" si="334"/>
        <v>2813.2796181712288</v>
      </c>
      <c r="AH248" s="85">
        <f t="shared" ca="1" si="335"/>
        <v>2518.1547750973496</v>
      </c>
      <c r="AI248" s="85">
        <f t="shared" ca="1" si="336"/>
        <v>2745.6254148232542</v>
      </c>
      <c r="AJ248" s="85">
        <f t="shared" ca="1" si="337"/>
        <v>2872.4007459655213</v>
      </c>
      <c r="AK248" s="85">
        <f t="shared" ca="1" si="338"/>
        <v>2528.0256098344162</v>
      </c>
      <c r="AL248" s="85">
        <f t="shared" ca="1" si="339"/>
        <v>2431.4144557885393</v>
      </c>
      <c r="AM248" s="85">
        <f t="shared" ca="1" si="340"/>
        <v>2511.5251324206515</v>
      </c>
      <c r="AN248" s="85">
        <f t="shared" ca="1" si="341"/>
        <v>2670.7220932067194</v>
      </c>
      <c r="AO248" s="85">
        <f t="shared" ca="1" si="342"/>
        <v>3296.3196868236896</v>
      </c>
      <c r="AP248" s="85">
        <f t="shared" ca="1" si="343"/>
        <v>2842.8656606840977</v>
      </c>
      <c r="AQ248" s="85">
        <f t="shared" ca="1" si="344"/>
        <v>2281.2843839282755</v>
      </c>
      <c r="AR248" s="85">
        <f t="shared" ca="1" si="345"/>
        <v>2938.5413226373998</v>
      </c>
      <c r="AS248" s="85">
        <f t="shared" ca="1" si="346"/>
        <v>2410.1124777822856</v>
      </c>
      <c r="AT248" s="85">
        <f t="shared" ca="1" si="347"/>
        <v>2608.8338422676256</v>
      </c>
      <c r="AU248" s="85">
        <f t="shared" ca="1" si="348"/>
        <v>2481.0662108194292</v>
      </c>
      <c r="AV248" s="85">
        <f t="shared" ca="1" si="349"/>
        <v>2795.9680291901218</v>
      </c>
      <c r="AW248" s="85">
        <f t="shared" ca="1" si="350"/>
        <v>2495.2365014580914</v>
      </c>
      <c r="AX248" s="85">
        <f t="shared" ca="1" si="351"/>
        <v>3346.7836389277541</v>
      </c>
      <c r="AY248" s="85">
        <f t="shared" ca="1" si="352"/>
        <v>3153.6675341454716</v>
      </c>
      <c r="AZ248" s="85">
        <f t="shared" ca="1" si="353"/>
        <v>2911.0404227526692</v>
      </c>
      <c r="BA248" s="85">
        <f t="shared" ca="1" si="354"/>
        <v>2934.9892503197293</v>
      </c>
      <c r="BB248" s="85">
        <f t="shared" ca="1" si="355"/>
        <v>2427.7346858398005</v>
      </c>
      <c r="BC248" s="85">
        <f t="shared" ca="1" si="356"/>
        <v>3001.2504949458157</v>
      </c>
      <c r="BD248" s="85">
        <f t="shared" ca="1" si="357"/>
        <v>2757.0015861342413</v>
      </c>
      <c r="BE248" s="85">
        <f t="shared" ca="1" si="358"/>
        <v>2425.5669307830985</v>
      </c>
      <c r="BF248" s="85">
        <f t="shared" ca="1" si="359"/>
        <v>2245.5624145775487</v>
      </c>
      <c r="BG248" s="85">
        <f t="shared" ca="1" si="360"/>
        <v>2098.3786456700591</v>
      </c>
      <c r="BH248" s="85">
        <f t="shared" ca="1" si="361"/>
        <v>2614.0708523253247</v>
      </c>
      <c r="BI248" s="85">
        <f t="shared" ca="1" si="362"/>
        <v>2342.9364384132459</v>
      </c>
      <c r="BJ248" s="85">
        <f t="shared" ca="1" si="363"/>
        <v>2497.659541320103</v>
      </c>
      <c r="BK248" s="85">
        <f t="shared" ca="1" si="364"/>
        <v>2488.5470555907455</v>
      </c>
      <c r="BL248" s="85">
        <f t="shared" ca="1" si="365"/>
        <v>2347.7792644449364</v>
      </c>
      <c r="BM248" s="85">
        <f t="shared" ca="1" si="366"/>
        <v>2530.1203518175994</v>
      </c>
      <c r="BN248" s="85">
        <f t="shared" ca="1" si="303"/>
        <v>2918.7249971603947</v>
      </c>
      <c r="BO248" s="85">
        <f t="shared" ca="1" si="392"/>
        <v>2998.5303303094579</v>
      </c>
      <c r="BP248" s="85">
        <f t="shared" ca="1" si="393"/>
        <v>2453.0955182994458</v>
      </c>
      <c r="BQ248" s="85">
        <f t="shared" ca="1" si="394"/>
        <v>2697.7831621986479</v>
      </c>
      <c r="BR248" s="85">
        <f t="shared" ca="1" si="395"/>
        <v>2275.7338840597972</v>
      </c>
      <c r="BS248" s="85">
        <f t="shared" ca="1" si="396"/>
        <v>2663.1522224415321</v>
      </c>
      <c r="BT248" s="85">
        <f t="shared" ca="1" si="397"/>
        <v>2933.679566334476</v>
      </c>
      <c r="BU248" s="85">
        <f t="shared" ca="1" si="398"/>
        <v>2196.4806388227189</v>
      </c>
      <c r="BV248" s="85">
        <f t="shared" ca="1" si="399"/>
        <v>2422.4363285159666</v>
      </c>
      <c r="BW248" s="85">
        <f t="shared" ca="1" si="400"/>
        <v>2864.8418068423375</v>
      </c>
      <c r="BX248" s="85">
        <f t="shared" ca="1" si="401"/>
        <v>2933.6619716140549</v>
      </c>
      <c r="BY248" s="85">
        <f t="shared" ca="1" si="367"/>
        <v>2287.1375159159902</v>
      </c>
      <c r="BZ248" s="85">
        <f t="shared" ca="1" si="368"/>
        <v>2466.4955332242689</v>
      </c>
      <c r="CA248" s="85">
        <f t="shared" ca="1" si="369"/>
        <v>2643.5782136785756</v>
      </c>
      <c r="CB248" s="85">
        <f t="shared" ca="1" si="370"/>
        <v>2440.832317480978</v>
      </c>
      <c r="CC248" s="85">
        <f t="shared" ca="1" si="371"/>
        <v>2781.8081050410706</v>
      </c>
      <c r="CD248" s="85">
        <f t="shared" ca="1" si="372"/>
        <v>2859.901548578915</v>
      </c>
      <c r="CE248" s="85">
        <f t="shared" ca="1" si="373"/>
        <v>2458.6161362141038</v>
      </c>
      <c r="CF248" s="85">
        <f t="shared" ca="1" si="374"/>
        <v>2969.3846085429104</v>
      </c>
      <c r="CG248" s="85">
        <f t="shared" ca="1" si="375"/>
        <v>2085.1928457094987</v>
      </c>
      <c r="CH248" s="85">
        <f t="shared" ca="1" si="376"/>
        <v>2597.0944863937734</v>
      </c>
      <c r="CI248" s="85">
        <f t="shared" ca="1" si="377"/>
        <v>2286.1975332156026</v>
      </c>
      <c r="CJ248" s="85">
        <f t="shared" ca="1" si="378"/>
        <v>2258.5520797006006</v>
      </c>
      <c r="CK248" s="85">
        <f t="shared" ca="1" si="379"/>
        <v>2544.8610064303803</v>
      </c>
      <c r="CL248" s="85">
        <f t="shared" ca="1" si="380"/>
        <v>2357.6936649684262</v>
      </c>
      <c r="CM248" s="85">
        <f t="shared" ca="1" si="381"/>
        <v>2856.4136395227865</v>
      </c>
      <c r="CN248" s="85">
        <f t="shared" ca="1" si="382"/>
        <v>2096.2424293449549</v>
      </c>
      <c r="CO248" s="85">
        <f t="shared" ca="1" si="383"/>
        <v>2406.9512643553871</v>
      </c>
      <c r="CP248" s="85">
        <f t="shared" ca="1" si="384"/>
        <v>2744.0591831079837</v>
      </c>
      <c r="CQ248" s="85">
        <f t="shared" ca="1" si="385"/>
        <v>2517.0007030348929</v>
      </c>
      <c r="CR248" s="85">
        <f t="shared" ca="1" si="386"/>
        <v>2582.0945064409698</v>
      </c>
      <c r="CS248" s="85">
        <f t="shared" ca="1" si="387"/>
        <v>2064.7360532360035</v>
      </c>
      <c r="CT248" s="85">
        <f t="shared" ca="1" si="388"/>
        <v>2384.888387022052</v>
      </c>
      <c r="CU248" s="85">
        <f t="shared" ca="1" si="389"/>
        <v>2998.7476005912245</v>
      </c>
      <c r="CV248" s="85">
        <f t="shared" ca="1" si="390"/>
        <v>2394.3263339892305</v>
      </c>
      <c r="CW248" s="85">
        <f t="shared" ca="1" si="391"/>
        <v>2581.791419304026</v>
      </c>
    </row>
    <row r="249" spans="1:101" x14ac:dyDescent="0.2">
      <c r="A249" s="115">
        <v>246</v>
      </c>
      <c r="B249" s="85">
        <f t="shared" ca="1" si="302"/>
        <v>1959.5574220382682</v>
      </c>
      <c r="C249" s="85">
        <f t="shared" ca="1" si="304"/>
        <v>2584.7187194495564</v>
      </c>
      <c r="D249" s="85">
        <f t="shared" ca="1" si="305"/>
        <v>2584.2500944425415</v>
      </c>
      <c r="E249" s="85">
        <f t="shared" ca="1" si="306"/>
        <v>2155.0701113285659</v>
      </c>
      <c r="F249" s="85">
        <f t="shared" ca="1" si="307"/>
        <v>2546.9288368544658</v>
      </c>
      <c r="G249" s="85">
        <f t="shared" ca="1" si="308"/>
        <v>2651.507057638747</v>
      </c>
      <c r="H249" s="85">
        <f t="shared" ca="1" si="309"/>
        <v>2576.5475469447001</v>
      </c>
      <c r="I249" s="85">
        <f t="shared" ca="1" si="310"/>
        <v>2764.0089808374819</v>
      </c>
      <c r="J249" s="85">
        <f t="shared" ca="1" si="311"/>
        <v>2401.5545813766398</v>
      </c>
      <c r="K249" s="85">
        <f t="shared" ca="1" si="312"/>
        <v>2656.7350935442287</v>
      </c>
      <c r="L249" s="85">
        <f t="shared" ca="1" si="313"/>
        <v>2931.4930778858761</v>
      </c>
      <c r="M249" s="85">
        <f t="shared" ca="1" si="314"/>
        <v>2275.1240316136727</v>
      </c>
      <c r="N249" s="85">
        <f t="shared" ca="1" si="315"/>
        <v>2530.1965605580049</v>
      </c>
      <c r="O249" s="85">
        <f t="shared" ca="1" si="316"/>
        <v>2640.3722989613148</v>
      </c>
      <c r="P249" s="85">
        <f t="shared" ca="1" si="317"/>
        <v>2668.7272407627652</v>
      </c>
      <c r="Q249" s="85">
        <f t="shared" ca="1" si="318"/>
        <v>2885.5961583448611</v>
      </c>
      <c r="R249" s="85">
        <f t="shared" ca="1" si="319"/>
        <v>2466.3752396311656</v>
      </c>
      <c r="S249" s="85">
        <f t="shared" ca="1" si="320"/>
        <v>2793.1646826920582</v>
      </c>
      <c r="T249" s="85">
        <f t="shared" ca="1" si="321"/>
        <v>2568.8760621007896</v>
      </c>
      <c r="U249" s="85">
        <f t="shared" ca="1" si="322"/>
        <v>2312.3362455227448</v>
      </c>
      <c r="V249" s="85">
        <f t="shared" ca="1" si="323"/>
        <v>3035.9409520337481</v>
      </c>
      <c r="W249" s="85">
        <f t="shared" ca="1" si="324"/>
        <v>2378.5317189799389</v>
      </c>
      <c r="X249" s="85">
        <f t="shared" ca="1" si="325"/>
        <v>2813.3119078304544</v>
      </c>
      <c r="Y249" s="85">
        <f t="shared" ca="1" si="326"/>
        <v>2349.1650843736247</v>
      </c>
      <c r="Z249" s="85">
        <f t="shared" ca="1" si="327"/>
        <v>2751.2872458468719</v>
      </c>
      <c r="AA249" s="85">
        <f t="shared" ca="1" si="328"/>
        <v>2245.9869679995463</v>
      </c>
      <c r="AB249" s="85">
        <f t="shared" ca="1" si="329"/>
        <v>2922.4130379056273</v>
      </c>
      <c r="AC249" s="85">
        <f t="shared" ca="1" si="330"/>
        <v>2816.6430422302137</v>
      </c>
      <c r="AD249" s="85">
        <f t="shared" ca="1" si="331"/>
        <v>2804.2514728312781</v>
      </c>
      <c r="AE249" s="85">
        <f t="shared" ca="1" si="332"/>
        <v>3198.6912225263413</v>
      </c>
      <c r="AF249" s="85">
        <f t="shared" ca="1" si="333"/>
        <v>2150.3694984142689</v>
      </c>
      <c r="AG249" s="85">
        <f t="shared" ca="1" si="334"/>
        <v>2844.7373458738703</v>
      </c>
      <c r="AH249" s="85">
        <f t="shared" ca="1" si="335"/>
        <v>2561.4180023098002</v>
      </c>
      <c r="AI249" s="85">
        <f t="shared" ca="1" si="336"/>
        <v>2768.435497261331</v>
      </c>
      <c r="AJ249" s="85">
        <f t="shared" ca="1" si="337"/>
        <v>2953.8994002055556</v>
      </c>
      <c r="AK249" s="85">
        <f t="shared" ca="1" si="338"/>
        <v>2571.4982236630572</v>
      </c>
      <c r="AL249" s="85">
        <f t="shared" ca="1" si="339"/>
        <v>2436.9308645203187</v>
      </c>
      <c r="AM249" s="85">
        <f t="shared" ca="1" si="340"/>
        <v>2547.5804881506842</v>
      </c>
      <c r="AN249" s="85">
        <f t="shared" ca="1" si="341"/>
        <v>2687.5772289935294</v>
      </c>
      <c r="AO249" s="85">
        <f t="shared" ca="1" si="342"/>
        <v>3357.60327143938</v>
      </c>
      <c r="AP249" s="85">
        <f t="shared" ca="1" si="343"/>
        <v>2890.3683757330173</v>
      </c>
      <c r="AQ249" s="85">
        <f t="shared" ca="1" si="344"/>
        <v>2302.2054436993585</v>
      </c>
      <c r="AR249" s="85">
        <f t="shared" ca="1" si="345"/>
        <v>2984.4044251654509</v>
      </c>
      <c r="AS249" s="85">
        <f t="shared" ca="1" si="346"/>
        <v>2416.2631046179044</v>
      </c>
      <c r="AT249" s="85">
        <f t="shared" ca="1" si="347"/>
        <v>2659.8019541049393</v>
      </c>
      <c r="AU249" s="85">
        <f t="shared" ca="1" si="348"/>
        <v>2517.8345826593231</v>
      </c>
      <c r="AV249" s="85">
        <f t="shared" ca="1" si="349"/>
        <v>2832.9571668037602</v>
      </c>
      <c r="AW249" s="85">
        <f t="shared" ca="1" si="350"/>
        <v>2525.4499147896477</v>
      </c>
      <c r="AX249" s="85">
        <f t="shared" ca="1" si="351"/>
        <v>3385.7141147518591</v>
      </c>
      <c r="AY249" s="85">
        <f t="shared" ca="1" si="352"/>
        <v>3199.6442756402835</v>
      </c>
      <c r="AZ249" s="85">
        <f t="shared" ca="1" si="353"/>
        <v>2955.393897109655</v>
      </c>
      <c r="BA249" s="85">
        <f t="shared" ca="1" si="354"/>
        <v>3010.4568753215294</v>
      </c>
      <c r="BB249" s="85">
        <f t="shared" ca="1" si="355"/>
        <v>2464.1477334165902</v>
      </c>
      <c r="BC249" s="85">
        <f t="shared" ca="1" si="356"/>
        <v>3022.9112134549378</v>
      </c>
      <c r="BD249" s="85">
        <f t="shared" ca="1" si="357"/>
        <v>2796.9533024295774</v>
      </c>
      <c r="BE249" s="85">
        <f t="shared" ca="1" si="358"/>
        <v>2482.9593740633354</v>
      </c>
      <c r="BF249" s="85">
        <f t="shared" ca="1" si="359"/>
        <v>2271.1783279959595</v>
      </c>
      <c r="BG249" s="85">
        <f t="shared" ca="1" si="360"/>
        <v>2130.9221771163375</v>
      </c>
      <c r="BH249" s="85">
        <f t="shared" ca="1" si="361"/>
        <v>2654.635581190641</v>
      </c>
      <c r="BI249" s="85">
        <f t="shared" ca="1" si="362"/>
        <v>2370.2392478606052</v>
      </c>
      <c r="BJ249" s="85">
        <f t="shared" ca="1" si="363"/>
        <v>2515.0468684306875</v>
      </c>
      <c r="BK249" s="85">
        <f t="shared" ca="1" si="364"/>
        <v>2544.9903137462202</v>
      </c>
      <c r="BL249" s="85">
        <f t="shared" ca="1" si="365"/>
        <v>2365.5400879009667</v>
      </c>
      <c r="BM249" s="85">
        <f t="shared" ca="1" si="366"/>
        <v>2546.7990854190271</v>
      </c>
      <c r="BN249" s="85">
        <f t="shared" ca="1" si="303"/>
        <v>2966.6868925626309</v>
      </c>
      <c r="BO249" s="85">
        <f t="shared" ca="1" si="392"/>
        <v>3014.1380424119411</v>
      </c>
      <c r="BP249" s="85">
        <f t="shared" ca="1" si="393"/>
        <v>2504.6729771164655</v>
      </c>
      <c r="BQ249" s="85">
        <f t="shared" ca="1" si="394"/>
        <v>2721.6800547793509</v>
      </c>
      <c r="BR249" s="85">
        <f t="shared" ca="1" si="395"/>
        <v>2290.4484685296179</v>
      </c>
      <c r="BS249" s="85">
        <f t="shared" ca="1" si="396"/>
        <v>2722.5877108826717</v>
      </c>
      <c r="BT249" s="85">
        <f t="shared" ca="1" si="397"/>
        <v>2943.3302531623772</v>
      </c>
      <c r="BU249" s="85">
        <f t="shared" ca="1" si="398"/>
        <v>2225.3170329907421</v>
      </c>
      <c r="BV249" s="85">
        <f t="shared" ca="1" si="399"/>
        <v>2449.6975533533309</v>
      </c>
      <c r="BW249" s="85">
        <f t="shared" ca="1" si="400"/>
        <v>2885.0724677742737</v>
      </c>
      <c r="BX249" s="85">
        <f t="shared" ca="1" si="401"/>
        <v>2934.0904701959403</v>
      </c>
      <c r="BY249" s="85">
        <f t="shared" ca="1" si="367"/>
        <v>2327.6130173003448</v>
      </c>
      <c r="BZ249" s="85">
        <f t="shared" ca="1" si="368"/>
        <v>2483.475405397111</v>
      </c>
      <c r="CA249" s="85">
        <f t="shared" ca="1" si="369"/>
        <v>2688.5636121919429</v>
      </c>
      <c r="CB249" s="85">
        <f t="shared" ca="1" si="370"/>
        <v>2487.7699815838132</v>
      </c>
      <c r="CC249" s="85">
        <f t="shared" ca="1" si="371"/>
        <v>2810.7505894440651</v>
      </c>
      <c r="CD249" s="85">
        <f t="shared" ca="1" si="372"/>
        <v>2895.8905202935412</v>
      </c>
      <c r="CE249" s="85">
        <f t="shared" ca="1" si="373"/>
        <v>2502.8341594662907</v>
      </c>
      <c r="CF249" s="85">
        <f t="shared" ca="1" si="374"/>
        <v>2993.9619960222958</v>
      </c>
      <c r="CG249" s="85">
        <f t="shared" ca="1" si="375"/>
        <v>2116.4193856219208</v>
      </c>
      <c r="CH249" s="85">
        <f t="shared" ca="1" si="376"/>
        <v>2626.734662276066</v>
      </c>
      <c r="CI249" s="85">
        <f t="shared" ca="1" si="377"/>
        <v>2320.9661927868137</v>
      </c>
      <c r="CJ249" s="85">
        <f t="shared" ca="1" si="378"/>
        <v>2268.0058988407382</v>
      </c>
      <c r="CK249" s="85">
        <f t="shared" ca="1" si="379"/>
        <v>2578.1263942517649</v>
      </c>
      <c r="CL249" s="85">
        <f t="shared" ca="1" si="380"/>
        <v>2399.9248090155079</v>
      </c>
      <c r="CM249" s="85">
        <f t="shared" ca="1" si="381"/>
        <v>2888.9848227719776</v>
      </c>
      <c r="CN249" s="85">
        <f t="shared" ca="1" si="382"/>
        <v>2122.2430379419529</v>
      </c>
      <c r="CO249" s="85">
        <f t="shared" ca="1" si="383"/>
        <v>2422.7591586416997</v>
      </c>
      <c r="CP249" s="85">
        <f t="shared" ca="1" si="384"/>
        <v>2813.0524032647386</v>
      </c>
      <c r="CQ249" s="85">
        <f t="shared" ca="1" si="385"/>
        <v>2519.369726155232</v>
      </c>
      <c r="CR249" s="85">
        <f t="shared" ca="1" si="386"/>
        <v>2633.1956857887085</v>
      </c>
      <c r="CS249" s="85">
        <f t="shared" ca="1" si="387"/>
        <v>2070.7111488377773</v>
      </c>
      <c r="CT249" s="85">
        <f t="shared" ca="1" si="388"/>
        <v>2428.6842722079859</v>
      </c>
      <c r="CU249" s="85">
        <f t="shared" ca="1" si="389"/>
        <v>3042.7669999929499</v>
      </c>
      <c r="CV249" s="85">
        <f t="shared" ca="1" si="390"/>
        <v>2388.5363072485502</v>
      </c>
      <c r="CW249" s="85">
        <f t="shared" ca="1" si="391"/>
        <v>2589.9444844996092</v>
      </c>
    </row>
    <row r="250" spans="1:101" x14ac:dyDescent="0.2">
      <c r="A250" s="115">
        <v>247</v>
      </c>
      <c r="B250" s="85">
        <f t="shared" ca="1" si="302"/>
        <v>1982.9870298923302</v>
      </c>
      <c r="C250" s="85">
        <f t="shared" ca="1" si="304"/>
        <v>2604.9132666658033</v>
      </c>
      <c r="D250" s="85">
        <f t="shared" ca="1" si="305"/>
        <v>2636.8819668313918</v>
      </c>
      <c r="E250" s="85">
        <f t="shared" ca="1" si="306"/>
        <v>2178.9002506160846</v>
      </c>
      <c r="F250" s="85">
        <f t="shared" ca="1" si="307"/>
        <v>2557.1185846739741</v>
      </c>
      <c r="G250" s="85">
        <f t="shared" ca="1" si="308"/>
        <v>2669.5268524334197</v>
      </c>
      <c r="H250" s="85">
        <f t="shared" ca="1" si="309"/>
        <v>2614.4256327824346</v>
      </c>
      <c r="I250" s="85">
        <f t="shared" ca="1" si="310"/>
        <v>2792.6089819662534</v>
      </c>
      <c r="J250" s="85">
        <f t="shared" ca="1" si="311"/>
        <v>2442.6664619111502</v>
      </c>
      <c r="K250" s="85">
        <f t="shared" ca="1" si="312"/>
        <v>2698.6160479174505</v>
      </c>
      <c r="L250" s="85">
        <f t="shared" ca="1" si="313"/>
        <v>2971.7465554395594</v>
      </c>
      <c r="M250" s="85">
        <f t="shared" ca="1" si="314"/>
        <v>2314.8365318400456</v>
      </c>
      <c r="N250" s="85">
        <f t="shared" ca="1" si="315"/>
        <v>2575.2467179031014</v>
      </c>
      <c r="O250" s="85">
        <f t="shared" ca="1" si="316"/>
        <v>2698.2337835989592</v>
      </c>
      <c r="P250" s="85">
        <f t="shared" ca="1" si="317"/>
        <v>2682.9162005849121</v>
      </c>
      <c r="Q250" s="85">
        <f t="shared" ca="1" si="318"/>
        <v>2984.9823685437163</v>
      </c>
      <c r="R250" s="85">
        <f t="shared" ca="1" si="319"/>
        <v>2507.9997033003401</v>
      </c>
      <c r="S250" s="85">
        <f t="shared" ca="1" si="320"/>
        <v>2816.8412925359416</v>
      </c>
      <c r="T250" s="85">
        <f t="shared" ca="1" si="321"/>
        <v>2622.2104177963324</v>
      </c>
      <c r="U250" s="85">
        <f t="shared" ca="1" si="322"/>
        <v>2353.6744799175935</v>
      </c>
      <c r="V250" s="85">
        <f t="shared" ca="1" si="323"/>
        <v>3090.3191231584701</v>
      </c>
      <c r="W250" s="85">
        <f t="shared" ca="1" si="324"/>
        <v>2418.2788159245729</v>
      </c>
      <c r="X250" s="85">
        <f t="shared" ca="1" si="325"/>
        <v>2854.2491262625949</v>
      </c>
      <c r="Y250" s="85">
        <f t="shared" ca="1" si="326"/>
        <v>2407.2749236818117</v>
      </c>
      <c r="Z250" s="85">
        <f t="shared" ca="1" si="327"/>
        <v>2796.1966735172159</v>
      </c>
      <c r="AA250" s="85">
        <f t="shared" ca="1" si="328"/>
        <v>2269.9093896088402</v>
      </c>
      <c r="AB250" s="85">
        <f t="shared" ca="1" si="329"/>
        <v>2994.7600000589823</v>
      </c>
      <c r="AC250" s="85">
        <f t="shared" ca="1" si="330"/>
        <v>2807.6713023307911</v>
      </c>
      <c r="AD250" s="85">
        <f t="shared" ca="1" si="331"/>
        <v>2866.0311045008511</v>
      </c>
      <c r="AE250" s="85">
        <f t="shared" ca="1" si="332"/>
        <v>3262.9096703674918</v>
      </c>
      <c r="AF250" s="85">
        <f t="shared" ca="1" si="333"/>
        <v>2202.6540700512228</v>
      </c>
      <c r="AG250" s="85">
        <f t="shared" ca="1" si="334"/>
        <v>2906.2138370408447</v>
      </c>
      <c r="AH250" s="85">
        <f t="shared" ca="1" si="335"/>
        <v>2598.3617582932484</v>
      </c>
      <c r="AI250" s="85">
        <f t="shared" ca="1" si="336"/>
        <v>2825.547630040498</v>
      </c>
      <c r="AJ250" s="85">
        <f t="shared" ca="1" si="337"/>
        <v>3003.5873018748644</v>
      </c>
      <c r="AK250" s="85">
        <f t="shared" ca="1" si="338"/>
        <v>2597.9064308720654</v>
      </c>
      <c r="AL250" s="85">
        <f t="shared" ca="1" si="339"/>
        <v>2495.2435213470994</v>
      </c>
      <c r="AM250" s="85">
        <f t="shared" ca="1" si="340"/>
        <v>2598.8018059899955</v>
      </c>
      <c r="AN250" s="85">
        <f t="shared" ca="1" si="341"/>
        <v>2683.9111580610193</v>
      </c>
      <c r="AO250" s="85">
        <f t="shared" ca="1" si="342"/>
        <v>3428.5407459745747</v>
      </c>
      <c r="AP250" s="85">
        <f t="shared" ca="1" si="343"/>
        <v>2917.5201612501337</v>
      </c>
      <c r="AQ250" s="85">
        <f t="shared" ca="1" si="344"/>
        <v>2342.6617557624695</v>
      </c>
      <c r="AR250" s="85">
        <f t="shared" ca="1" si="345"/>
        <v>3016.2153308695797</v>
      </c>
      <c r="AS250" s="85">
        <f t="shared" ca="1" si="346"/>
        <v>2476.8805837576233</v>
      </c>
      <c r="AT250" s="85">
        <f t="shared" ca="1" si="347"/>
        <v>2711.7697240152861</v>
      </c>
      <c r="AU250" s="85">
        <f t="shared" ca="1" si="348"/>
        <v>2520.0722315023172</v>
      </c>
      <c r="AV250" s="85">
        <f t="shared" ca="1" si="349"/>
        <v>2891.5461394498816</v>
      </c>
      <c r="AW250" s="85">
        <f t="shared" ca="1" si="350"/>
        <v>2570.1940749311316</v>
      </c>
      <c r="AX250" s="85">
        <f t="shared" ca="1" si="351"/>
        <v>3446.9566173270755</v>
      </c>
      <c r="AY250" s="85">
        <f t="shared" ca="1" si="352"/>
        <v>3180.9386400344547</v>
      </c>
      <c r="AZ250" s="85">
        <f t="shared" ca="1" si="353"/>
        <v>2984.8268740687417</v>
      </c>
      <c r="BA250" s="85">
        <f t="shared" ca="1" si="354"/>
        <v>3077.5178765288033</v>
      </c>
      <c r="BB250" s="85">
        <f t="shared" ca="1" si="355"/>
        <v>2473.8765710584225</v>
      </c>
      <c r="BC250" s="85">
        <f t="shared" ca="1" si="356"/>
        <v>3072.2791697946445</v>
      </c>
      <c r="BD250" s="85">
        <f t="shared" ca="1" si="357"/>
        <v>2853.2471992071687</v>
      </c>
      <c r="BE250" s="85">
        <f t="shared" ca="1" si="358"/>
        <v>2524.3491378594772</v>
      </c>
      <c r="BF250" s="85">
        <f t="shared" ca="1" si="359"/>
        <v>2312.598804357302</v>
      </c>
      <c r="BG250" s="85">
        <f t="shared" ca="1" si="360"/>
        <v>2144.0403047048908</v>
      </c>
      <c r="BH250" s="85">
        <f t="shared" ca="1" si="361"/>
        <v>2672.2778141875874</v>
      </c>
      <c r="BI250" s="85">
        <f t="shared" ca="1" si="362"/>
        <v>2405.9807113298425</v>
      </c>
      <c r="BJ250" s="85">
        <f t="shared" ca="1" si="363"/>
        <v>2552.1677200859235</v>
      </c>
      <c r="BK250" s="85">
        <f t="shared" ca="1" si="364"/>
        <v>2567.6862112060571</v>
      </c>
      <c r="BL250" s="85">
        <f t="shared" ca="1" si="365"/>
        <v>2413.9625033522439</v>
      </c>
      <c r="BM250" s="85">
        <f t="shared" ca="1" si="366"/>
        <v>2593.825095020276</v>
      </c>
      <c r="BN250" s="85">
        <f t="shared" ca="1" si="303"/>
        <v>2993.8225021752692</v>
      </c>
      <c r="BO250" s="85">
        <f t="shared" ca="1" si="392"/>
        <v>3047.6854708997007</v>
      </c>
      <c r="BP250" s="85">
        <f t="shared" ca="1" si="393"/>
        <v>2540.9823748334402</v>
      </c>
      <c r="BQ250" s="85">
        <f t="shared" ca="1" si="394"/>
        <v>2755.3479907984024</v>
      </c>
      <c r="BR250" s="85">
        <f t="shared" ca="1" si="395"/>
        <v>2321.0314601500581</v>
      </c>
      <c r="BS250" s="85">
        <f t="shared" ca="1" si="396"/>
        <v>2783.2421972832663</v>
      </c>
      <c r="BT250" s="85">
        <f t="shared" ca="1" si="397"/>
        <v>2958.990604185959</v>
      </c>
      <c r="BU250" s="85">
        <f t="shared" ca="1" si="398"/>
        <v>2256.3691323340372</v>
      </c>
      <c r="BV250" s="85">
        <f t="shared" ca="1" si="399"/>
        <v>2503.6808659514604</v>
      </c>
      <c r="BW250" s="85">
        <f t="shared" ca="1" si="400"/>
        <v>2875.5068903090914</v>
      </c>
      <c r="BX250" s="85">
        <f t="shared" ca="1" si="401"/>
        <v>2971.6464994300431</v>
      </c>
      <c r="BY250" s="85">
        <f t="shared" ca="1" si="367"/>
        <v>2338.3296620911851</v>
      </c>
      <c r="BZ250" s="85">
        <f t="shared" ca="1" si="368"/>
        <v>2516.3602250694744</v>
      </c>
      <c r="CA250" s="85">
        <f t="shared" ca="1" si="369"/>
        <v>2726.7328598172089</v>
      </c>
      <c r="CB250" s="85">
        <f t="shared" ca="1" si="370"/>
        <v>2541.0083669636188</v>
      </c>
      <c r="CC250" s="85">
        <f t="shared" ca="1" si="371"/>
        <v>2854.8643364957838</v>
      </c>
      <c r="CD250" s="85">
        <f t="shared" ca="1" si="372"/>
        <v>2924.8863019141595</v>
      </c>
      <c r="CE250" s="85">
        <f t="shared" ca="1" si="373"/>
        <v>2502.3753202364965</v>
      </c>
      <c r="CF250" s="85">
        <f t="shared" ca="1" si="374"/>
        <v>3062.9371600196255</v>
      </c>
      <c r="CG250" s="85">
        <f t="shared" ca="1" si="375"/>
        <v>2139.821008796569</v>
      </c>
      <c r="CH250" s="85">
        <f t="shared" ca="1" si="376"/>
        <v>2667.752183051321</v>
      </c>
      <c r="CI250" s="85">
        <f t="shared" ca="1" si="377"/>
        <v>2396.2790093733652</v>
      </c>
      <c r="CJ250" s="85">
        <f t="shared" ca="1" si="378"/>
        <v>2317.426087855587</v>
      </c>
      <c r="CK250" s="85">
        <f t="shared" ca="1" si="379"/>
        <v>2614.6826049773435</v>
      </c>
      <c r="CL250" s="85">
        <f t="shared" ca="1" si="380"/>
        <v>2422.0906873104946</v>
      </c>
      <c r="CM250" s="85">
        <f t="shared" ca="1" si="381"/>
        <v>2912.549680403275</v>
      </c>
      <c r="CN250" s="85">
        <f t="shared" ca="1" si="382"/>
        <v>2157.5688017562438</v>
      </c>
      <c r="CO250" s="85">
        <f t="shared" ca="1" si="383"/>
        <v>2472.9792464741813</v>
      </c>
      <c r="CP250" s="85">
        <f t="shared" ca="1" si="384"/>
        <v>2835.4879480137861</v>
      </c>
      <c r="CQ250" s="85">
        <f t="shared" ca="1" si="385"/>
        <v>2553.1748021031804</v>
      </c>
      <c r="CR250" s="85">
        <f t="shared" ca="1" si="386"/>
        <v>2686.7448550080317</v>
      </c>
      <c r="CS250" s="85">
        <f t="shared" ca="1" si="387"/>
        <v>2086.2876234078421</v>
      </c>
      <c r="CT250" s="85">
        <f t="shared" ca="1" si="388"/>
        <v>2457.9690587324335</v>
      </c>
      <c r="CU250" s="85">
        <f t="shared" ca="1" si="389"/>
        <v>3067.8159721520778</v>
      </c>
      <c r="CV250" s="85">
        <f t="shared" ca="1" si="390"/>
        <v>2429.2978456057458</v>
      </c>
      <c r="CW250" s="85">
        <f t="shared" ca="1" si="391"/>
        <v>2638.1686811382169</v>
      </c>
    </row>
    <row r="251" spans="1:101" x14ac:dyDescent="0.2">
      <c r="A251" s="115">
        <v>248</v>
      </c>
      <c r="B251" s="85">
        <f t="shared" ca="1" si="302"/>
        <v>1996.4215808559782</v>
      </c>
      <c r="C251" s="85">
        <f t="shared" ca="1" si="304"/>
        <v>2634.674266930761</v>
      </c>
      <c r="D251" s="85">
        <f t="shared" ca="1" si="305"/>
        <v>2666.706579835351</v>
      </c>
      <c r="E251" s="85">
        <f t="shared" ca="1" si="306"/>
        <v>2204.6324280921831</v>
      </c>
      <c r="F251" s="85">
        <f t="shared" ca="1" si="307"/>
        <v>2607.2721990662935</v>
      </c>
      <c r="G251" s="85">
        <f t="shared" ca="1" si="308"/>
        <v>2726.7405764745467</v>
      </c>
      <c r="H251" s="85">
        <f t="shared" ca="1" si="309"/>
        <v>2648.1410742900389</v>
      </c>
      <c r="I251" s="85">
        <f t="shared" ca="1" si="310"/>
        <v>2862.9606297445212</v>
      </c>
      <c r="J251" s="85">
        <f t="shared" ca="1" si="311"/>
        <v>2461.4385277689598</v>
      </c>
      <c r="K251" s="85">
        <f t="shared" ca="1" si="312"/>
        <v>2728.7475996589419</v>
      </c>
      <c r="L251" s="85">
        <f t="shared" ca="1" si="313"/>
        <v>3063.8741493346211</v>
      </c>
      <c r="M251" s="85">
        <f t="shared" ca="1" si="314"/>
        <v>2344.0109793704614</v>
      </c>
      <c r="N251" s="85">
        <f t="shared" ca="1" si="315"/>
        <v>2598.3151355738619</v>
      </c>
      <c r="O251" s="85">
        <f t="shared" ca="1" si="316"/>
        <v>2754.5013608458889</v>
      </c>
      <c r="P251" s="85">
        <f t="shared" ca="1" si="317"/>
        <v>2739.1792409404638</v>
      </c>
      <c r="Q251" s="85">
        <f t="shared" ca="1" si="318"/>
        <v>3032.5546670156859</v>
      </c>
      <c r="R251" s="85">
        <f t="shared" ca="1" si="319"/>
        <v>2580.2145975045037</v>
      </c>
      <c r="S251" s="85">
        <f t="shared" ca="1" si="320"/>
        <v>2852.0425114576142</v>
      </c>
      <c r="T251" s="85">
        <f t="shared" ca="1" si="321"/>
        <v>2674.5578679807941</v>
      </c>
      <c r="U251" s="85">
        <f t="shared" ca="1" si="322"/>
        <v>2381.3329866609115</v>
      </c>
      <c r="V251" s="85">
        <f t="shared" ca="1" si="323"/>
        <v>3109.5499764009242</v>
      </c>
      <c r="W251" s="85">
        <f t="shared" ca="1" si="324"/>
        <v>2464.2127179103081</v>
      </c>
      <c r="X251" s="85">
        <f t="shared" ca="1" si="325"/>
        <v>2914.1061451704768</v>
      </c>
      <c r="Y251" s="85">
        <f t="shared" ca="1" si="326"/>
        <v>2408.1044379786813</v>
      </c>
      <c r="Z251" s="85">
        <f t="shared" ca="1" si="327"/>
        <v>2810.1031980388389</v>
      </c>
      <c r="AA251" s="85">
        <f t="shared" ca="1" si="328"/>
        <v>2265.5181496356154</v>
      </c>
      <c r="AB251" s="85">
        <f t="shared" ca="1" si="329"/>
        <v>3024.2432858321094</v>
      </c>
      <c r="AC251" s="85">
        <f t="shared" ca="1" si="330"/>
        <v>2870.2662326539139</v>
      </c>
      <c r="AD251" s="85">
        <f t="shared" ca="1" si="331"/>
        <v>2925.9231959697681</v>
      </c>
      <c r="AE251" s="85">
        <f t="shared" ca="1" si="332"/>
        <v>3313.7468685273689</v>
      </c>
      <c r="AF251" s="85">
        <f t="shared" ca="1" si="333"/>
        <v>2252.8918358117653</v>
      </c>
      <c r="AG251" s="85">
        <f t="shared" ca="1" si="334"/>
        <v>2966.4698376320284</v>
      </c>
      <c r="AH251" s="85">
        <f t="shared" ca="1" si="335"/>
        <v>2633.2689767348766</v>
      </c>
      <c r="AI251" s="85">
        <f t="shared" ca="1" si="336"/>
        <v>2868.6435136917917</v>
      </c>
      <c r="AJ251" s="85">
        <f t="shared" ca="1" si="337"/>
        <v>2997.9788851059916</v>
      </c>
      <c r="AK251" s="85">
        <f t="shared" ca="1" si="338"/>
        <v>2623.1958953029794</v>
      </c>
      <c r="AL251" s="85">
        <f t="shared" ca="1" si="339"/>
        <v>2528.788195302267</v>
      </c>
      <c r="AM251" s="85">
        <f t="shared" ca="1" si="340"/>
        <v>2622.9378663033526</v>
      </c>
      <c r="AN251" s="85">
        <f t="shared" ca="1" si="341"/>
        <v>2700.8797259722364</v>
      </c>
      <c r="AO251" s="85">
        <f t="shared" ca="1" si="342"/>
        <v>3502.5369058891133</v>
      </c>
      <c r="AP251" s="85">
        <f t="shared" ca="1" si="343"/>
        <v>2989.7504434293892</v>
      </c>
      <c r="AQ251" s="85">
        <f t="shared" ca="1" si="344"/>
        <v>2383.0778440731674</v>
      </c>
      <c r="AR251" s="85">
        <f t="shared" ca="1" si="345"/>
        <v>3058.5090632576384</v>
      </c>
      <c r="AS251" s="85">
        <f t="shared" ca="1" si="346"/>
        <v>2501.6617974488872</v>
      </c>
      <c r="AT251" s="85">
        <f t="shared" ca="1" si="347"/>
        <v>2768.9709314593842</v>
      </c>
      <c r="AU251" s="85">
        <f t="shared" ca="1" si="348"/>
        <v>2516.9477933734493</v>
      </c>
      <c r="AV251" s="85">
        <f t="shared" ca="1" si="349"/>
        <v>2924.0401437484475</v>
      </c>
      <c r="AW251" s="85">
        <f t="shared" ca="1" si="350"/>
        <v>2639.3768506213664</v>
      </c>
      <c r="AX251" s="85">
        <f t="shared" ca="1" si="351"/>
        <v>3501.9070299387181</v>
      </c>
      <c r="AY251" s="85">
        <f t="shared" ca="1" si="352"/>
        <v>3213.4872464379132</v>
      </c>
      <c r="AZ251" s="85">
        <f t="shared" ca="1" si="353"/>
        <v>3029.1756438809148</v>
      </c>
      <c r="BA251" s="85">
        <f t="shared" ca="1" si="354"/>
        <v>3153.5428885925025</v>
      </c>
      <c r="BB251" s="85">
        <f t="shared" ca="1" si="355"/>
        <v>2488.7435486571003</v>
      </c>
      <c r="BC251" s="85">
        <f t="shared" ca="1" si="356"/>
        <v>3088.4284020100395</v>
      </c>
      <c r="BD251" s="85">
        <f t="shared" ca="1" si="357"/>
        <v>2908.756152252402</v>
      </c>
      <c r="BE251" s="85">
        <f t="shared" ca="1" si="358"/>
        <v>2588.3008386604179</v>
      </c>
      <c r="BF251" s="85">
        <f t="shared" ca="1" si="359"/>
        <v>2336.401945115002</v>
      </c>
      <c r="BG251" s="85">
        <f t="shared" ca="1" si="360"/>
        <v>2192.929240987351</v>
      </c>
      <c r="BH251" s="85">
        <f t="shared" ca="1" si="361"/>
        <v>2690.9470059607124</v>
      </c>
      <c r="BI251" s="85">
        <f t="shared" ca="1" si="362"/>
        <v>2464.3765580800809</v>
      </c>
      <c r="BJ251" s="85">
        <f t="shared" ca="1" si="363"/>
        <v>2614.2915474492938</v>
      </c>
      <c r="BK251" s="85">
        <f t="shared" ca="1" si="364"/>
        <v>2612.8648736126725</v>
      </c>
      <c r="BL251" s="85">
        <f t="shared" ca="1" si="365"/>
        <v>2461.0823305644471</v>
      </c>
      <c r="BM251" s="85">
        <f t="shared" ca="1" si="366"/>
        <v>2646.4930791336647</v>
      </c>
      <c r="BN251" s="85">
        <f t="shared" ca="1" si="303"/>
        <v>3048.7140185180619</v>
      </c>
      <c r="BO251" s="85">
        <f t="shared" ca="1" si="392"/>
        <v>3085.686683426175</v>
      </c>
      <c r="BP251" s="85">
        <f t="shared" ca="1" si="393"/>
        <v>2574.0655951734843</v>
      </c>
      <c r="BQ251" s="85">
        <f t="shared" ca="1" si="394"/>
        <v>2771.8541516384794</v>
      </c>
      <c r="BR251" s="85">
        <f t="shared" ca="1" si="395"/>
        <v>2365.5696587228222</v>
      </c>
      <c r="BS251" s="85">
        <f t="shared" ca="1" si="396"/>
        <v>2813.6886976766341</v>
      </c>
      <c r="BT251" s="85">
        <f t="shared" ca="1" si="397"/>
        <v>3002.3856682381547</v>
      </c>
      <c r="BU251" s="85">
        <f t="shared" ca="1" si="398"/>
        <v>2305.2360557418515</v>
      </c>
      <c r="BV251" s="85">
        <f t="shared" ca="1" si="399"/>
        <v>2526.4517422456711</v>
      </c>
      <c r="BW251" s="85">
        <f t="shared" ca="1" si="400"/>
        <v>2922.0738763601071</v>
      </c>
      <c r="BX251" s="85">
        <f t="shared" ca="1" si="401"/>
        <v>3041.0886073122115</v>
      </c>
      <c r="BY251" s="85">
        <f t="shared" ca="1" si="367"/>
        <v>2371.6788284879453</v>
      </c>
      <c r="BZ251" s="85">
        <f t="shared" ca="1" si="368"/>
        <v>2540.1660146416052</v>
      </c>
      <c r="CA251" s="85">
        <f t="shared" ca="1" si="369"/>
        <v>2770.5139416014295</v>
      </c>
      <c r="CB251" s="85">
        <f t="shared" ca="1" si="370"/>
        <v>2566.6370497751759</v>
      </c>
      <c r="CC251" s="85">
        <f t="shared" ca="1" si="371"/>
        <v>2891.4854821859094</v>
      </c>
      <c r="CD251" s="85">
        <f t="shared" ca="1" si="372"/>
        <v>2944.5228269654745</v>
      </c>
      <c r="CE251" s="85">
        <f t="shared" ca="1" si="373"/>
        <v>2549.4300223989089</v>
      </c>
      <c r="CF251" s="85">
        <f t="shared" ca="1" si="374"/>
        <v>3092.285715893715</v>
      </c>
      <c r="CG251" s="85">
        <f t="shared" ca="1" si="375"/>
        <v>2171.9947349835652</v>
      </c>
      <c r="CH251" s="85">
        <f t="shared" ca="1" si="376"/>
        <v>2708.7875979720448</v>
      </c>
      <c r="CI251" s="85">
        <f t="shared" ca="1" si="377"/>
        <v>2434.7038399310841</v>
      </c>
      <c r="CJ251" s="85">
        <f t="shared" ca="1" si="378"/>
        <v>2375.3794154642487</v>
      </c>
      <c r="CK251" s="85">
        <f t="shared" ca="1" si="379"/>
        <v>2652.3683924233947</v>
      </c>
      <c r="CL251" s="85">
        <f t="shared" ca="1" si="380"/>
        <v>2471.364093940258</v>
      </c>
      <c r="CM251" s="85">
        <f t="shared" ca="1" si="381"/>
        <v>2945.5643216394897</v>
      </c>
      <c r="CN251" s="85">
        <f t="shared" ca="1" si="382"/>
        <v>2172.9700826284111</v>
      </c>
      <c r="CO251" s="85">
        <f t="shared" ca="1" si="383"/>
        <v>2511.681183821689</v>
      </c>
      <c r="CP251" s="85">
        <f t="shared" ca="1" si="384"/>
        <v>2866.371496569584</v>
      </c>
      <c r="CQ251" s="85">
        <f t="shared" ca="1" si="385"/>
        <v>2577.9586606190078</v>
      </c>
      <c r="CR251" s="85">
        <f t="shared" ca="1" si="386"/>
        <v>2684.5718789743405</v>
      </c>
      <c r="CS251" s="85">
        <f t="shared" ca="1" si="387"/>
        <v>2103.1734144430188</v>
      </c>
      <c r="CT251" s="85">
        <f t="shared" ca="1" si="388"/>
        <v>2475.8804253486842</v>
      </c>
      <c r="CU251" s="85">
        <f t="shared" ca="1" si="389"/>
        <v>3132.5501467786289</v>
      </c>
      <c r="CV251" s="85">
        <f t="shared" ca="1" si="390"/>
        <v>2486.5746892048678</v>
      </c>
      <c r="CW251" s="85">
        <f t="shared" ca="1" si="391"/>
        <v>2705.0755115711099</v>
      </c>
    </row>
    <row r="252" spans="1:101" x14ac:dyDescent="0.2">
      <c r="A252" s="115">
        <v>249</v>
      </c>
      <c r="B252" s="85">
        <f t="shared" ca="1" si="302"/>
        <v>2011.4094530560153</v>
      </c>
      <c r="C252" s="85">
        <f t="shared" ca="1" si="304"/>
        <v>2655.9846126638649</v>
      </c>
      <c r="D252" s="85">
        <f t="shared" ca="1" si="305"/>
        <v>2719.7385844372584</v>
      </c>
      <c r="E252" s="85">
        <f t="shared" ca="1" si="306"/>
        <v>2232.4870559913293</v>
      </c>
      <c r="F252" s="85">
        <f t="shared" ca="1" si="307"/>
        <v>2676.1861939885603</v>
      </c>
      <c r="G252" s="85">
        <f t="shared" ca="1" si="308"/>
        <v>2729.2335823846356</v>
      </c>
      <c r="H252" s="85">
        <f t="shared" ca="1" si="309"/>
        <v>2679.292270657204</v>
      </c>
      <c r="I252" s="85">
        <f t="shared" ca="1" si="310"/>
        <v>2933.9846975914907</v>
      </c>
      <c r="J252" s="85">
        <f t="shared" ca="1" si="311"/>
        <v>2498.5756491867537</v>
      </c>
      <c r="K252" s="85">
        <f t="shared" ca="1" si="312"/>
        <v>2755.5531962658119</v>
      </c>
      <c r="L252" s="85">
        <f t="shared" ca="1" si="313"/>
        <v>3081.7808721417668</v>
      </c>
      <c r="M252" s="85">
        <f t="shared" ca="1" si="314"/>
        <v>2376.2598191784796</v>
      </c>
      <c r="N252" s="85">
        <f t="shared" ca="1" si="315"/>
        <v>2664.1493462391186</v>
      </c>
      <c r="O252" s="85">
        <f t="shared" ca="1" si="316"/>
        <v>2749.7317229785381</v>
      </c>
      <c r="P252" s="85">
        <f t="shared" ca="1" si="317"/>
        <v>2764.4975842568078</v>
      </c>
      <c r="Q252" s="85">
        <f t="shared" ca="1" si="318"/>
        <v>3067.7477440735552</v>
      </c>
      <c r="R252" s="85">
        <f t="shared" ca="1" si="319"/>
        <v>2609.6770697403026</v>
      </c>
      <c r="S252" s="85">
        <f t="shared" ca="1" si="320"/>
        <v>2894.5798444253578</v>
      </c>
      <c r="T252" s="85">
        <f t="shared" ca="1" si="321"/>
        <v>2732.4690713352734</v>
      </c>
      <c r="U252" s="85">
        <f t="shared" ca="1" si="322"/>
        <v>2414.9613967077303</v>
      </c>
      <c r="V252" s="85">
        <f t="shared" ca="1" si="323"/>
        <v>3163.6662174716885</v>
      </c>
      <c r="W252" s="85">
        <f t="shared" ca="1" si="324"/>
        <v>2508.6228506098105</v>
      </c>
      <c r="X252" s="85">
        <f t="shared" ca="1" si="325"/>
        <v>2990.1321464695638</v>
      </c>
      <c r="Y252" s="85">
        <f t="shared" ca="1" si="326"/>
        <v>2414.1419173269942</v>
      </c>
      <c r="Z252" s="85">
        <f t="shared" ca="1" si="327"/>
        <v>2859.1856979124723</v>
      </c>
      <c r="AA252" s="85">
        <f t="shared" ca="1" si="328"/>
        <v>2285.318076383775</v>
      </c>
      <c r="AB252" s="85">
        <f t="shared" ca="1" si="329"/>
        <v>3056.2568840357453</v>
      </c>
      <c r="AC252" s="85">
        <f t="shared" ca="1" si="330"/>
        <v>2904.9254424203241</v>
      </c>
      <c r="AD252" s="85">
        <f t="shared" ca="1" si="331"/>
        <v>2994.4451067875398</v>
      </c>
      <c r="AE252" s="85">
        <f t="shared" ca="1" si="332"/>
        <v>3338.069270581741</v>
      </c>
      <c r="AF252" s="85">
        <f t="shared" ca="1" si="333"/>
        <v>2295.5201890389758</v>
      </c>
      <c r="AG252" s="85">
        <f t="shared" ca="1" si="334"/>
        <v>2989.9087713135445</v>
      </c>
      <c r="AH252" s="85">
        <f t="shared" ca="1" si="335"/>
        <v>2688.2581645447131</v>
      </c>
      <c r="AI252" s="85">
        <f t="shared" ca="1" si="336"/>
        <v>2897.7101239755834</v>
      </c>
      <c r="AJ252" s="85">
        <f t="shared" ca="1" si="337"/>
        <v>3027.7632334006303</v>
      </c>
      <c r="AK252" s="85">
        <f t="shared" ca="1" si="338"/>
        <v>2661.4309816431596</v>
      </c>
      <c r="AL252" s="85">
        <f t="shared" ca="1" si="339"/>
        <v>2552.820040176473</v>
      </c>
      <c r="AM252" s="85">
        <f t="shared" ca="1" si="340"/>
        <v>2654.9753512677612</v>
      </c>
      <c r="AN252" s="85">
        <f t="shared" ca="1" si="341"/>
        <v>2728.4428538302873</v>
      </c>
      <c r="AO252" s="85">
        <f t="shared" ca="1" si="342"/>
        <v>3529.3415458447957</v>
      </c>
      <c r="AP252" s="85">
        <f t="shared" ca="1" si="343"/>
        <v>3071.2515802588255</v>
      </c>
      <c r="AQ252" s="85">
        <f t="shared" ca="1" si="344"/>
        <v>2437.2233090639875</v>
      </c>
      <c r="AR252" s="85">
        <f t="shared" ca="1" si="345"/>
        <v>3077.6238538608645</v>
      </c>
      <c r="AS252" s="85">
        <f t="shared" ca="1" si="346"/>
        <v>2516.1455483808336</v>
      </c>
      <c r="AT252" s="85">
        <f t="shared" ca="1" si="347"/>
        <v>2821.2491767588217</v>
      </c>
      <c r="AU252" s="85">
        <f t="shared" ca="1" si="348"/>
        <v>2567.2824064647216</v>
      </c>
      <c r="AV252" s="85">
        <f t="shared" ca="1" si="349"/>
        <v>2979.5729154383503</v>
      </c>
      <c r="AW252" s="85">
        <f t="shared" ca="1" si="350"/>
        <v>2666.0618611590371</v>
      </c>
      <c r="AX252" s="85">
        <f t="shared" ca="1" si="351"/>
        <v>3472.6782404667697</v>
      </c>
      <c r="AY252" s="85">
        <f t="shared" ca="1" si="352"/>
        <v>3235.0560851638916</v>
      </c>
      <c r="AZ252" s="85">
        <f t="shared" ca="1" si="353"/>
        <v>3059.0544037705263</v>
      </c>
      <c r="BA252" s="85">
        <f t="shared" ca="1" si="354"/>
        <v>3218.9553110067304</v>
      </c>
      <c r="BB252" s="85">
        <f t="shared" ca="1" si="355"/>
        <v>2512.7536018576429</v>
      </c>
      <c r="BC252" s="85">
        <f t="shared" ca="1" si="356"/>
        <v>3110.0345759933089</v>
      </c>
      <c r="BD252" s="85">
        <f t="shared" ca="1" si="357"/>
        <v>2958.6736559480532</v>
      </c>
      <c r="BE252" s="85">
        <f t="shared" ca="1" si="358"/>
        <v>2611.6826448900356</v>
      </c>
      <c r="BF252" s="85">
        <f t="shared" ca="1" si="359"/>
        <v>2387.7644003551013</v>
      </c>
      <c r="BG252" s="85">
        <f t="shared" ca="1" si="360"/>
        <v>2222.7796954533455</v>
      </c>
      <c r="BH252" s="85">
        <f t="shared" ca="1" si="361"/>
        <v>2730.0965143971562</v>
      </c>
      <c r="BI252" s="85">
        <f t="shared" ca="1" si="362"/>
        <v>2492.7150818557093</v>
      </c>
      <c r="BJ252" s="85">
        <f t="shared" ca="1" si="363"/>
        <v>2650.4382985988918</v>
      </c>
      <c r="BK252" s="85">
        <f t="shared" ca="1" si="364"/>
        <v>2647.4844934870011</v>
      </c>
      <c r="BL252" s="85">
        <f t="shared" ca="1" si="365"/>
        <v>2490.2374121894832</v>
      </c>
      <c r="BM252" s="85">
        <f t="shared" ca="1" si="366"/>
        <v>2674.5404999311618</v>
      </c>
      <c r="BN252" s="85">
        <f t="shared" ca="1" si="303"/>
        <v>3097.3535430022016</v>
      </c>
      <c r="BO252" s="85">
        <f t="shared" ca="1" si="392"/>
        <v>3147.4699670621067</v>
      </c>
      <c r="BP252" s="85">
        <f t="shared" ca="1" si="393"/>
        <v>2604.1899898309744</v>
      </c>
      <c r="BQ252" s="85">
        <f t="shared" ca="1" si="394"/>
        <v>2799.9034967450225</v>
      </c>
      <c r="BR252" s="85">
        <f t="shared" ca="1" si="395"/>
        <v>2388.6782431098054</v>
      </c>
      <c r="BS252" s="85">
        <f t="shared" ca="1" si="396"/>
        <v>2827.034523373638</v>
      </c>
      <c r="BT252" s="85">
        <f t="shared" ca="1" si="397"/>
        <v>3050.4151383400572</v>
      </c>
      <c r="BU252" s="85">
        <f t="shared" ca="1" si="398"/>
        <v>2342.306258335836</v>
      </c>
      <c r="BV252" s="85">
        <f t="shared" ca="1" si="399"/>
        <v>2565.658994944898</v>
      </c>
      <c r="BW252" s="85">
        <f t="shared" ca="1" si="400"/>
        <v>2972.9465237118975</v>
      </c>
      <c r="BX252" s="85">
        <f t="shared" ca="1" si="401"/>
        <v>3061.1361291217481</v>
      </c>
      <c r="BY252" s="85">
        <f t="shared" ca="1" si="367"/>
        <v>2392.4222062604667</v>
      </c>
      <c r="BZ252" s="85">
        <f t="shared" ca="1" si="368"/>
        <v>2555.3801430262674</v>
      </c>
      <c r="CA252" s="85">
        <f t="shared" ca="1" si="369"/>
        <v>2855.48143025011</v>
      </c>
      <c r="CB252" s="85">
        <f t="shared" ca="1" si="370"/>
        <v>2572.2394008100737</v>
      </c>
      <c r="CC252" s="85">
        <f t="shared" ca="1" si="371"/>
        <v>2893.2049967839221</v>
      </c>
      <c r="CD252" s="85">
        <f t="shared" ca="1" si="372"/>
        <v>2949.9992539474197</v>
      </c>
      <c r="CE252" s="85">
        <f t="shared" ca="1" si="373"/>
        <v>2571.0283008527713</v>
      </c>
      <c r="CF252" s="85">
        <f t="shared" ca="1" si="374"/>
        <v>3176.6915221772697</v>
      </c>
      <c r="CG252" s="85">
        <f t="shared" ca="1" si="375"/>
        <v>2204.8363647632646</v>
      </c>
      <c r="CH252" s="85">
        <f t="shared" ca="1" si="376"/>
        <v>2771.5066279285643</v>
      </c>
      <c r="CI252" s="85">
        <f t="shared" ca="1" si="377"/>
        <v>2447.3948127062285</v>
      </c>
      <c r="CJ252" s="85">
        <f t="shared" ca="1" si="378"/>
        <v>2384.3754643242296</v>
      </c>
      <c r="CK252" s="85">
        <f t="shared" ca="1" si="379"/>
        <v>2680.2917630880393</v>
      </c>
      <c r="CL252" s="85">
        <f t="shared" ca="1" si="380"/>
        <v>2518.2459044471993</v>
      </c>
      <c r="CM252" s="85">
        <f t="shared" ca="1" si="381"/>
        <v>2976.361327960698</v>
      </c>
      <c r="CN252" s="85">
        <f t="shared" ca="1" si="382"/>
        <v>2195.5786462553551</v>
      </c>
      <c r="CO252" s="85">
        <f t="shared" ca="1" si="383"/>
        <v>2538.9040063768666</v>
      </c>
      <c r="CP252" s="85">
        <f t="shared" ca="1" si="384"/>
        <v>2950.4386714344805</v>
      </c>
      <c r="CQ252" s="85">
        <f t="shared" ca="1" si="385"/>
        <v>2610.518763999085</v>
      </c>
      <c r="CR252" s="85">
        <f t="shared" ca="1" si="386"/>
        <v>2743.0742449540376</v>
      </c>
      <c r="CS252" s="85">
        <f t="shared" ca="1" si="387"/>
        <v>2118.1904544865797</v>
      </c>
      <c r="CT252" s="85">
        <f t="shared" ca="1" si="388"/>
        <v>2497.011748333377</v>
      </c>
      <c r="CU252" s="85">
        <f t="shared" ca="1" si="389"/>
        <v>3160.4224526811581</v>
      </c>
      <c r="CV252" s="85">
        <f t="shared" ca="1" si="390"/>
        <v>2513.4649751150187</v>
      </c>
      <c r="CW252" s="85">
        <f t="shared" ca="1" si="391"/>
        <v>2751.0664714191112</v>
      </c>
    </row>
    <row r="253" spans="1:101" x14ac:dyDescent="0.2">
      <c r="A253" s="115">
        <v>250</v>
      </c>
      <c r="B253" s="85">
        <f t="shared" ca="1" si="302"/>
        <v>2073.6096310512999</v>
      </c>
      <c r="C253" s="85">
        <f t="shared" ca="1" si="304"/>
        <v>2675.7679196192034</v>
      </c>
      <c r="D253" s="85">
        <f t="shared" ca="1" si="305"/>
        <v>2789.9342520665805</v>
      </c>
      <c r="E253" s="85">
        <f t="shared" ca="1" si="306"/>
        <v>2253.1174729321378</v>
      </c>
      <c r="F253" s="85">
        <f t="shared" ca="1" si="307"/>
        <v>2723.7017375058222</v>
      </c>
      <c r="G253" s="85">
        <f t="shared" ca="1" si="308"/>
        <v>2805.8520567301334</v>
      </c>
      <c r="H253" s="85">
        <f t="shared" ca="1" si="309"/>
        <v>2731.8066077934909</v>
      </c>
      <c r="I253" s="85">
        <f t="shared" ca="1" si="310"/>
        <v>2979.5030862926365</v>
      </c>
      <c r="J253" s="85">
        <f t="shared" ca="1" si="311"/>
        <v>2503.8627568619886</v>
      </c>
      <c r="K253" s="85">
        <f t="shared" ca="1" si="312"/>
        <v>2780.4483452822246</v>
      </c>
      <c r="L253" s="85">
        <f t="shared" ca="1" si="313"/>
        <v>3094.0778640885264</v>
      </c>
      <c r="M253" s="85">
        <f t="shared" ca="1" si="314"/>
        <v>2415.9801520819442</v>
      </c>
      <c r="N253" s="85">
        <f t="shared" ca="1" si="315"/>
        <v>2685.8454822052822</v>
      </c>
      <c r="O253" s="85">
        <f t="shared" ca="1" si="316"/>
        <v>2757.83401512005</v>
      </c>
      <c r="P253" s="85">
        <f t="shared" ca="1" si="317"/>
        <v>2821.7770622706294</v>
      </c>
      <c r="Q253" s="85">
        <f t="shared" ca="1" si="318"/>
        <v>3132.0853173212281</v>
      </c>
      <c r="R253" s="85">
        <f t="shared" ca="1" si="319"/>
        <v>2625.8992561657396</v>
      </c>
      <c r="S253" s="85">
        <f t="shared" ca="1" si="320"/>
        <v>2941.5753686902522</v>
      </c>
      <c r="T253" s="85">
        <f t="shared" ca="1" si="321"/>
        <v>2775.8263947206083</v>
      </c>
      <c r="U253" s="85">
        <f t="shared" ca="1" si="322"/>
        <v>2460.1971941145775</v>
      </c>
      <c r="V253" s="85">
        <f t="shared" ca="1" si="323"/>
        <v>3196.0292374088676</v>
      </c>
      <c r="W253" s="85">
        <f t="shared" ca="1" si="324"/>
        <v>2551.7129386900851</v>
      </c>
      <c r="X253" s="85">
        <f t="shared" ca="1" si="325"/>
        <v>3043.465264182561</v>
      </c>
      <c r="Y253" s="85">
        <f t="shared" ca="1" si="326"/>
        <v>2415.122558128483</v>
      </c>
      <c r="Z253" s="85">
        <f t="shared" ca="1" si="327"/>
        <v>2927.3391525771208</v>
      </c>
      <c r="AA253" s="85">
        <f t="shared" ca="1" si="328"/>
        <v>2310.436016795632</v>
      </c>
      <c r="AB253" s="85">
        <f t="shared" ca="1" si="329"/>
        <v>3112.0119991001493</v>
      </c>
      <c r="AC253" s="85">
        <f t="shared" ca="1" si="330"/>
        <v>2942.8426485761884</v>
      </c>
      <c r="AD253" s="85">
        <f t="shared" ca="1" si="331"/>
        <v>3044.985511013997</v>
      </c>
      <c r="AE253" s="85">
        <f t="shared" ca="1" si="332"/>
        <v>3369.2534864399181</v>
      </c>
      <c r="AF253" s="85">
        <f t="shared" ca="1" si="333"/>
        <v>2323.058986618878</v>
      </c>
      <c r="AG253" s="85">
        <f t="shared" ca="1" si="334"/>
        <v>3050.4983358070544</v>
      </c>
      <c r="AH253" s="85">
        <f t="shared" ca="1" si="335"/>
        <v>2745.9190313088679</v>
      </c>
      <c r="AI253" s="85">
        <f t="shared" ca="1" si="336"/>
        <v>2879.3454435968229</v>
      </c>
      <c r="AJ253" s="85">
        <f t="shared" ca="1" si="337"/>
        <v>3061.8555730106536</v>
      </c>
      <c r="AK253" s="85">
        <f t="shared" ca="1" si="338"/>
        <v>2693.1630723805288</v>
      </c>
      <c r="AL253" s="85">
        <f t="shared" ca="1" si="339"/>
        <v>2599.937042718771</v>
      </c>
      <c r="AM253" s="85">
        <f t="shared" ca="1" si="340"/>
        <v>2670.9887992983649</v>
      </c>
      <c r="AN253" s="85">
        <f t="shared" ca="1" si="341"/>
        <v>2796.1158089900546</v>
      </c>
      <c r="AO253" s="85">
        <f t="shared" ca="1" si="342"/>
        <v>3586.382950266724</v>
      </c>
      <c r="AP253" s="85">
        <f t="shared" ca="1" si="343"/>
        <v>3089.8892709522456</v>
      </c>
      <c r="AQ253" s="85">
        <f t="shared" ca="1" si="344"/>
        <v>2475.3044180787347</v>
      </c>
      <c r="AR253" s="85">
        <f t="shared" ca="1" si="345"/>
        <v>3133.4258749133246</v>
      </c>
      <c r="AS253" s="85">
        <f t="shared" ca="1" si="346"/>
        <v>2534.910381190015</v>
      </c>
      <c r="AT253" s="85">
        <f t="shared" ca="1" si="347"/>
        <v>2889.2323527910889</v>
      </c>
      <c r="AU253" s="85">
        <f t="shared" ca="1" si="348"/>
        <v>2638.1667638712083</v>
      </c>
      <c r="AV253" s="85">
        <f t="shared" ca="1" si="349"/>
        <v>3036.7783818909074</v>
      </c>
      <c r="AW253" s="85">
        <f t="shared" ca="1" si="350"/>
        <v>2685.2184843189179</v>
      </c>
      <c r="AX253" s="85">
        <f t="shared" ca="1" si="351"/>
        <v>3546.1743309922549</v>
      </c>
      <c r="AY253" s="85">
        <f t="shared" ca="1" si="352"/>
        <v>3311.3399574126811</v>
      </c>
      <c r="AZ253" s="85">
        <f t="shared" ca="1" si="353"/>
        <v>3081.555305844854</v>
      </c>
      <c r="BA253" s="85">
        <f t="shared" ca="1" si="354"/>
        <v>3267.5224467081389</v>
      </c>
      <c r="BB253" s="85">
        <f t="shared" ca="1" si="355"/>
        <v>2525.0999392562057</v>
      </c>
      <c r="BC253" s="85">
        <f t="shared" ca="1" si="356"/>
        <v>3136.3517708389263</v>
      </c>
      <c r="BD253" s="85">
        <f t="shared" ca="1" si="357"/>
        <v>3013.7797566940922</v>
      </c>
      <c r="BE253" s="85">
        <f t="shared" ca="1" si="358"/>
        <v>2669.5893993357613</v>
      </c>
      <c r="BF253" s="85">
        <f t="shared" ca="1" si="359"/>
        <v>2433.4211710172854</v>
      </c>
      <c r="BG253" s="85">
        <f t="shared" ca="1" si="360"/>
        <v>2265.124043096529</v>
      </c>
      <c r="BH253" s="85">
        <f t="shared" ca="1" si="361"/>
        <v>2768.081235449753</v>
      </c>
      <c r="BI253" s="85">
        <f t="shared" ca="1" si="362"/>
        <v>2532.1015720349883</v>
      </c>
      <c r="BJ253" s="85">
        <f t="shared" ca="1" si="363"/>
        <v>2683.6192530675225</v>
      </c>
      <c r="BK253" s="85">
        <f t="shared" ca="1" si="364"/>
        <v>2714.1254289836756</v>
      </c>
      <c r="BL253" s="85">
        <f t="shared" ca="1" si="365"/>
        <v>2532.7076994248487</v>
      </c>
      <c r="BM253" s="85">
        <f t="shared" ca="1" si="366"/>
        <v>2681.2129468212916</v>
      </c>
      <c r="BN253" s="85">
        <f t="shared" ca="1" si="303"/>
        <v>3154.570259517759</v>
      </c>
      <c r="BO253" s="85">
        <f t="shared" ca="1" si="392"/>
        <v>3196.7354645559176</v>
      </c>
      <c r="BP253" s="85">
        <f t="shared" ca="1" si="393"/>
        <v>2616.9953165240681</v>
      </c>
      <c r="BQ253" s="85">
        <f t="shared" ca="1" si="394"/>
        <v>2814.3757449106529</v>
      </c>
      <c r="BR253" s="85">
        <f t="shared" ca="1" si="395"/>
        <v>2424.8670272395125</v>
      </c>
      <c r="BS253" s="85">
        <f t="shared" ca="1" si="396"/>
        <v>2856.4025820711699</v>
      </c>
      <c r="BT253" s="85">
        <f t="shared" ca="1" si="397"/>
        <v>3076.5498725925495</v>
      </c>
      <c r="BU253" s="85">
        <f t="shared" ca="1" si="398"/>
        <v>2381.7470356053987</v>
      </c>
      <c r="BV253" s="85">
        <f t="shared" ca="1" si="399"/>
        <v>2616.2103608675475</v>
      </c>
      <c r="BW253" s="85">
        <f t="shared" ca="1" si="400"/>
        <v>2994.2087159322145</v>
      </c>
      <c r="BX253" s="85">
        <f t="shared" ca="1" si="401"/>
        <v>3107.2676487847948</v>
      </c>
      <c r="BY253" s="85">
        <f t="shared" ca="1" si="367"/>
        <v>2443.0632379836288</v>
      </c>
      <c r="BZ253" s="85">
        <f t="shared" ca="1" si="368"/>
        <v>2568.9924637802928</v>
      </c>
      <c r="CA253" s="85">
        <f t="shared" ca="1" si="369"/>
        <v>2890.4539869158357</v>
      </c>
      <c r="CB253" s="85">
        <f t="shared" ca="1" si="370"/>
        <v>2587.4289195712063</v>
      </c>
      <c r="CC253" s="85">
        <f t="shared" ca="1" si="371"/>
        <v>2919.8859745764917</v>
      </c>
      <c r="CD253" s="85">
        <f t="shared" ca="1" si="372"/>
        <v>2994.7175180639797</v>
      </c>
      <c r="CE253" s="85">
        <f t="shared" ca="1" si="373"/>
        <v>2616.4602218318169</v>
      </c>
      <c r="CF253" s="85">
        <f t="shared" ca="1" si="374"/>
        <v>3234.5347600260498</v>
      </c>
      <c r="CG253" s="85">
        <f t="shared" ca="1" si="375"/>
        <v>2256.4558238626223</v>
      </c>
      <c r="CH253" s="85">
        <f t="shared" ca="1" si="376"/>
        <v>2813.5116903896901</v>
      </c>
      <c r="CI253" s="85">
        <f t="shared" ca="1" si="377"/>
        <v>2498.2124796898565</v>
      </c>
      <c r="CJ253" s="85">
        <f t="shared" ca="1" si="378"/>
        <v>2392.7209559506664</v>
      </c>
      <c r="CK253" s="85">
        <f t="shared" ca="1" si="379"/>
        <v>2737.7146870716724</v>
      </c>
      <c r="CL253" s="85">
        <f t="shared" ca="1" si="380"/>
        <v>2538.3161149780985</v>
      </c>
      <c r="CM253" s="85">
        <f t="shared" ca="1" si="381"/>
        <v>3028.7276276089488</v>
      </c>
      <c r="CN253" s="85">
        <f t="shared" ca="1" si="382"/>
        <v>2239.1903083599818</v>
      </c>
      <c r="CO253" s="85">
        <f t="shared" ca="1" si="383"/>
        <v>2587.3907480584489</v>
      </c>
      <c r="CP253" s="85">
        <f t="shared" ca="1" si="384"/>
        <v>3030.199834214849</v>
      </c>
      <c r="CQ253" s="85">
        <f t="shared" ca="1" si="385"/>
        <v>2636.213467956723</v>
      </c>
      <c r="CR253" s="85">
        <f t="shared" ca="1" si="386"/>
        <v>2807.5755697379818</v>
      </c>
      <c r="CS253" s="85">
        <f t="shared" ca="1" si="387"/>
        <v>2167.7116830522855</v>
      </c>
      <c r="CT253" s="85">
        <f t="shared" ca="1" si="388"/>
        <v>2550.7424740267666</v>
      </c>
      <c r="CU253" s="85">
        <f t="shared" ca="1" si="389"/>
        <v>3191.790714653107</v>
      </c>
      <c r="CV253" s="85">
        <f t="shared" ca="1" si="390"/>
        <v>2547.1588892097375</v>
      </c>
      <c r="CW253" s="85">
        <f t="shared" ca="1" si="391"/>
        <v>2770.0924791801031</v>
      </c>
    </row>
    <row r="254" spans="1:101" x14ac:dyDescent="0.2">
      <c r="A254" s="115">
        <v>251</v>
      </c>
      <c r="B254" s="85">
        <f t="shared" ca="1" si="302"/>
        <v>2120.3276707653263</v>
      </c>
      <c r="C254" s="85">
        <f t="shared" ca="1" si="304"/>
        <v>2705.9033059366498</v>
      </c>
      <c r="D254" s="85">
        <f t="shared" ca="1" si="305"/>
        <v>2857.6892033273248</v>
      </c>
      <c r="E254" s="85">
        <f t="shared" ca="1" si="306"/>
        <v>2254.882931904157</v>
      </c>
      <c r="F254" s="85">
        <f t="shared" ca="1" si="307"/>
        <v>2760.3863287357462</v>
      </c>
      <c r="G254" s="85">
        <f t="shared" ca="1" si="308"/>
        <v>2878.9142092915604</v>
      </c>
      <c r="H254" s="85">
        <f t="shared" ca="1" si="309"/>
        <v>2755.3834543402459</v>
      </c>
      <c r="I254" s="85">
        <f t="shared" ca="1" si="310"/>
        <v>3009.0447634605257</v>
      </c>
      <c r="J254" s="85">
        <f t="shared" ca="1" si="311"/>
        <v>2552.3267530029989</v>
      </c>
      <c r="K254" s="85">
        <f t="shared" ca="1" si="312"/>
        <v>2818.6633217461972</v>
      </c>
      <c r="L254" s="85">
        <f t="shared" ca="1" si="313"/>
        <v>3167.4334240048543</v>
      </c>
      <c r="M254" s="85">
        <f t="shared" ca="1" si="314"/>
        <v>2428.4695570579497</v>
      </c>
      <c r="N254" s="85">
        <f t="shared" ca="1" si="315"/>
        <v>2665.6370892486234</v>
      </c>
      <c r="O254" s="85">
        <f t="shared" ca="1" si="316"/>
        <v>2809.4554874114315</v>
      </c>
      <c r="P254" s="85">
        <f t="shared" ca="1" si="317"/>
        <v>2861.3395385605163</v>
      </c>
      <c r="Q254" s="85">
        <f t="shared" ca="1" si="318"/>
        <v>3191.9736686885212</v>
      </c>
      <c r="R254" s="85">
        <f t="shared" ca="1" si="319"/>
        <v>2658.0424876897246</v>
      </c>
      <c r="S254" s="85">
        <f t="shared" ca="1" si="320"/>
        <v>2946.0989578762346</v>
      </c>
      <c r="T254" s="85">
        <f t="shared" ca="1" si="321"/>
        <v>2819.9324431091177</v>
      </c>
      <c r="U254" s="85">
        <f t="shared" ca="1" si="322"/>
        <v>2474.1812288871952</v>
      </c>
      <c r="V254" s="85">
        <f t="shared" ca="1" si="323"/>
        <v>3257.3811098039569</v>
      </c>
      <c r="W254" s="85">
        <f t="shared" ca="1" si="324"/>
        <v>2613.1107587695246</v>
      </c>
      <c r="X254" s="85">
        <f t="shared" ca="1" si="325"/>
        <v>3086.6445266680871</v>
      </c>
      <c r="Y254" s="85">
        <f t="shared" ca="1" si="326"/>
        <v>2443.8381191180229</v>
      </c>
      <c r="Z254" s="85">
        <f t="shared" ca="1" si="327"/>
        <v>2957.8783252796434</v>
      </c>
      <c r="AA254" s="85">
        <f t="shared" ca="1" si="328"/>
        <v>2375.0847473673512</v>
      </c>
      <c r="AB254" s="85">
        <f t="shared" ca="1" si="329"/>
        <v>3147.9115597586988</v>
      </c>
      <c r="AC254" s="85">
        <f t="shared" ca="1" si="330"/>
        <v>2961.533279909142</v>
      </c>
      <c r="AD254" s="85">
        <f t="shared" ca="1" si="331"/>
        <v>3086.9057345227561</v>
      </c>
      <c r="AE254" s="85">
        <f t="shared" ca="1" si="332"/>
        <v>3406.9030303953932</v>
      </c>
      <c r="AF254" s="85">
        <f t="shared" ca="1" si="333"/>
        <v>2321.4355214256257</v>
      </c>
      <c r="AG254" s="85">
        <f t="shared" ca="1" si="334"/>
        <v>3078.6735569438988</v>
      </c>
      <c r="AH254" s="85">
        <f t="shared" ca="1" si="335"/>
        <v>2770.8113427567855</v>
      </c>
      <c r="AI254" s="85">
        <f t="shared" ca="1" si="336"/>
        <v>2899.1209815381358</v>
      </c>
      <c r="AJ254" s="85">
        <f t="shared" ca="1" si="337"/>
        <v>3083.2619729840576</v>
      </c>
      <c r="AK254" s="85">
        <f t="shared" ca="1" si="338"/>
        <v>2729.4977161851903</v>
      </c>
      <c r="AL254" s="85">
        <f t="shared" ca="1" si="339"/>
        <v>2616.6193201786486</v>
      </c>
      <c r="AM254" s="85">
        <f t="shared" ca="1" si="340"/>
        <v>2672.5689272372324</v>
      </c>
      <c r="AN254" s="85">
        <f t="shared" ca="1" si="341"/>
        <v>2804.984039320213</v>
      </c>
      <c r="AO254" s="85">
        <f t="shared" ca="1" si="342"/>
        <v>3668.897224071301</v>
      </c>
      <c r="AP254" s="85">
        <f t="shared" ca="1" si="343"/>
        <v>3124.7077744287039</v>
      </c>
      <c r="AQ254" s="85">
        <f t="shared" ca="1" si="344"/>
        <v>2540.3435052107397</v>
      </c>
      <c r="AR254" s="85">
        <f t="shared" ca="1" si="345"/>
        <v>3152.5667988274677</v>
      </c>
      <c r="AS254" s="85">
        <f t="shared" ca="1" si="346"/>
        <v>2564.8825561084909</v>
      </c>
      <c r="AT254" s="85">
        <f t="shared" ca="1" si="347"/>
        <v>2933.9006859668839</v>
      </c>
      <c r="AU254" s="85">
        <f t="shared" ca="1" si="348"/>
        <v>2697.7119673235775</v>
      </c>
      <c r="AV254" s="85">
        <f t="shared" ca="1" si="349"/>
        <v>3071.8857240610128</v>
      </c>
      <c r="AW254" s="85">
        <f t="shared" ca="1" si="350"/>
        <v>2731.9470445810775</v>
      </c>
      <c r="AX254" s="85">
        <f t="shared" ca="1" si="351"/>
        <v>3614.6116536649447</v>
      </c>
      <c r="AY254" s="85">
        <f t="shared" ca="1" si="352"/>
        <v>3292.3813017365974</v>
      </c>
      <c r="AZ254" s="85">
        <f t="shared" ca="1" si="353"/>
        <v>3111.4109060452265</v>
      </c>
      <c r="BA254" s="85">
        <f t="shared" ca="1" si="354"/>
        <v>3319.4146211196694</v>
      </c>
      <c r="BB254" s="85">
        <f t="shared" ca="1" si="355"/>
        <v>2561.9964904068506</v>
      </c>
      <c r="BC254" s="85">
        <f t="shared" ca="1" si="356"/>
        <v>3159.9471318979549</v>
      </c>
      <c r="BD254" s="85">
        <f t="shared" ca="1" si="357"/>
        <v>3082.7081459481747</v>
      </c>
      <c r="BE254" s="85">
        <f t="shared" ca="1" si="358"/>
        <v>2731.2543235076328</v>
      </c>
      <c r="BF254" s="85">
        <f t="shared" ca="1" si="359"/>
        <v>2458.7735578210913</v>
      </c>
      <c r="BG254" s="85">
        <f t="shared" ca="1" si="360"/>
        <v>2310.3593935946951</v>
      </c>
      <c r="BH254" s="85">
        <f t="shared" ca="1" si="361"/>
        <v>2800.7266704634476</v>
      </c>
      <c r="BI254" s="85">
        <f t="shared" ca="1" si="362"/>
        <v>2573.9220315126031</v>
      </c>
      <c r="BJ254" s="85">
        <f t="shared" ca="1" si="363"/>
        <v>2701.1990324433118</v>
      </c>
      <c r="BK254" s="85">
        <f t="shared" ca="1" si="364"/>
        <v>2738.1434518511323</v>
      </c>
      <c r="BL254" s="85">
        <f t="shared" ca="1" si="365"/>
        <v>2584.4096735559651</v>
      </c>
      <c r="BM254" s="85">
        <f t="shared" ca="1" si="366"/>
        <v>2688.5467474814036</v>
      </c>
      <c r="BN254" s="85">
        <f t="shared" ca="1" si="303"/>
        <v>3188.0828438703106</v>
      </c>
      <c r="BO254" s="85">
        <f t="shared" ca="1" si="392"/>
        <v>3246.2273355470575</v>
      </c>
      <c r="BP254" s="85">
        <f t="shared" ca="1" si="393"/>
        <v>2664.7847904640439</v>
      </c>
      <c r="BQ254" s="85">
        <f t="shared" ca="1" si="394"/>
        <v>2869.8464601274568</v>
      </c>
      <c r="BR254" s="85">
        <f t="shared" ca="1" si="395"/>
        <v>2459.499410186037</v>
      </c>
      <c r="BS254" s="85">
        <f t="shared" ca="1" si="396"/>
        <v>2880.9699317357795</v>
      </c>
      <c r="BT254" s="85">
        <f t="shared" ca="1" si="397"/>
        <v>3131.7857822806782</v>
      </c>
      <c r="BU254" s="85">
        <f t="shared" ca="1" si="398"/>
        <v>2432.5820978923866</v>
      </c>
      <c r="BV254" s="85">
        <f t="shared" ca="1" si="399"/>
        <v>2677.4002027316083</v>
      </c>
      <c r="BW254" s="85">
        <f t="shared" ca="1" si="400"/>
        <v>2977.0572272907689</v>
      </c>
      <c r="BX254" s="85">
        <f t="shared" ca="1" si="401"/>
        <v>3122.5820294683112</v>
      </c>
      <c r="BY254" s="85">
        <f t="shared" ca="1" si="367"/>
        <v>2507.6709525803963</v>
      </c>
      <c r="BZ254" s="85">
        <f t="shared" ca="1" si="368"/>
        <v>2630.3269744471218</v>
      </c>
      <c r="CA254" s="85">
        <f t="shared" ca="1" si="369"/>
        <v>2921.5175824120593</v>
      </c>
      <c r="CB254" s="85">
        <f t="shared" ca="1" si="370"/>
        <v>2635.0977940282573</v>
      </c>
      <c r="CC254" s="85">
        <f t="shared" ca="1" si="371"/>
        <v>2933.688404451404</v>
      </c>
      <c r="CD254" s="85">
        <f t="shared" ca="1" si="372"/>
        <v>3042.0800154694275</v>
      </c>
      <c r="CE254" s="85">
        <f t="shared" ca="1" si="373"/>
        <v>2660.9038967444808</v>
      </c>
      <c r="CF254" s="85">
        <f t="shared" ca="1" si="374"/>
        <v>3313.6684828124362</v>
      </c>
      <c r="CG254" s="85">
        <f t="shared" ca="1" si="375"/>
        <v>2300.6882059397499</v>
      </c>
      <c r="CH254" s="85">
        <f t="shared" ca="1" si="376"/>
        <v>2854.6247080852077</v>
      </c>
      <c r="CI254" s="85">
        <f t="shared" ca="1" si="377"/>
        <v>2540.4968145386515</v>
      </c>
      <c r="CJ254" s="85">
        <f t="shared" ca="1" si="378"/>
        <v>2420.8697229485483</v>
      </c>
      <c r="CK254" s="85">
        <f t="shared" ca="1" si="379"/>
        <v>2805.751077012922</v>
      </c>
      <c r="CL254" s="85">
        <f t="shared" ca="1" si="380"/>
        <v>2580.5714858787278</v>
      </c>
      <c r="CM254" s="85">
        <f t="shared" ca="1" si="381"/>
        <v>3087.8637359629006</v>
      </c>
      <c r="CN254" s="85">
        <f t="shared" ca="1" si="382"/>
        <v>2266.5767817807177</v>
      </c>
      <c r="CO254" s="85">
        <f t="shared" ca="1" si="383"/>
        <v>2615.174982167644</v>
      </c>
      <c r="CP254" s="85">
        <f t="shared" ca="1" si="384"/>
        <v>3097.064246676649</v>
      </c>
      <c r="CQ254" s="85">
        <f t="shared" ca="1" si="385"/>
        <v>2670.0722598953053</v>
      </c>
      <c r="CR254" s="85">
        <f t="shared" ca="1" si="386"/>
        <v>2843.6656905053105</v>
      </c>
      <c r="CS254" s="85">
        <f t="shared" ca="1" si="387"/>
        <v>2181.5277775649561</v>
      </c>
      <c r="CT254" s="85">
        <f t="shared" ca="1" si="388"/>
        <v>2576.3393291053467</v>
      </c>
      <c r="CU254" s="85">
        <f t="shared" ca="1" si="389"/>
        <v>3219.0484684817288</v>
      </c>
      <c r="CV254" s="85">
        <f t="shared" ca="1" si="390"/>
        <v>2619.6880778633895</v>
      </c>
      <c r="CW254" s="85">
        <f t="shared" ca="1" si="391"/>
        <v>2809.4095326380584</v>
      </c>
    </row>
    <row r="255" spans="1:101" x14ac:dyDescent="0.2">
      <c r="A255" s="115">
        <v>252</v>
      </c>
      <c r="B255" s="85">
        <f t="shared" ca="1" si="302"/>
        <v>2148.5189604893617</v>
      </c>
      <c r="C255" s="85">
        <f t="shared" ca="1" si="304"/>
        <v>2708.3424846305907</v>
      </c>
      <c r="D255" s="85">
        <f t="shared" ca="1" si="305"/>
        <v>2898.0147667615211</v>
      </c>
      <c r="E255" s="85">
        <f t="shared" ca="1" si="306"/>
        <v>2287.9886137312442</v>
      </c>
      <c r="F255" s="85">
        <f t="shared" ca="1" si="307"/>
        <v>2795.8085183793105</v>
      </c>
      <c r="G255" s="85">
        <f t="shared" ca="1" si="308"/>
        <v>2914.6773528111776</v>
      </c>
      <c r="H255" s="85">
        <f t="shared" ca="1" si="309"/>
        <v>2802.371674952265</v>
      </c>
      <c r="I255" s="85">
        <f t="shared" ca="1" si="310"/>
        <v>3059.3430036381433</v>
      </c>
      <c r="J255" s="85">
        <f t="shared" ca="1" si="311"/>
        <v>2573.2188139972814</v>
      </c>
      <c r="K255" s="85">
        <f t="shared" ca="1" si="312"/>
        <v>2840.728759096593</v>
      </c>
      <c r="L255" s="85">
        <f t="shared" ca="1" si="313"/>
        <v>3218.384398231743</v>
      </c>
      <c r="M255" s="85">
        <f t="shared" ca="1" si="314"/>
        <v>2462.6122954740244</v>
      </c>
      <c r="N255" s="85">
        <f t="shared" ca="1" si="315"/>
        <v>2679.8306206049256</v>
      </c>
      <c r="O255" s="85">
        <f t="shared" ca="1" si="316"/>
        <v>2878.24441076006</v>
      </c>
      <c r="P255" s="85">
        <f t="shared" ca="1" si="317"/>
        <v>2899.1055629926191</v>
      </c>
      <c r="Q255" s="85">
        <f t="shared" ca="1" si="318"/>
        <v>3219.2642523640866</v>
      </c>
      <c r="R255" s="85">
        <f t="shared" ca="1" si="319"/>
        <v>2673.6822443560482</v>
      </c>
      <c r="S255" s="85">
        <f t="shared" ca="1" si="320"/>
        <v>2953.9485328593855</v>
      </c>
      <c r="T255" s="85">
        <f t="shared" ca="1" si="321"/>
        <v>2870.718444504666</v>
      </c>
      <c r="U255" s="85">
        <f t="shared" ca="1" si="322"/>
        <v>2500.2640862236512</v>
      </c>
      <c r="V255" s="85">
        <f t="shared" ca="1" si="323"/>
        <v>3311.7296557241589</v>
      </c>
      <c r="W255" s="85">
        <f t="shared" ca="1" si="324"/>
        <v>2640.2264329413961</v>
      </c>
      <c r="X255" s="85">
        <f t="shared" ca="1" si="325"/>
        <v>3135.1402663311687</v>
      </c>
      <c r="Y255" s="85">
        <f t="shared" ca="1" si="326"/>
        <v>2463.5030621213136</v>
      </c>
      <c r="Z255" s="85">
        <f t="shared" ca="1" si="327"/>
        <v>3024.3534168195215</v>
      </c>
      <c r="AA255" s="85">
        <f t="shared" ca="1" si="328"/>
        <v>2422.9531918404932</v>
      </c>
      <c r="AB255" s="85">
        <f t="shared" ca="1" si="329"/>
        <v>3193.623688012804</v>
      </c>
      <c r="AC255" s="85">
        <f t="shared" ca="1" si="330"/>
        <v>2981.9588493208112</v>
      </c>
      <c r="AD255" s="85">
        <f t="shared" ca="1" si="331"/>
        <v>3110.5778793798563</v>
      </c>
      <c r="AE255" s="85">
        <f t="shared" ca="1" si="332"/>
        <v>3453.6796331163769</v>
      </c>
      <c r="AF255" s="85">
        <f t="shared" ca="1" si="333"/>
        <v>2327.6323487658833</v>
      </c>
      <c r="AG255" s="85">
        <f t="shared" ca="1" si="334"/>
        <v>3109.4956073935823</v>
      </c>
      <c r="AH255" s="85">
        <f t="shared" ca="1" si="335"/>
        <v>2805.1004431903052</v>
      </c>
      <c r="AI255" s="85">
        <f t="shared" ca="1" si="336"/>
        <v>2948.8170507524587</v>
      </c>
      <c r="AJ255" s="85">
        <f t="shared" ca="1" si="337"/>
        <v>3128.9172878182612</v>
      </c>
      <c r="AK255" s="85">
        <f t="shared" ca="1" si="338"/>
        <v>2761.2229671602049</v>
      </c>
      <c r="AL255" s="85">
        <f t="shared" ca="1" si="339"/>
        <v>2680.5533843225312</v>
      </c>
      <c r="AM255" s="85">
        <f t="shared" ca="1" si="340"/>
        <v>2682.9582750820309</v>
      </c>
      <c r="AN255" s="85">
        <f t="shared" ca="1" si="341"/>
        <v>2848.2290400349011</v>
      </c>
      <c r="AO255" s="85">
        <f t="shared" ca="1" si="342"/>
        <v>3713.2147662863727</v>
      </c>
      <c r="AP255" s="85">
        <f t="shared" ca="1" si="343"/>
        <v>3184.3184953210284</v>
      </c>
      <c r="AQ255" s="85">
        <f t="shared" ca="1" si="344"/>
        <v>2570.3360880590185</v>
      </c>
      <c r="AR255" s="85">
        <f t="shared" ca="1" si="345"/>
        <v>3181.8683016670802</v>
      </c>
      <c r="AS255" s="85">
        <f t="shared" ca="1" si="346"/>
        <v>2610.7306225911325</v>
      </c>
      <c r="AT255" s="85">
        <f t="shared" ca="1" si="347"/>
        <v>3000.3282994944752</v>
      </c>
      <c r="AU255" s="85">
        <f t="shared" ca="1" si="348"/>
        <v>2755.5159428849724</v>
      </c>
      <c r="AV255" s="85">
        <f t="shared" ca="1" si="349"/>
        <v>3117.8670329115325</v>
      </c>
      <c r="AW255" s="85">
        <f t="shared" ca="1" si="350"/>
        <v>2771.5035434485685</v>
      </c>
      <c r="AX255" s="85">
        <f t="shared" ca="1" si="351"/>
        <v>3683.0444220502563</v>
      </c>
      <c r="AY255" s="85">
        <f t="shared" ca="1" si="352"/>
        <v>3300.6041123172995</v>
      </c>
      <c r="AZ255" s="85">
        <f t="shared" ca="1" si="353"/>
        <v>3113.676647838794</v>
      </c>
      <c r="BA255" s="85">
        <f t="shared" ca="1" si="354"/>
        <v>3368.3352485494574</v>
      </c>
      <c r="BB255" s="85">
        <f t="shared" ca="1" si="355"/>
        <v>2596.8549210039891</v>
      </c>
      <c r="BC255" s="85">
        <f t="shared" ca="1" si="356"/>
        <v>3213.026331508192</v>
      </c>
      <c r="BD255" s="85">
        <f t="shared" ca="1" si="357"/>
        <v>3124.3899724894977</v>
      </c>
      <c r="BE255" s="85">
        <f t="shared" ca="1" si="358"/>
        <v>2784.6742472026522</v>
      </c>
      <c r="BF255" s="85">
        <f t="shared" ca="1" si="359"/>
        <v>2477.9349983091624</v>
      </c>
      <c r="BG255" s="85">
        <f t="shared" ca="1" si="360"/>
        <v>2297.3902405693443</v>
      </c>
      <c r="BH255" s="85">
        <f t="shared" ca="1" si="361"/>
        <v>2858.2918376627117</v>
      </c>
      <c r="BI255" s="85">
        <f t="shared" ca="1" si="362"/>
        <v>2612.1610362281003</v>
      </c>
      <c r="BJ255" s="85">
        <f t="shared" ca="1" si="363"/>
        <v>2738.7837741035946</v>
      </c>
      <c r="BK255" s="85">
        <f t="shared" ca="1" si="364"/>
        <v>2819.0563269255231</v>
      </c>
      <c r="BL255" s="85">
        <f t="shared" ca="1" si="365"/>
        <v>2626.7622608393285</v>
      </c>
      <c r="BM255" s="85">
        <f t="shared" ca="1" si="366"/>
        <v>2750.5313303671678</v>
      </c>
      <c r="BN255" s="85">
        <f t="shared" ca="1" si="303"/>
        <v>3224.7298448529564</v>
      </c>
      <c r="BO255" s="85">
        <f t="shared" ca="1" si="392"/>
        <v>3329.6536623103284</v>
      </c>
      <c r="BP255" s="85">
        <f t="shared" ca="1" si="393"/>
        <v>2728.2862143363864</v>
      </c>
      <c r="BQ255" s="85">
        <f t="shared" ca="1" si="394"/>
        <v>2880.2656087710197</v>
      </c>
      <c r="BR255" s="85">
        <f t="shared" ca="1" si="395"/>
        <v>2463.132906191096</v>
      </c>
      <c r="BS255" s="85">
        <f t="shared" ca="1" si="396"/>
        <v>2929.0072197869044</v>
      </c>
      <c r="BT255" s="85">
        <f t="shared" ca="1" si="397"/>
        <v>3189.236104279159</v>
      </c>
      <c r="BU255" s="85">
        <f t="shared" ca="1" si="398"/>
        <v>2500.6804193502589</v>
      </c>
      <c r="BV255" s="85">
        <f t="shared" ca="1" si="399"/>
        <v>2675.5864115181121</v>
      </c>
      <c r="BW255" s="85">
        <f t="shared" ca="1" si="400"/>
        <v>3037.0420273150517</v>
      </c>
      <c r="BX255" s="85">
        <f t="shared" ca="1" si="401"/>
        <v>3146.8640714208805</v>
      </c>
      <c r="BY255" s="85">
        <f t="shared" ca="1" si="367"/>
        <v>2526.6296643590103</v>
      </c>
      <c r="BZ255" s="85">
        <f t="shared" ca="1" si="368"/>
        <v>2653.7296543794732</v>
      </c>
      <c r="CA255" s="85">
        <f t="shared" ca="1" si="369"/>
        <v>2961.0160482756864</v>
      </c>
      <c r="CB255" s="85">
        <f t="shared" ca="1" si="370"/>
        <v>2680.2394349062165</v>
      </c>
      <c r="CC255" s="85">
        <f t="shared" ca="1" si="371"/>
        <v>3002.815642742733</v>
      </c>
      <c r="CD255" s="85">
        <f t="shared" ca="1" si="372"/>
        <v>3074.064493423577</v>
      </c>
      <c r="CE255" s="85">
        <f t="shared" ca="1" si="373"/>
        <v>2707.8928363729337</v>
      </c>
      <c r="CF255" s="85">
        <f t="shared" ca="1" si="374"/>
        <v>3320.4443842941978</v>
      </c>
      <c r="CG255" s="85">
        <f t="shared" ca="1" si="375"/>
        <v>2311.4582793680556</v>
      </c>
      <c r="CH255" s="85">
        <f t="shared" ca="1" si="376"/>
        <v>2890.6872169739067</v>
      </c>
      <c r="CI255" s="85">
        <f t="shared" ca="1" si="377"/>
        <v>2574.3206381979235</v>
      </c>
      <c r="CJ255" s="85">
        <f t="shared" ca="1" si="378"/>
        <v>2469.7126278481701</v>
      </c>
      <c r="CK255" s="85">
        <f t="shared" ca="1" si="379"/>
        <v>2844.3908290235181</v>
      </c>
      <c r="CL255" s="85">
        <f t="shared" ca="1" si="380"/>
        <v>2643.5510044822231</v>
      </c>
      <c r="CM255" s="85">
        <f t="shared" ca="1" si="381"/>
        <v>3142.5297881969241</v>
      </c>
      <c r="CN255" s="85">
        <f t="shared" ca="1" si="382"/>
        <v>2278.3287696831917</v>
      </c>
      <c r="CO255" s="85">
        <f t="shared" ca="1" si="383"/>
        <v>2635.3652437237897</v>
      </c>
      <c r="CP255" s="85">
        <f t="shared" ca="1" si="384"/>
        <v>3147.195183416437</v>
      </c>
      <c r="CQ255" s="85">
        <f t="shared" ca="1" si="385"/>
        <v>2705.7554450584707</v>
      </c>
      <c r="CR255" s="85">
        <f t="shared" ca="1" si="386"/>
        <v>2932.3704529624188</v>
      </c>
      <c r="CS255" s="85">
        <f t="shared" ca="1" si="387"/>
        <v>2216.8379736617453</v>
      </c>
      <c r="CT255" s="85">
        <f t="shared" ca="1" si="388"/>
        <v>2602.0967600885542</v>
      </c>
      <c r="CU255" s="85">
        <f t="shared" ca="1" si="389"/>
        <v>3263.3728495754231</v>
      </c>
      <c r="CV255" s="85">
        <f t="shared" ca="1" si="390"/>
        <v>2659.9536364862925</v>
      </c>
      <c r="CW255" s="85">
        <f t="shared" ca="1" si="391"/>
        <v>2860.2325514277509</v>
      </c>
    </row>
    <row r="257" spans="2:9" x14ac:dyDescent="0.2">
      <c r="B257" s="111"/>
      <c r="C257" s="112" t="s">
        <v>104</v>
      </c>
      <c r="E257" s="118" t="s">
        <v>106</v>
      </c>
      <c r="G257" s="123" t="s">
        <v>109</v>
      </c>
      <c r="H257" s="124"/>
    </row>
    <row r="258" spans="2:9" x14ac:dyDescent="0.2">
      <c r="B258" s="113" t="s">
        <v>105</v>
      </c>
      <c r="C258" s="106">
        <v>96.82</v>
      </c>
      <c r="E258" s="85">
        <f ca="1">PERCENTILE(B255:CW255,0.1)</f>
        <v>2463.4660465282918</v>
      </c>
      <c r="G258" s="130">
        <f ca="1">AVERAGE(B255:CW255)</f>
        <v>2848.9641697667666</v>
      </c>
      <c r="H258" s="119"/>
    </row>
    <row r="259" spans="2:9" x14ac:dyDescent="0.2">
      <c r="B259" s="113" t="s">
        <v>101</v>
      </c>
      <c r="C259" s="107">
        <v>1.341321E-2</v>
      </c>
    </row>
    <row r="260" spans="2:9" x14ac:dyDescent="0.2">
      <c r="B260" s="113" t="s">
        <v>102</v>
      </c>
      <c r="C260" s="107">
        <v>6.9395241459352603E-3</v>
      </c>
      <c r="E260" s="117" t="s">
        <v>107</v>
      </c>
      <c r="G260" s="125" t="s">
        <v>110</v>
      </c>
      <c r="H260" s="126"/>
      <c r="I260" s="127"/>
    </row>
    <row r="261" spans="2:9" x14ac:dyDescent="0.2">
      <c r="B261" s="113" t="s">
        <v>103</v>
      </c>
      <c r="C261" s="108">
        <v>252</v>
      </c>
      <c r="E261" s="85">
        <f ca="1">PERCENTILE(B255:CW255,0.5)</f>
        <v>2842.5597940600555</v>
      </c>
      <c r="G261" s="120">
        <f ca="1">COUNTIF(B255:CW255,"&gt;150")/100</f>
        <v>1</v>
      </c>
      <c r="H261" s="110"/>
      <c r="I261" s="119"/>
    </row>
    <row r="263" spans="2:9" x14ac:dyDescent="0.2">
      <c r="E263" s="116" t="s">
        <v>108</v>
      </c>
      <c r="G263" s="125" t="s">
        <v>111</v>
      </c>
      <c r="H263" s="128"/>
      <c r="I263" s="126"/>
    </row>
    <row r="264" spans="2:9" x14ac:dyDescent="0.2">
      <c r="E264" s="85">
        <f ca="1">PERCENTILE(B255:CW255,0.9)</f>
        <v>3219.8108116129738</v>
      </c>
      <c r="G264" s="129">
        <f ca="1">COUNTIF(B255:CW255,"&lt;60")/100</f>
        <v>0</v>
      </c>
      <c r="H264" s="121"/>
      <c r="I264" s="1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2"/>
  <sheetViews>
    <sheetView workbookViewId="0"/>
  </sheetViews>
  <sheetFormatPr defaultColWidth="12.5703125" defaultRowHeight="15.75" customHeight="1" x14ac:dyDescent="0.2"/>
  <cols>
    <col min="1" max="1" width="17.42578125" customWidth="1"/>
    <col min="4" max="4" width="65.42578125" customWidth="1"/>
  </cols>
  <sheetData>
    <row r="1" spans="1:7" x14ac:dyDescent="0.2">
      <c r="A1" s="19" t="s">
        <v>29</v>
      </c>
      <c r="B1" s="20" t="s">
        <v>30</v>
      </c>
      <c r="C1" s="21"/>
      <c r="D1" s="21"/>
      <c r="E1" s="22" t="s">
        <v>31</v>
      </c>
      <c r="F1" s="23">
        <v>46089</v>
      </c>
    </row>
    <row r="2" spans="1:7" x14ac:dyDescent="0.2">
      <c r="A2" s="24" t="s">
        <v>32</v>
      </c>
      <c r="B2" s="25">
        <v>92</v>
      </c>
      <c r="C2" s="26"/>
      <c r="D2" s="26"/>
      <c r="E2" s="22" t="s">
        <v>33</v>
      </c>
      <c r="F2" s="22" t="s">
        <v>34</v>
      </c>
    </row>
    <row r="3" spans="1:7" x14ac:dyDescent="0.2">
      <c r="A3" s="27" t="s">
        <v>35</v>
      </c>
      <c r="B3" s="28">
        <v>35.659999999999997</v>
      </c>
      <c r="C3" s="27"/>
      <c r="D3" s="29" t="s">
        <v>36</v>
      </c>
      <c r="E3" s="30"/>
      <c r="F3" s="30"/>
      <c r="G3" s="31"/>
    </row>
    <row r="4" spans="1:7" x14ac:dyDescent="0.2">
      <c r="A4" s="27" t="s">
        <v>37</v>
      </c>
      <c r="B4" s="32">
        <v>0.27</v>
      </c>
      <c r="C4" s="27"/>
      <c r="D4" s="29" t="s">
        <v>38</v>
      </c>
      <c r="E4" s="30"/>
      <c r="F4" s="30"/>
      <c r="G4" s="31"/>
    </row>
    <row r="5" spans="1:7" x14ac:dyDescent="0.2">
      <c r="A5" s="27" t="s">
        <v>39</v>
      </c>
      <c r="B5" s="32">
        <v>1.58</v>
      </c>
      <c r="C5" s="27"/>
      <c r="D5" s="29" t="s">
        <v>40</v>
      </c>
      <c r="E5" s="30"/>
      <c r="F5" s="30"/>
      <c r="G5" s="31"/>
    </row>
    <row r="6" spans="1:7" x14ac:dyDescent="0.2">
      <c r="A6" s="27" t="s">
        <v>41</v>
      </c>
      <c r="B6" s="33">
        <v>0.36380000000000001</v>
      </c>
      <c r="C6" s="27"/>
      <c r="D6" s="29" t="s">
        <v>42</v>
      </c>
      <c r="E6" s="30"/>
      <c r="F6" s="30"/>
      <c r="G6" s="31"/>
    </row>
    <row r="7" spans="1:7" x14ac:dyDescent="0.2">
      <c r="A7" s="27"/>
      <c r="B7" s="27"/>
      <c r="C7" s="27"/>
      <c r="D7" s="29"/>
      <c r="E7" s="30"/>
      <c r="F7" s="30"/>
      <c r="G7" s="31"/>
    </row>
    <row r="8" spans="1:7" x14ac:dyDescent="0.2">
      <c r="A8" s="34" t="s">
        <v>43</v>
      </c>
      <c r="B8" s="35">
        <v>6.2E-2</v>
      </c>
      <c r="C8" s="27" t="s">
        <v>44</v>
      </c>
      <c r="D8" s="29"/>
      <c r="E8" s="30"/>
      <c r="F8" s="30"/>
      <c r="G8" s="31"/>
    </row>
    <row r="9" spans="1:7" x14ac:dyDescent="0.2">
      <c r="A9" s="36"/>
      <c r="B9" s="33">
        <v>0.32600000000000001</v>
      </c>
      <c r="C9" s="27" t="s">
        <v>45</v>
      </c>
      <c r="D9" s="29" t="s">
        <v>46</v>
      </c>
      <c r="E9" s="30"/>
      <c r="F9" s="30"/>
      <c r="G9" s="31"/>
    </row>
    <row r="10" spans="1:7" x14ac:dyDescent="0.2">
      <c r="A10" s="36"/>
      <c r="B10" s="35">
        <v>0.19839999999999999</v>
      </c>
      <c r="C10" s="27" t="s">
        <v>47</v>
      </c>
      <c r="D10" s="29"/>
      <c r="E10" s="30"/>
      <c r="F10" s="30"/>
      <c r="G10" s="31"/>
    </row>
    <row r="11" spans="1:7" x14ac:dyDescent="0.2">
      <c r="A11" s="27" t="s">
        <v>48</v>
      </c>
      <c r="B11" s="33">
        <v>0.151</v>
      </c>
      <c r="C11" s="27"/>
      <c r="D11" s="29" t="s">
        <v>49</v>
      </c>
      <c r="E11" s="30"/>
      <c r="F11" s="30"/>
      <c r="G11" s="31"/>
    </row>
    <row r="12" spans="1:7" x14ac:dyDescent="0.2">
      <c r="A12" s="27" t="s">
        <v>50</v>
      </c>
      <c r="B12" s="27" t="s">
        <v>51</v>
      </c>
      <c r="C12" s="27"/>
      <c r="D12" s="29"/>
      <c r="E12" s="30"/>
      <c r="F12" s="30"/>
      <c r="G12" s="31"/>
    </row>
    <row r="13" spans="1:7" x14ac:dyDescent="0.2">
      <c r="A13" s="27" t="s">
        <v>52</v>
      </c>
      <c r="B13" s="37">
        <v>5.34</v>
      </c>
      <c r="C13" s="27"/>
      <c r="D13" s="29" t="s">
        <v>53</v>
      </c>
      <c r="E13" s="30"/>
      <c r="F13" s="30"/>
      <c r="G13" s="31"/>
    </row>
    <row r="14" spans="1:7" x14ac:dyDescent="0.2">
      <c r="A14" s="27" t="s">
        <v>54</v>
      </c>
      <c r="B14" s="38">
        <v>5024523000</v>
      </c>
      <c r="C14" s="27"/>
      <c r="D14" s="29"/>
      <c r="E14" s="30"/>
      <c r="F14" s="30"/>
      <c r="G14" s="31"/>
    </row>
    <row r="15" spans="1:7" x14ac:dyDescent="0.2">
      <c r="A15" s="27" t="s">
        <v>55</v>
      </c>
      <c r="B15" s="39">
        <v>0.45839999999999997</v>
      </c>
      <c r="C15" s="27"/>
      <c r="D15" s="29"/>
      <c r="E15" s="30"/>
      <c r="F15" s="30"/>
      <c r="G15" s="31"/>
    </row>
    <row r="16" spans="1:7" x14ac:dyDescent="0.2">
      <c r="A16" s="27" t="s">
        <v>21</v>
      </c>
      <c r="B16" s="38">
        <v>601704</v>
      </c>
      <c r="C16" s="27"/>
      <c r="D16" s="29"/>
      <c r="E16" s="30"/>
      <c r="F16" s="30"/>
      <c r="G16" s="31"/>
    </row>
    <row r="17" spans="1:7" x14ac:dyDescent="0.2">
      <c r="A17" s="11"/>
      <c r="B17" s="11"/>
      <c r="C17" s="27"/>
      <c r="D17" s="29"/>
      <c r="E17" s="30"/>
      <c r="F17" s="30"/>
      <c r="G17" s="31"/>
    </row>
    <row r="18" spans="1:7" x14ac:dyDescent="0.2">
      <c r="A18" s="40" t="s">
        <v>56</v>
      </c>
      <c r="B18" s="27"/>
      <c r="C18" s="27"/>
      <c r="D18" s="29" t="s">
        <v>57</v>
      </c>
      <c r="E18" s="30"/>
      <c r="F18" s="30"/>
      <c r="G18" s="31"/>
    </row>
    <row r="19" spans="1:7" x14ac:dyDescent="0.2">
      <c r="A19" s="36"/>
      <c r="B19" s="36"/>
      <c r="C19" s="36"/>
      <c r="D19" s="29" t="s">
        <v>58</v>
      </c>
      <c r="E19" s="30"/>
      <c r="F19" s="30"/>
      <c r="G19" s="31"/>
    </row>
    <row r="20" spans="1:7" x14ac:dyDescent="0.2">
      <c r="A20" s="2"/>
      <c r="B20" s="36"/>
      <c r="C20" s="36"/>
      <c r="D20" s="29" t="s">
        <v>59</v>
      </c>
      <c r="E20" s="30"/>
      <c r="F20" s="30"/>
      <c r="G20" s="31"/>
    </row>
    <row r="21" spans="1:7" x14ac:dyDescent="0.2">
      <c r="A21" s="2"/>
      <c r="B21" s="36"/>
      <c r="C21" s="36"/>
      <c r="D21" s="29" t="s">
        <v>60</v>
      </c>
      <c r="E21" s="30"/>
      <c r="F21" s="30"/>
      <c r="G21" s="31"/>
    </row>
    <row r="22" spans="1:7" x14ac:dyDescent="0.2">
      <c r="A22" s="2"/>
      <c r="B22" s="2"/>
      <c r="C22" s="2"/>
      <c r="D22" s="41"/>
      <c r="E22" s="30"/>
      <c r="F2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Stock Performance Band</vt:lpstr>
      <vt:lpstr>Forecast Moving Averages</vt:lpstr>
      <vt:lpstr>Monte Carlo Simulation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D</cp:lastModifiedBy>
  <dcterms:modified xsi:type="dcterms:W3CDTF">2026-05-25T23:17:45Z</dcterms:modified>
</cp:coreProperties>
</file>